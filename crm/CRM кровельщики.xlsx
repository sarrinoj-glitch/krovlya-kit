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егодня" sheetId="2" state="visible" r:id="rId2"/>
    <sheet xmlns:r="http://schemas.openxmlformats.org/officeDocument/2006/relationships" name="Канбан" sheetId="3" state="visible" r:id="rId3"/>
    <sheet xmlns:r="http://schemas.openxmlformats.org/officeDocument/2006/relationships" name="Лиды" sheetId="4" state="visible" r:id="rId4"/>
    <sheet xmlns:r="http://schemas.openxmlformats.org/officeDocument/2006/relationships" name="Ильяс" sheetId="5" state="visible" r:id="rId5"/>
    <sheet xmlns:r="http://schemas.openxmlformats.org/officeDocument/2006/relationships" name="Зураб" sheetId="6" state="visible" r:id="rId6"/>
    <sheet xmlns:r="http://schemas.openxmlformats.org/officeDocument/2006/relationships" name="Тимурлан" sheetId="7" state="visible" r:id="rId7"/>
    <sheet xmlns:r="http://schemas.openxmlformats.org/officeDocument/2006/relationships" name="Справка" sheetId="8" state="visible" r:id="rId8"/>
  </sheets>
  <definedNames>
    <definedName name="_xlnm._FilterDatabase" localSheetId="3" hidden="1">'Лиды'!$A$1:$V$643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 hh:mm"/>
    <numFmt numFmtId="165" formatCode="dd.mm.yyyy"/>
    <numFmt numFmtId="166" formatCode="yyyy-mm-dd h:mm:ss"/>
    <numFmt numFmtId="167" formatCode="yyyy-mm-dd"/>
  </numFmts>
  <fonts count="43">
    <font>
      <name val="Calibri"/>
      <family val="2"/>
      <color theme="1"/>
      <sz val="11"/>
      <scheme val="minor"/>
    </font>
    <font>
      <name val="Arial"/>
      <b val="1"/>
      <color rgb="0016211D"/>
      <sz val="16"/>
    </font>
    <font>
      <name val="Arial"/>
      <b val="1"/>
      <color rgb="0016211D"/>
      <sz val="10"/>
    </font>
    <font>
      <name val="Arial"/>
      <color rgb="0016211D"/>
      <sz val="10"/>
    </font>
    <font>
      <name val="Arial"/>
      <b val="1"/>
      <color rgb="0016211D"/>
      <sz val="13"/>
    </font>
    <font>
      <name val="Arial"/>
      <b val="1"/>
      <color rgb="005F6368"/>
      <sz val="10"/>
    </font>
    <font>
      <name val="Arial"/>
      <b val="1"/>
      <color rgb="002C5A84"/>
      <sz val="10"/>
    </font>
    <font>
      <name val="Arial"/>
      <b val="1"/>
      <color rgb="003C4043"/>
      <sz val="10"/>
    </font>
    <font>
      <name val="Arial"/>
      <b val="1"/>
      <color rgb="000F5A45"/>
      <sz val="10"/>
    </font>
    <font>
      <name val="Arial"/>
      <b val="1"/>
      <color rgb="008A5200"/>
      <sz val="10"/>
    </font>
    <font>
      <name val="Arial"/>
      <b val="1"/>
      <color rgb="008A4B00"/>
      <sz val="10"/>
    </font>
    <font>
      <name val="Arial"/>
      <b val="1"/>
      <color rgb="000B4534"/>
      <sz val="10"/>
    </font>
    <font>
      <name val="Arial"/>
      <b val="1"/>
      <color rgb="00FFFFFF"/>
      <sz val="10"/>
    </font>
    <font>
      <name val="Arial"/>
      <b val="1"/>
      <color rgb="00A3312B"/>
      <sz val="10"/>
    </font>
    <font>
      <name val="Arial"/>
      <b val="1"/>
      <color rgb="008A8A8A"/>
      <sz val="10"/>
    </font>
    <font>
      <name val="Arial"/>
      <i val="1"/>
      <color rgb="005A6A63"/>
      <sz val="9"/>
    </font>
    <font>
      <name val="Arial"/>
      <b val="1"/>
      <color rgb="0016211D"/>
      <sz val="18"/>
    </font>
    <font>
      <name val="Arial"/>
      <color rgb="005A6A63"/>
      <sz val="10"/>
    </font>
    <font>
      <name val="Arial"/>
      <color rgb="005A6A63"/>
      <sz val="9"/>
    </font>
    <font>
      <name val="Arial"/>
      <b val="1"/>
      <color rgb="005A6A63"/>
      <sz val="22"/>
    </font>
    <font>
      <name val="Arial"/>
      <b val="1"/>
      <color rgb="002C5A84"/>
      <sz val="22"/>
    </font>
    <font>
      <name val="Arial"/>
      <b val="1"/>
      <color rgb="000F5A45"/>
      <sz val="22"/>
    </font>
    <font>
      <name val="Arial"/>
      <b val="1"/>
      <color rgb="008A5200"/>
      <sz val="22"/>
    </font>
    <font>
      <name val="Arial"/>
      <b val="1"/>
      <color rgb="00A3312B"/>
      <sz val="22"/>
    </font>
    <font>
      <name val="Arial"/>
      <b val="1"/>
      <color rgb="0016211D"/>
      <sz val="11"/>
    </font>
    <font>
      <name val="Arial"/>
      <color rgb="002C5A84"/>
      <sz val="10"/>
    </font>
    <font>
      <name val="Arial"/>
      <color rgb="003C4043"/>
      <sz val="10"/>
    </font>
    <font>
      <name val="Arial"/>
      <color rgb="000F5A45"/>
      <sz val="10"/>
    </font>
    <font>
      <name val="Arial"/>
      <color rgb="008A5200"/>
      <sz val="10"/>
    </font>
    <font>
      <name val="Arial"/>
      <color rgb="008A4B00"/>
      <sz val="10"/>
    </font>
    <font>
      <name val="Arial"/>
      <color rgb="000B4534"/>
      <sz val="10"/>
    </font>
    <font>
      <name val="Arial"/>
      <color rgb="00A3312B"/>
      <sz val="10"/>
    </font>
    <font>
      <name val="Arial"/>
      <b val="1"/>
      <color rgb="002C5A84"/>
      <sz val="11"/>
    </font>
    <font>
      <name val="Arial"/>
      <b val="1"/>
      <color rgb="003C4043"/>
      <sz val="11"/>
    </font>
    <font>
      <name val="Arial"/>
      <b val="1"/>
      <color rgb="000F5A45"/>
      <sz val="11"/>
    </font>
    <font>
      <name val="Arial"/>
      <b val="1"/>
      <color rgb="008A5200"/>
      <sz val="11"/>
    </font>
    <font>
      <name val="Arial"/>
      <b val="1"/>
      <color rgb="008A4B00"/>
      <sz val="11"/>
    </font>
    <font>
      <name val="Arial"/>
      <b val="1"/>
      <color rgb="000B4534"/>
      <sz val="11"/>
    </font>
    <font>
      <name val="Arial"/>
      <b val="1"/>
      <color rgb="00FFFFFF"/>
      <sz val="11"/>
    </font>
    <font>
      <name val="Arial"/>
      <b val="1"/>
      <color rgb="00A3312B"/>
      <sz val="11"/>
    </font>
    <font>
      <name val="Arial"/>
      <b val="1"/>
      <color rgb="002C5A84"/>
      <sz val="18"/>
    </font>
    <font>
      <name val="Arial"/>
      <b val="1"/>
      <color rgb="008A5200"/>
      <sz val="18"/>
    </font>
    <font>
      <name val="Arial"/>
      <b val="1"/>
      <color rgb="000F5A45"/>
      <sz val="18"/>
    </font>
  </fonts>
  <fills count="15">
    <fill>
      <patternFill/>
    </fill>
    <fill>
      <patternFill patternType="gray125"/>
    </fill>
    <fill>
      <patternFill patternType="solid">
        <fgColor rgb="00F1F3F4"/>
        <bgColor rgb="00F1F3F4"/>
      </patternFill>
    </fill>
    <fill>
      <patternFill patternType="solid">
        <fgColor rgb="00E2ECF6"/>
        <bgColor rgb="00E2ECF6"/>
      </patternFill>
    </fill>
    <fill>
      <patternFill patternType="solid">
        <fgColor rgb="00E3E6E8"/>
        <bgColor rgb="00E3E6E8"/>
      </patternFill>
    </fill>
    <fill>
      <patternFill patternType="solid">
        <fgColor rgb="00E1EFE9"/>
        <bgColor rgb="00E1EFE9"/>
      </patternFill>
    </fill>
    <fill>
      <patternFill patternType="solid">
        <fgColor rgb="00FBEFD8"/>
        <bgColor rgb="00FBEFD8"/>
      </patternFill>
    </fill>
    <fill>
      <patternFill patternType="solid">
        <fgColor rgb="00FFE3C2"/>
        <bgColor rgb="00FFE3C2"/>
      </patternFill>
    </fill>
    <fill>
      <patternFill patternType="solid">
        <fgColor rgb="00CDEBDD"/>
        <bgColor rgb="00CDEBDD"/>
      </patternFill>
    </fill>
    <fill>
      <patternFill patternType="solid">
        <fgColor rgb="000F5A45"/>
        <bgColor rgb="000F5A45"/>
      </patternFill>
    </fill>
    <fill>
      <patternFill patternType="solid">
        <fgColor rgb="00F8E4E2"/>
        <bgColor rgb="00F8E4E2"/>
      </patternFill>
    </fill>
    <fill>
      <patternFill patternType="solid">
        <fgColor rgb="00EDEDED"/>
        <bgColor rgb="00EDEDED"/>
      </patternFill>
    </fill>
    <fill>
      <patternFill patternType="solid">
        <fgColor rgb="0016211D"/>
        <bgColor rgb="0016211D"/>
      </patternFill>
    </fill>
    <fill>
      <patternFill patternType="solid">
        <fgColor rgb="00FFFBE6"/>
        <bgColor rgb="00FFFBE6"/>
      </patternFill>
    </fill>
    <fill>
      <patternFill patternType="solid">
        <fgColor rgb="00F2F5F3"/>
        <bgColor rgb="00F2F5F3"/>
      </patternFill>
    </fill>
  </fills>
  <borders count="2">
    <border>
      <left/>
      <right/>
      <top/>
      <bottom/>
      <diagonal/>
    </border>
    <border>
      <left style="thin">
        <color rgb="00D7DFDA"/>
      </left>
      <right style="thin">
        <color rgb="00D7DFDA"/>
      </right>
      <top style="thin">
        <color rgb="00D7DFDA"/>
      </top>
      <bottom style="thin">
        <color rgb="00D7DFDA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14" borderId="0" applyAlignment="1" pivotButton="0" quotePrefix="0" xfId="0">
      <alignment horizontal="center" vertical="center" wrapText="1"/>
    </xf>
    <xf numFmtId="0" fontId="19" fillId="14" borderId="0" applyAlignment="1" pivotButton="0" quotePrefix="0" xfId="0">
      <alignment horizontal="center" vertical="center" wrapText="1"/>
    </xf>
    <xf numFmtId="0" fontId="20" fillId="14" borderId="0" applyAlignment="1" pivotButton="0" quotePrefix="0" xfId="0">
      <alignment horizontal="center" vertical="center" wrapText="1"/>
    </xf>
    <xf numFmtId="0" fontId="21" fillId="14" borderId="0" applyAlignment="1" pivotButton="0" quotePrefix="0" xfId="0">
      <alignment horizontal="center" vertical="center" wrapText="1"/>
    </xf>
    <xf numFmtId="0" fontId="22" fillId="14" borderId="0" applyAlignment="1" pivotButton="0" quotePrefix="0" xfId="0">
      <alignment horizontal="center" vertical="center" wrapText="1"/>
    </xf>
    <xf numFmtId="0" fontId="23" fillId="14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2" fillId="1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9" fontId="3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49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center" vertical="center" wrapText="1"/>
    </xf>
    <xf numFmtId="0" fontId="33" fillId="4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center" vertical="center" wrapText="1"/>
    </xf>
    <xf numFmtId="0" fontId="35" fillId="6" borderId="1" applyAlignment="1" pivotButton="0" quotePrefix="0" xfId="0">
      <alignment horizontal="center" vertical="center" wrapText="1"/>
    </xf>
    <xf numFmtId="0" fontId="36" fillId="7" borderId="1" applyAlignment="1" pivotButton="0" quotePrefix="0" xfId="0">
      <alignment horizontal="center" vertical="center" wrapText="1"/>
    </xf>
    <xf numFmtId="0" fontId="37" fillId="8" borderId="1" applyAlignment="1" pivotButton="0" quotePrefix="0" xfId="0">
      <alignment horizontal="center" vertical="center" wrapText="1"/>
    </xf>
    <xf numFmtId="0" fontId="38" fillId="9" borderId="1" applyAlignment="1" pivotButton="0" quotePrefix="0" xfId="0">
      <alignment horizontal="center" vertical="center" wrapText="1"/>
    </xf>
    <xf numFmtId="0" fontId="39" fillId="1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3" fillId="13" borderId="0" applyAlignment="1" pivotButton="0" quotePrefix="0" xfId="0">
      <alignment horizontal="center" vertical="center" wrapText="1"/>
    </xf>
    <xf numFmtId="164" fontId="3" fillId="13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vertical="center" wrapText="1"/>
    </xf>
    <xf numFmtId="165" fontId="3" fillId="13" borderId="0" applyAlignment="1" pivotButton="0" quotePrefix="0" xfId="0">
      <alignment vertical="center"/>
    </xf>
    <xf numFmtId="0" fontId="40" fillId="0" borderId="0" pivotButton="0" quotePrefix="0" xfId="0"/>
    <xf numFmtId="0" fontId="0" fillId="14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5" fillId="0" borderId="0" pivotButton="0" quotePrefix="0" xfId="0"/>
  </cellXfs>
  <cellStyles count="1">
    <cellStyle name="Normal" xfId="0" builtinId="0" hidden="0"/>
  </cellStyles>
  <dxfs count="16">
    <dxf>
      <font>
        <name val="Arial"/>
        <b val="1"/>
        <color rgb="005F6368"/>
      </font>
      <fill>
        <patternFill patternType="solid">
          <fgColor rgb="00F1F3F4"/>
          <bgColor rgb="00F1F3F4"/>
        </patternFill>
      </fill>
    </dxf>
    <dxf>
      <font>
        <name val="Arial"/>
        <b val="1"/>
        <color rgb="002C5A84"/>
      </font>
      <fill>
        <patternFill patternType="solid">
          <fgColor rgb="00E2ECF6"/>
          <bgColor rgb="00E2ECF6"/>
        </patternFill>
      </fill>
    </dxf>
    <dxf>
      <font>
        <name val="Arial"/>
        <b val="1"/>
        <color rgb="003C4043"/>
      </font>
      <fill>
        <patternFill patternType="solid">
          <fgColor rgb="00E3E6E8"/>
          <bgColor rgb="00E3E6E8"/>
        </patternFill>
      </fill>
    </dxf>
    <dxf>
      <font>
        <name val="Arial"/>
        <b val="1"/>
        <color rgb="000F5A45"/>
      </font>
      <fill>
        <patternFill patternType="solid">
          <fgColor rgb="00E1EFE9"/>
          <bgColor rgb="00E1EFE9"/>
        </patternFill>
      </fill>
    </dxf>
    <dxf>
      <font>
        <name val="Arial"/>
        <b val="1"/>
        <color rgb="008A5200"/>
      </font>
      <fill>
        <patternFill patternType="solid">
          <fgColor rgb="00FBEFD8"/>
          <bgColor rgb="00FBEFD8"/>
        </patternFill>
      </fill>
    </dxf>
    <dxf>
      <font>
        <name val="Arial"/>
        <b val="1"/>
        <color rgb="008A4B00"/>
      </font>
      <fill>
        <patternFill patternType="solid">
          <fgColor rgb="00FFE3C2"/>
          <bgColor rgb="00FFE3C2"/>
        </patternFill>
      </fill>
    </dxf>
    <dxf>
      <font>
        <name val="Arial"/>
        <b val="1"/>
        <color rgb="000B4534"/>
      </font>
      <fill>
        <patternFill patternType="solid">
          <fgColor rgb="00CDEBDD"/>
          <bgColor rgb="00CDEBDD"/>
        </patternFill>
      </fill>
    </dxf>
    <dxf>
      <font>
        <name val="Arial"/>
        <b val="1"/>
        <color rgb="00FFFFFF"/>
      </font>
      <fill>
        <patternFill patternType="solid">
          <fgColor rgb="000F5A45"/>
          <bgColor rgb="000F5A45"/>
        </patternFill>
      </fill>
    </dxf>
    <dxf>
      <font>
        <name val="Arial"/>
        <b val="1"/>
        <color rgb="00A3312B"/>
      </font>
      <fill>
        <patternFill patternType="solid">
          <fgColor rgb="00F8E4E2"/>
          <bgColor rgb="00F8E4E2"/>
        </patternFill>
      </fill>
    </dxf>
    <dxf>
      <font>
        <name val="Arial"/>
        <b val="1"/>
        <color rgb="008A8A8A"/>
      </font>
      <fill>
        <patternFill patternType="solid">
          <fgColor rgb="00EDEDED"/>
          <bgColor rgb="00EDEDED"/>
        </patternFill>
      </fill>
    </dxf>
    <dxf>
      <fill>
        <patternFill patternType="solid">
          <fgColor rgb="00F2F5F3"/>
          <bgColor rgb="00F2F5F3"/>
        </patternFill>
      </fill>
      <border>
        <left style="thin">
          <color rgb="00D7DFDA"/>
        </left>
        <right style="thin">
          <color rgb="00D7DFDA"/>
        </right>
        <top style="thin">
          <color rgb="00D7DFDA"/>
        </top>
        <bottom style="thin">
          <color rgb="00D7DFDA"/>
        </bottom>
      </border>
    </dxf>
    <dxf>
      <font>
        <name val="Arial"/>
        <b val="1"/>
        <color rgb="00A3312B"/>
      </font>
    </dxf>
    <dxf>
      <font>
        <name val="Arial"/>
        <b val="1"/>
        <color rgb="002C5A84"/>
      </font>
    </dxf>
    <dxf>
      <font>
        <name val="Arial"/>
        <b val="1"/>
        <color rgb="008A5200"/>
      </font>
    </dxf>
    <dxf>
      <font>
        <name val="Arial"/>
        <b val="1"/>
        <color rgb="000F5A45"/>
      </font>
    </dxf>
    <dxf>
      <font>
        <name val="Arial"/>
        <strike val="1"/>
        <color rgb="009AA0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211D"/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Воронка кровельщиков</t>
        </is>
      </c>
    </row>
    <row r="2">
      <c r="A2" s="2">
        <f>"Положение дел на "&amp;TEXT(TODAY(),"dd.mm.yyyy")&amp;". Лист собирается сам из «Лидов»."</f>
        <v/>
      </c>
    </row>
    <row r="4" ht="30" customHeight="1">
      <c r="A4" s="3" t="inlineStr">
        <is>
          <t>в очереди</t>
        </is>
      </c>
      <c r="B4" s="3" t="inlineStr">
        <is>
          <t>написали</t>
        </is>
      </c>
      <c r="C4" s="3" t="inlineStr">
        <is>
          <t>в работе</t>
        </is>
      </c>
      <c r="D4" s="3" t="inlineStr">
        <is>
          <t>дел на сегодня</t>
        </is>
      </c>
      <c r="E4" s="3" t="inlineStr">
        <is>
          <t>просрочено</t>
        </is>
      </c>
      <c r="F4" s="3" t="inlineStr">
        <is>
          <t>молчат 3+ дня</t>
        </is>
      </c>
      <c r="G4" s="3" t="inlineStr">
        <is>
          <t>созвонов назначено</t>
        </is>
      </c>
      <c r="H4" s="3" t="inlineStr">
        <is>
          <t>клиентов</t>
        </is>
      </c>
    </row>
    <row r="5" ht="40" customHeight="1">
      <c r="A5" s="4">
        <f>COUNTIF('Лиды'!$C$2:$C$2000,"Очередь")</f>
        <v/>
      </c>
      <c r="B5" s="5">
        <f>COUNTA('Лиды'!$B$2:$B$2000)-COUNTIF('Лиды'!$C$2:$C$2000,"Очередь")-COUNTIF('Лиды'!$C$2:$C$2000,"Не писать")</f>
        <v/>
      </c>
      <c r="C5" s="6">
        <f>COUNTIF('Лиды'!$C$2:$C$2000,"Ответил")+COUNTIF('Лиды'!$C$2:$C$2000,"Доработать")+COUNTIF('Лиды'!$C$2:$C$2000,"Перезвонить")+COUNTIF('Лиды'!$C$2:$C$2000,"Созвон")</f>
        <v/>
      </c>
      <c r="D5" s="7">
        <f>COUNTIF('Лиды'!$F$2:$F$2000,"сегодня")+COUNTIF('Лиды'!$F$2:$F$2000,"укажи дату")</f>
        <v/>
      </c>
      <c r="E5" s="8">
        <f>COUNTIF('Лиды'!$F$2:$F$2000,"просрочено")</f>
        <v/>
      </c>
      <c r="F5" s="7">
        <f>COUNTIF('Лиды'!$F$2:$F$2000,"молчит*")</f>
        <v/>
      </c>
      <c r="G5" s="6">
        <f>COUNTIF('Лиды'!$C$2:$C$2000,"Созвон")</f>
        <v/>
      </c>
      <c r="H5" s="6">
        <f>COUNTIF('Лиды'!$C$2:$C$2000,"Клиент")</f>
        <v/>
      </c>
    </row>
    <row r="7">
      <c r="A7" s="9" t="inlineStr">
        <is>
          <t>Этапы и менеджеры</t>
        </is>
      </c>
    </row>
    <row r="8" ht="26" customHeight="1">
      <c r="A8" s="10" t="inlineStr">
        <is>
          <t>Этап</t>
        </is>
      </c>
      <c r="B8" s="10" t="inlineStr">
        <is>
          <t>Всего</t>
        </is>
      </c>
      <c r="C8" s="10" t="inlineStr">
        <is>
          <t>Ильяс</t>
        </is>
      </c>
      <c r="D8" s="10" t="inlineStr">
        <is>
          <t>Зураб</t>
        </is>
      </c>
      <c r="E8" s="10" t="inlineStr">
        <is>
          <t>Тимурлан</t>
        </is>
      </c>
      <c r="F8" s="10" t="inlineStr">
        <is>
          <t>Без менеджера</t>
        </is>
      </c>
      <c r="G8" s="10" t="inlineStr">
        <is>
          <t>Доля</t>
        </is>
      </c>
    </row>
    <row r="9" ht="22" customHeight="1">
      <c r="A9" s="11" t="inlineStr">
        <is>
          <t>Отправлено</t>
        </is>
      </c>
      <c r="B9" s="12">
        <f>COUNTIF('Лиды'!$C$2:$C$2000,"Отправлено")</f>
        <v/>
      </c>
      <c r="C9" s="13">
        <f>COUNTIFS('Лиды'!$C$2:$C$2000,"Отправлено",'Лиды'!$D$2:$D$2000,"Ильяс")</f>
        <v/>
      </c>
      <c r="D9" s="13">
        <f>COUNTIFS('Лиды'!$C$2:$C$2000,"Отправлено",'Лиды'!$D$2:$D$2000,"Зураб")</f>
        <v/>
      </c>
      <c r="E9" s="13">
        <f>COUNTIFS('Лиды'!$C$2:$C$2000,"Отправлено",'Лиды'!$D$2:$D$2000,"Тимурлан")</f>
        <v/>
      </c>
      <c r="F9" s="13">
        <f>B9-SUM(C9:E9)</f>
        <v/>
      </c>
      <c r="G9" s="14">
        <f>REPT("█",IF(MAX($B$9:$B$16)=0,0,ROUND(B9/MAX($B$9:$B$16)*24,0)))</f>
        <v/>
      </c>
    </row>
    <row r="10" ht="22" customHeight="1">
      <c r="A10" s="15" t="inlineStr">
        <is>
          <t>Не ответил</t>
        </is>
      </c>
      <c r="B10" s="12">
        <f>COUNTIF('Лиды'!$C$2:$C$2000,"Не ответил")</f>
        <v/>
      </c>
      <c r="C10" s="13">
        <f>COUNTIFS('Лиды'!$C$2:$C$2000,"Не ответил",'Лиды'!$D$2:$D$2000,"Ильяс")</f>
        <v/>
      </c>
      <c r="D10" s="13">
        <f>COUNTIFS('Лиды'!$C$2:$C$2000,"Не ответил",'Лиды'!$D$2:$D$2000,"Зураб")</f>
        <v/>
      </c>
      <c r="E10" s="13">
        <f>COUNTIFS('Лиды'!$C$2:$C$2000,"Не ответил",'Лиды'!$D$2:$D$2000,"Тимурлан")</f>
        <v/>
      </c>
      <c r="F10" s="13">
        <f>B10-SUM(C10:E10)</f>
        <v/>
      </c>
      <c r="G10" s="16">
        <f>REPT("█",IF(MAX($B$9:$B$16)=0,0,ROUND(B10/MAX($B$9:$B$16)*24,0)))</f>
        <v/>
      </c>
    </row>
    <row r="11" ht="22" customHeight="1">
      <c r="A11" s="17" t="inlineStr">
        <is>
          <t>Ответил</t>
        </is>
      </c>
      <c r="B11" s="12">
        <f>COUNTIF('Лиды'!$C$2:$C$2000,"Ответил")</f>
        <v/>
      </c>
      <c r="C11" s="13">
        <f>COUNTIFS('Лиды'!$C$2:$C$2000,"Ответил",'Лиды'!$D$2:$D$2000,"Ильяс")</f>
        <v/>
      </c>
      <c r="D11" s="13">
        <f>COUNTIFS('Лиды'!$C$2:$C$2000,"Ответил",'Лиды'!$D$2:$D$2000,"Зураб")</f>
        <v/>
      </c>
      <c r="E11" s="13">
        <f>COUNTIFS('Лиды'!$C$2:$C$2000,"Ответил",'Лиды'!$D$2:$D$2000,"Тимурлан")</f>
        <v/>
      </c>
      <c r="F11" s="13">
        <f>B11-SUM(C11:E11)</f>
        <v/>
      </c>
      <c r="G11" s="18">
        <f>REPT("█",IF(MAX($B$9:$B$16)=0,0,ROUND(B11/MAX($B$9:$B$16)*24,0)))</f>
        <v/>
      </c>
    </row>
    <row r="12" ht="22" customHeight="1">
      <c r="A12" s="19" t="inlineStr">
        <is>
          <t>Доработать</t>
        </is>
      </c>
      <c r="B12" s="12">
        <f>COUNTIF('Лиды'!$C$2:$C$2000,"Доработать")</f>
        <v/>
      </c>
      <c r="C12" s="13">
        <f>COUNTIFS('Лиды'!$C$2:$C$2000,"Доработать",'Лиды'!$D$2:$D$2000,"Ильяс")</f>
        <v/>
      </c>
      <c r="D12" s="13">
        <f>COUNTIFS('Лиды'!$C$2:$C$2000,"Доработать",'Лиды'!$D$2:$D$2000,"Зураб")</f>
        <v/>
      </c>
      <c r="E12" s="13">
        <f>COUNTIFS('Лиды'!$C$2:$C$2000,"Доработать",'Лиды'!$D$2:$D$2000,"Тимурлан")</f>
        <v/>
      </c>
      <c r="F12" s="13">
        <f>B12-SUM(C12:E12)</f>
        <v/>
      </c>
      <c r="G12" s="20">
        <f>REPT("█",IF(MAX($B$9:$B$16)=0,0,ROUND(B12/MAX($B$9:$B$16)*24,0)))</f>
        <v/>
      </c>
    </row>
    <row r="13" ht="22" customHeight="1">
      <c r="A13" s="21" t="inlineStr">
        <is>
          <t>Перезвонить</t>
        </is>
      </c>
      <c r="B13" s="12">
        <f>COUNTIF('Лиды'!$C$2:$C$2000,"Перезвонить")</f>
        <v/>
      </c>
      <c r="C13" s="13">
        <f>COUNTIFS('Лиды'!$C$2:$C$2000,"Перезвонить",'Лиды'!$D$2:$D$2000,"Ильяс")</f>
        <v/>
      </c>
      <c r="D13" s="13">
        <f>COUNTIFS('Лиды'!$C$2:$C$2000,"Перезвонить",'Лиды'!$D$2:$D$2000,"Зураб")</f>
        <v/>
      </c>
      <c r="E13" s="13">
        <f>COUNTIFS('Лиды'!$C$2:$C$2000,"Перезвонить",'Лиды'!$D$2:$D$2000,"Тимурлан")</f>
        <v/>
      </c>
      <c r="F13" s="13">
        <f>B13-SUM(C13:E13)</f>
        <v/>
      </c>
      <c r="G13" s="22">
        <f>REPT("█",IF(MAX($B$9:$B$16)=0,0,ROUND(B13/MAX($B$9:$B$16)*24,0)))</f>
        <v/>
      </c>
    </row>
    <row r="14" ht="22" customHeight="1">
      <c r="A14" s="23" t="inlineStr">
        <is>
          <t>Созвон</t>
        </is>
      </c>
      <c r="B14" s="12">
        <f>COUNTIF('Лиды'!$C$2:$C$2000,"Созвон")</f>
        <v/>
      </c>
      <c r="C14" s="13">
        <f>COUNTIFS('Лиды'!$C$2:$C$2000,"Созвон",'Лиды'!$D$2:$D$2000,"Ильяс")</f>
        <v/>
      </c>
      <c r="D14" s="13">
        <f>COUNTIFS('Лиды'!$C$2:$C$2000,"Созвон",'Лиды'!$D$2:$D$2000,"Зураб")</f>
        <v/>
      </c>
      <c r="E14" s="13">
        <f>COUNTIFS('Лиды'!$C$2:$C$2000,"Созвон",'Лиды'!$D$2:$D$2000,"Тимурлан")</f>
        <v/>
      </c>
      <c r="F14" s="13">
        <f>B14-SUM(C14:E14)</f>
        <v/>
      </c>
      <c r="G14" s="24">
        <f>REPT("█",IF(MAX($B$9:$B$16)=0,0,ROUND(B14/MAX($B$9:$B$16)*24,0)))</f>
        <v/>
      </c>
    </row>
    <row r="15" ht="22" customHeight="1">
      <c r="A15" s="25" t="inlineStr">
        <is>
          <t>Клиент</t>
        </is>
      </c>
      <c r="B15" s="12">
        <f>COUNTIF('Лиды'!$C$2:$C$2000,"Клиент")</f>
        <v/>
      </c>
      <c r="C15" s="13">
        <f>COUNTIFS('Лиды'!$C$2:$C$2000,"Клиент",'Лиды'!$D$2:$D$2000,"Ильяс")</f>
        <v/>
      </c>
      <c r="D15" s="13">
        <f>COUNTIFS('Лиды'!$C$2:$C$2000,"Клиент",'Лиды'!$D$2:$D$2000,"Зураб")</f>
        <v/>
      </c>
      <c r="E15" s="13">
        <f>COUNTIFS('Лиды'!$C$2:$C$2000,"Клиент",'Лиды'!$D$2:$D$2000,"Тимурлан")</f>
        <v/>
      </c>
      <c r="F15" s="13">
        <f>B15-SUM(C15:E15)</f>
        <v/>
      </c>
      <c r="G15" s="18">
        <f>REPT("█",IF(MAX($B$9:$B$16)=0,0,ROUND(B15/MAX($B$9:$B$16)*24,0)))</f>
        <v/>
      </c>
    </row>
    <row r="16" ht="22" customHeight="1">
      <c r="A16" s="26" t="inlineStr">
        <is>
          <t>Отказ</t>
        </is>
      </c>
      <c r="B16" s="12">
        <f>COUNTIF('Лиды'!$C$2:$C$2000,"Отказ")</f>
        <v/>
      </c>
      <c r="C16" s="13">
        <f>COUNTIFS('Лиды'!$C$2:$C$2000,"Отказ",'Лиды'!$D$2:$D$2000,"Ильяс")</f>
        <v/>
      </c>
      <c r="D16" s="13">
        <f>COUNTIFS('Лиды'!$C$2:$C$2000,"Отказ",'Лиды'!$D$2:$D$2000,"Зураб")</f>
        <v/>
      </c>
      <c r="E16" s="13">
        <f>COUNTIFS('Лиды'!$C$2:$C$2000,"Отказ",'Лиды'!$D$2:$D$2000,"Тимурлан")</f>
        <v/>
      </c>
      <c r="F16" s="13">
        <f>B16-SUM(C16:E16)</f>
        <v/>
      </c>
      <c r="G16" s="27">
        <f>REPT("█",IF(MAX($B$9:$B$16)=0,0,ROUND(B16/MAX($B$9:$B$16)*24,0)))</f>
        <v/>
      </c>
    </row>
    <row r="17">
      <c r="A17" s="28" t="inlineStr">
        <is>
          <t>Всего в воронке</t>
        </is>
      </c>
      <c r="B17" s="29">
        <f>SUM(B9:B16)</f>
        <v/>
      </c>
      <c r="C17" s="29">
        <f>SUM(C9:C16)</f>
        <v/>
      </c>
      <c r="D17" s="29">
        <f>SUM(D9:D16)</f>
        <v/>
      </c>
      <c r="E17" s="29">
        <f>SUM(E9:E16)</f>
        <v/>
      </c>
      <c r="F17" s="29">
        <f>SUM(F9:F16)</f>
        <v/>
      </c>
    </row>
    <row r="19">
      <c r="A19" s="9" t="inlineStr">
        <is>
          <t>Конверсия</t>
        </is>
      </c>
    </row>
    <row r="20" ht="24" customHeight="1">
      <c r="A20" s="10" t="inlineStr">
        <is>
          <t>Шаг</t>
        </is>
      </c>
      <c r="B20" s="10" t="inlineStr">
        <is>
          <t>Лидов</t>
        </is>
      </c>
      <c r="C20" s="10" t="inlineStr">
        <is>
          <t>От написанных</t>
        </is>
      </c>
    </row>
    <row r="21">
      <c r="A21" s="30" t="inlineStr">
        <is>
          <t>Написали</t>
        </is>
      </c>
      <c r="B21" s="12">
        <f>B5</f>
        <v/>
      </c>
      <c r="C21" s="31">
        <f>IF($B$21=0,"—",B21/$B$21)</f>
        <v/>
      </c>
    </row>
    <row r="22">
      <c r="A22" s="30" t="inlineStr">
        <is>
          <t>Ответили</t>
        </is>
      </c>
      <c r="B22" s="12">
        <f>COUNTIF('Лиды'!$C$2:$C$2000,"Ответил")+COUNTIF('Лиды'!$C$2:$C$2000,"Доработать")+COUNTIF('Лиды'!$C$2:$C$2000,"Перезвонить")+COUNTIF('Лиды'!$C$2:$C$2000,"Созвон")+COUNTIF('Лиды'!$C$2:$C$2000,"Клиент")+COUNTIF('Лиды'!$C$2:$C$2000,"Отказ")</f>
        <v/>
      </c>
      <c r="C22" s="31">
        <f>IF($B$21=0,"—",B22/$B$21)</f>
        <v/>
      </c>
    </row>
    <row r="23">
      <c r="A23" s="30" t="inlineStr">
        <is>
          <t>Созвон или клиент</t>
        </is>
      </c>
      <c r="B23" s="12">
        <f>COUNTIF('Лиды'!$C$2:$C$2000,"Созвон")+COUNTIF('Лиды'!$C$2:$C$2000,"Клиент")</f>
        <v/>
      </c>
      <c r="C23" s="31">
        <f>IF($B$21=0,"—",B23/$B$21)</f>
        <v/>
      </c>
    </row>
    <row r="24">
      <c r="A24" s="30" t="inlineStr">
        <is>
          <t>Клиенты</t>
        </is>
      </c>
      <c r="B24" s="12">
        <f>COUNTIF('Лиды'!$C$2:$C$2000,"Клиент")</f>
        <v/>
      </c>
      <c r="C24" s="31">
        <f>IF($B$21=0,"—",B24/$B$21)</f>
        <v/>
      </c>
    </row>
    <row r="26">
      <c r="A26" s="2" t="inlineStr">
        <is>
          <t>Что сделать сейчас — на листе «Сегодня». Кто на каком этапе — на листе «Канбан».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3312B"/>
    <outlinePr summaryBelow="1" summaryRight="1"/>
    <pageSetUpPr/>
  </sheetPr>
  <dimension ref="A1:J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5" customWidth="1" min="3" max="3"/>
    <col width="20" customWidth="1" min="4" max="4"/>
    <col width="16" customWidth="1" min="5" max="5"/>
    <col width="48" customWidth="1" min="6" max="6"/>
    <col width="16" customWidth="1" min="7" max="7"/>
    <col width="15" customWidth="1" min="8" max="8"/>
    <col hidden="1" width="5" customWidth="1" min="9" max="9"/>
    <col width="16" customWidth="1" min="10" max="10"/>
  </cols>
  <sheetData>
    <row r="1">
      <c r="A1" s="1" t="inlineStr">
        <is>
          <t>Сегодня</t>
        </is>
      </c>
    </row>
    <row r="2">
      <c r="A2" s="2" t="inlineStr">
        <is>
          <t>Все дела команды: на сегодня, просроченные, без даты и те, кто молчит три дня. Сверху самые старые. Править — на листе «Лиды».</t>
        </is>
      </c>
    </row>
    <row r="4" ht="30" customHeight="1">
      <c r="A4" s="10" t="inlineStr">
        <is>
          <t>Компания</t>
        </is>
      </c>
      <c r="B4" s="10" t="inlineStr">
        <is>
          <t>Этап</t>
        </is>
      </c>
      <c r="C4" s="10" t="inlineStr">
        <is>
          <t>Менеджер</t>
        </is>
      </c>
      <c r="D4" s="10" t="inlineStr">
        <is>
          <t>Следующий контакт</t>
        </is>
      </c>
      <c r="E4" s="10" t="inlineStr">
        <is>
          <t>Срок</t>
        </is>
      </c>
      <c r="F4" s="10" t="inlineStr">
        <is>
          <t>Заметка</t>
        </is>
      </c>
      <c r="G4" s="10" t="inlineStr">
        <is>
          <t>Телефон</t>
        </is>
      </c>
      <c r="H4" s="10" t="inlineStr">
        <is>
          <t>Написали</t>
        </is>
      </c>
      <c r="I4" s="10" t="inlineStr">
        <is>
          <t>ранг</t>
        </is>
      </c>
      <c r="J4" s="10" t="inlineStr">
        <is>
          <t>Чат</t>
        </is>
      </c>
    </row>
    <row r="5">
      <c r="A5" s="32">
        <f>IFERROR(SORT(FILTER('Лиды'!$B$2:$J$2000,'Лиды'!$V$2:$V$2000=1),4,TRUE),"Дел нет")</f>
        <v/>
      </c>
      <c r="B5" s="33" t="n"/>
      <c r="C5" s="33" t="n"/>
      <c r="D5" s="34" t="n"/>
      <c r="E5" s="33" t="n"/>
      <c r="F5" s="35" t="n"/>
      <c r="G5" s="36" t="n"/>
      <c r="H5" s="37" t="n"/>
      <c r="I5" s="38" t="n"/>
      <c r="J5" s="39">
        <f>IF(G5="","",HYPERLINK("https://wa.me/"&amp;G5,"Открыть чат"))</f>
        <v/>
      </c>
    </row>
    <row r="6">
      <c r="A6" s="32" t="n"/>
      <c r="B6" s="33" t="n"/>
      <c r="C6" s="33" t="n"/>
      <c r="D6" s="34" t="n"/>
      <c r="E6" s="33" t="n"/>
      <c r="F6" s="35" t="n"/>
      <c r="G6" s="36" t="n"/>
      <c r="H6" s="37" t="n"/>
      <c r="I6" s="38" t="n"/>
      <c r="J6" s="39">
        <f>IF(G6="","",HYPERLINK("https://wa.me/"&amp;G6,"Открыть чат"))</f>
        <v/>
      </c>
    </row>
    <row r="7">
      <c r="A7" s="32" t="n"/>
      <c r="B7" s="33" t="n"/>
      <c r="C7" s="33" t="n"/>
      <c r="D7" s="34" t="n"/>
      <c r="E7" s="33" t="n"/>
      <c r="F7" s="35" t="n"/>
      <c r="G7" s="36" t="n"/>
      <c r="H7" s="37" t="n"/>
      <c r="I7" s="38" t="n"/>
      <c r="J7" s="39">
        <f>IF(G7="","",HYPERLINK("https://wa.me/"&amp;G7,"Открыть чат"))</f>
        <v/>
      </c>
    </row>
    <row r="8">
      <c r="A8" s="32" t="n"/>
      <c r="B8" s="33" t="n"/>
      <c r="C8" s="33" t="n"/>
      <c r="D8" s="34" t="n"/>
      <c r="E8" s="33" t="n"/>
      <c r="F8" s="35" t="n"/>
      <c r="G8" s="36" t="n"/>
      <c r="H8" s="37" t="n"/>
      <c r="I8" s="38" t="n"/>
      <c r="J8" s="39">
        <f>IF(G8="","",HYPERLINK("https://wa.me/"&amp;G8,"Открыть чат"))</f>
        <v/>
      </c>
    </row>
    <row r="9">
      <c r="A9" s="32" t="n"/>
      <c r="B9" s="33" t="n"/>
      <c r="C9" s="33" t="n"/>
      <c r="D9" s="34" t="n"/>
      <c r="E9" s="33" t="n"/>
      <c r="F9" s="35" t="n"/>
      <c r="G9" s="36" t="n"/>
      <c r="H9" s="37" t="n"/>
      <c r="I9" s="38" t="n"/>
      <c r="J9" s="39">
        <f>IF(G9="","",HYPERLINK("https://wa.me/"&amp;G9,"Открыть чат"))</f>
        <v/>
      </c>
    </row>
    <row r="10">
      <c r="A10" s="32" t="n"/>
      <c r="B10" s="33" t="n"/>
      <c r="C10" s="33" t="n"/>
      <c r="D10" s="34" t="n"/>
      <c r="E10" s="33" t="n"/>
      <c r="F10" s="35" t="n"/>
      <c r="G10" s="36" t="n"/>
      <c r="H10" s="37" t="n"/>
      <c r="I10" s="38" t="n"/>
      <c r="J10" s="39">
        <f>IF(G10="","",HYPERLINK("https://wa.me/"&amp;G10,"Открыть чат"))</f>
        <v/>
      </c>
    </row>
    <row r="11">
      <c r="A11" s="32" t="n"/>
      <c r="B11" s="33" t="n"/>
      <c r="C11" s="33" t="n"/>
      <c r="D11" s="34" t="n"/>
      <c r="E11" s="33" t="n"/>
      <c r="F11" s="35" t="n"/>
      <c r="G11" s="36" t="n"/>
      <c r="H11" s="37" t="n"/>
      <c r="I11" s="38" t="n"/>
      <c r="J11" s="39">
        <f>IF(G11="","",HYPERLINK("https://wa.me/"&amp;G11,"Открыть чат"))</f>
        <v/>
      </c>
    </row>
    <row r="12">
      <c r="A12" s="32" t="n"/>
      <c r="B12" s="33" t="n"/>
      <c r="C12" s="33" t="n"/>
      <c r="D12" s="34" t="n"/>
      <c r="E12" s="33" t="n"/>
      <c r="F12" s="35" t="n"/>
      <c r="G12" s="36" t="n"/>
      <c r="H12" s="37" t="n"/>
      <c r="I12" s="38" t="n"/>
      <c r="J12" s="39">
        <f>IF(G12="","",HYPERLINK("https://wa.me/"&amp;G12,"Открыть чат"))</f>
        <v/>
      </c>
    </row>
    <row r="13">
      <c r="A13" s="32" t="n"/>
      <c r="B13" s="33" t="n"/>
      <c r="C13" s="33" t="n"/>
      <c r="D13" s="34" t="n"/>
      <c r="E13" s="33" t="n"/>
      <c r="F13" s="35" t="n"/>
      <c r="G13" s="36" t="n"/>
      <c r="H13" s="37" t="n"/>
      <c r="I13" s="38" t="n"/>
      <c r="J13" s="39">
        <f>IF(G13="","",HYPERLINK("https://wa.me/"&amp;G13,"Открыть чат"))</f>
        <v/>
      </c>
    </row>
    <row r="14">
      <c r="A14" s="32" t="n"/>
      <c r="B14" s="33" t="n"/>
      <c r="C14" s="33" t="n"/>
      <c r="D14" s="34" t="n"/>
      <c r="E14" s="33" t="n"/>
      <c r="F14" s="35" t="n"/>
      <c r="G14" s="36" t="n"/>
      <c r="H14" s="37" t="n"/>
      <c r="I14" s="38" t="n"/>
      <c r="J14" s="39">
        <f>IF(G14="","",HYPERLINK("https://wa.me/"&amp;G14,"Открыть чат"))</f>
        <v/>
      </c>
    </row>
    <row r="15">
      <c r="A15" s="32" t="n"/>
      <c r="B15" s="33" t="n"/>
      <c r="C15" s="33" t="n"/>
      <c r="D15" s="34" t="n"/>
      <c r="E15" s="33" t="n"/>
      <c r="F15" s="35" t="n"/>
      <c r="G15" s="36" t="n"/>
      <c r="H15" s="37" t="n"/>
      <c r="I15" s="38" t="n"/>
      <c r="J15" s="39">
        <f>IF(G15="","",HYPERLINK("https://wa.me/"&amp;G15,"Открыть чат"))</f>
        <v/>
      </c>
    </row>
    <row r="16">
      <c r="A16" s="32" t="n"/>
      <c r="B16" s="33" t="n"/>
      <c r="C16" s="33" t="n"/>
      <c r="D16" s="34" t="n"/>
      <c r="E16" s="33" t="n"/>
      <c r="F16" s="35" t="n"/>
      <c r="G16" s="36" t="n"/>
      <c r="H16" s="37" t="n"/>
      <c r="I16" s="38" t="n"/>
      <c r="J16" s="39">
        <f>IF(G16="","",HYPERLINK("https://wa.me/"&amp;G16,"Открыть чат"))</f>
        <v/>
      </c>
    </row>
    <row r="17">
      <c r="A17" s="32" t="n"/>
      <c r="B17" s="33" t="n"/>
      <c r="C17" s="33" t="n"/>
      <c r="D17" s="34" t="n"/>
      <c r="E17" s="33" t="n"/>
      <c r="F17" s="35" t="n"/>
      <c r="G17" s="36" t="n"/>
      <c r="H17" s="37" t="n"/>
      <c r="I17" s="38" t="n"/>
      <c r="J17" s="39">
        <f>IF(G17="","",HYPERLINK("https://wa.me/"&amp;G17,"Открыть чат"))</f>
        <v/>
      </c>
    </row>
    <row r="18">
      <c r="A18" s="32" t="n"/>
      <c r="B18" s="33" t="n"/>
      <c r="C18" s="33" t="n"/>
      <c r="D18" s="34" t="n"/>
      <c r="E18" s="33" t="n"/>
      <c r="F18" s="35" t="n"/>
      <c r="G18" s="36" t="n"/>
      <c r="H18" s="37" t="n"/>
      <c r="I18" s="38" t="n"/>
      <c r="J18" s="39">
        <f>IF(G18="","",HYPERLINK("https://wa.me/"&amp;G18,"Открыть чат"))</f>
        <v/>
      </c>
    </row>
    <row r="19">
      <c r="A19" s="32" t="n"/>
      <c r="B19" s="33" t="n"/>
      <c r="C19" s="33" t="n"/>
      <c r="D19" s="34" t="n"/>
      <c r="E19" s="33" t="n"/>
      <c r="F19" s="35" t="n"/>
      <c r="G19" s="36" t="n"/>
      <c r="H19" s="37" t="n"/>
      <c r="I19" s="38" t="n"/>
      <c r="J19" s="39">
        <f>IF(G19="","",HYPERLINK("https://wa.me/"&amp;G19,"Открыть чат"))</f>
        <v/>
      </c>
    </row>
    <row r="20">
      <c r="A20" s="32" t="n"/>
      <c r="B20" s="33" t="n"/>
      <c r="C20" s="33" t="n"/>
      <c r="D20" s="34" t="n"/>
      <c r="E20" s="33" t="n"/>
      <c r="F20" s="35" t="n"/>
      <c r="G20" s="36" t="n"/>
      <c r="H20" s="37" t="n"/>
      <c r="I20" s="38" t="n"/>
      <c r="J20" s="39">
        <f>IF(G20="","",HYPERLINK("https://wa.me/"&amp;G20,"Открыть чат"))</f>
        <v/>
      </c>
    </row>
    <row r="21">
      <c r="A21" s="32" t="n"/>
      <c r="B21" s="33" t="n"/>
      <c r="C21" s="33" t="n"/>
      <c r="D21" s="34" t="n"/>
      <c r="E21" s="33" t="n"/>
      <c r="F21" s="35" t="n"/>
      <c r="G21" s="36" t="n"/>
      <c r="H21" s="37" t="n"/>
      <c r="I21" s="38" t="n"/>
      <c r="J21" s="39">
        <f>IF(G21="","",HYPERLINK("https://wa.me/"&amp;G21,"Открыть чат"))</f>
        <v/>
      </c>
    </row>
    <row r="22">
      <c r="A22" s="32" t="n"/>
      <c r="B22" s="33" t="n"/>
      <c r="C22" s="33" t="n"/>
      <c r="D22" s="34" t="n"/>
      <c r="E22" s="33" t="n"/>
      <c r="F22" s="35" t="n"/>
      <c r="G22" s="36" t="n"/>
      <c r="H22" s="37" t="n"/>
      <c r="I22" s="38" t="n"/>
      <c r="J22" s="39">
        <f>IF(G22="","",HYPERLINK("https://wa.me/"&amp;G22,"Открыть чат"))</f>
        <v/>
      </c>
    </row>
    <row r="23">
      <c r="A23" s="32" t="n"/>
      <c r="B23" s="33" t="n"/>
      <c r="C23" s="33" t="n"/>
      <c r="D23" s="34" t="n"/>
      <c r="E23" s="33" t="n"/>
      <c r="F23" s="35" t="n"/>
      <c r="G23" s="36" t="n"/>
      <c r="H23" s="37" t="n"/>
      <c r="I23" s="38" t="n"/>
      <c r="J23" s="39">
        <f>IF(G23="","",HYPERLINK("https://wa.me/"&amp;G23,"Открыть чат"))</f>
        <v/>
      </c>
    </row>
    <row r="24">
      <c r="A24" s="32" t="n"/>
      <c r="B24" s="33" t="n"/>
      <c r="C24" s="33" t="n"/>
      <c r="D24" s="34" t="n"/>
      <c r="E24" s="33" t="n"/>
      <c r="F24" s="35" t="n"/>
      <c r="G24" s="36" t="n"/>
      <c r="H24" s="37" t="n"/>
      <c r="I24" s="38" t="n"/>
      <c r="J24" s="39">
        <f>IF(G24="","",HYPERLINK("https://wa.me/"&amp;G24,"Открыть чат"))</f>
        <v/>
      </c>
    </row>
    <row r="25">
      <c r="A25" s="32" t="n"/>
      <c r="B25" s="33" t="n"/>
      <c r="C25" s="33" t="n"/>
      <c r="D25" s="34" t="n"/>
      <c r="E25" s="33" t="n"/>
      <c r="F25" s="35" t="n"/>
      <c r="G25" s="36" t="n"/>
      <c r="H25" s="37" t="n"/>
      <c r="I25" s="38" t="n"/>
      <c r="J25" s="39">
        <f>IF(G25="","",HYPERLINK("https://wa.me/"&amp;G25,"Открыть чат"))</f>
        <v/>
      </c>
    </row>
    <row r="26">
      <c r="A26" s="32" t="n"/>
      <c r="B26" s="33" t="n"/>
      <c r="C26" s="33" t="n"/>
      <c r="D26" s="34" t="n"/>
      <c r="E26" s="33" t="n"/>
      <c r="F26" s="35" t="n"/>
      <c r="G26" s="36" t="n"/>
      <c r="H26" s="37" t="n"/>
      <c r="I26" s="38" t="n"/>
      <c r="J26" s="39">
        <f>IF(G26="","",HYPERLINK("https://wa.me/"&amp;G26,"Открыть чат"))</f>
        <v/>
      </c>
    </row>
    <row r="27">
      <c r="A27" s="32" t="n"/>
      <c r="B27" s="33" t="n"/>
      <c r="C27" s="33" t="n"/>
      <c r="D27" s="34" t="n"/>
      <c r="E27" s="33" t="n"/>
      <c r="F27" s="35" t="n"/>
      <c r="G27" s="36" t="n"/>
      <c r="H27" s="37" t="n"/>
      <c r="I27" s="38" t="n"/>
      <c r="J27" s="39">
        <f>IF(G27="","",HYPERLINK("https://wa.me/"&amp;G27,"Открыть чат"))</f>
        <v/>
      </c>
    </row>
    <row r="28">
      <c r="A28" s="32" t="n"/>
      <c r="B28" s="33" t="n"/>
      <c r="C28" s="33" t="n"/>
      <c r="D28" s="34" t="n"/>
      <c r="E28" s="33" t="n"/>
      <c r="F28" s="35" t="n"/>
      <c r="G28" s="36" t="n"/>
      <c r="H28" s="37" t="n"/>
      <c r="I28" s="38" t="n"/>
      <c r="J28" s="39">
        <f>IF(G28="","",HYPERLINK("https://wa.me/"&amp;G28,"Открыть чат"))</f>
        <v/>
      </c>
    </row>
    <row r="29">
      <c r="A29" s="32" t="n"/>
      <c r="B29" s="33" t="n"/>
      <c r="C29" s="33" t="n"/>
      <c r="D29" s="34" t="n"/>
      <c r="E29" s="33" t="n"/>
      <c r="F29" s="35" t="n"/>
      <c r="G29" s="36" t="n"/>
      <c r="H29" s="37" t="n"/>
      <c r="I29" s="38" t="n"/>
      <c r="J29" s="39">
        <f>IF(G29="","",HYPERLINK("https://wa.me/"&amp;G29,"Открыть чат"))</f>
        <v/>
      </c>
    </row>
    <row r="30">
      <c r="A30" s="32" t="n"/>
      <c r="B30" s="33" t="n"/>
      <c r="C30" s="33" t="n"/>
      <c r="D30" s="34" t="n"/>
      <c r="E30" s="33" t="n"/>
      <c r="F30" s="35" t="n"/>
      <c r="G30" s="36" t="n"/>
      <c r="H30" s="37" t="n"/>
      <c r="I30" s="38" t="n"/>
      <c r="J30" s="39">
        <f>IF(G30="","",HYPERLINK("https://wa.me/"&amp;G30,"Открыть чат"))</f>
        <v/>
      </c>
    </row>
    <row r="31">
      <c r="A31" s="32" t="n"/>
      <c r="B31" s="33" t="n"/>
      <c r="C31" s="33" t="n"/>
      <c r="D31" s="34" t="n"/>
      <c r="E31" s="33" t="n"/>
      <c r="F31" s="35" t="n"/>
      <c r="G31" s="36" t="n"/>
      <c r="H31" s="37" t="n"/>
      <c r="I31" s="38" t="n"/>
      <c r="J31" s="39">
        <f>IF(G31="","",HYPERLINK("https://wa.me/"&amp;G31,"Открыть чат"))</f>
        <v/>
      </c>
    </row>
    <row r="32">
      <c r="A32" s="32" t="n"/>
      <c r="B32" s="33" t="n"/>
      <c r="C32" s="33" t="n"/>
      <c r="D32" s="34" t="n"/>
      <c r="E32" s="33" t="n"/>
      <c r="F32" s="35" t="n"/>
      <c r="G32" s="36" t="n"/>
      <c r="H32" s="37" t="n"/>
      <c r="I32" s="38" t="n"/>
      <c r="J32" s="39">
        <f>IF(G32="","",HYPERLINK("https://wa.me/"&amp;G32,"Открыть чат"))</f>
        <v/>
      </c>
    </row>
    <row r="33">
      <c r="A33" s="32" t="n"/>
      <c r="B33" s="33" t="n"/>
      <c r="C33" s="33" t="n"/>
      <c r="D33" s="34" t="n"/>
      <c r="E33" s="33" t="n"/>
      <c r="F33" s="35" t="n"/>
      <c r="G33" s="36" t="n"/>
      <c r="H33" s="37" t="n"/>
      <c r="I33" s="38" t="n"/>
      <c r="J33" s="39">
        <f>IF(G33="","",HYPERLINK("https://wa.me/"&amp;G33,"Открыть чат"))</f>
        <v/>
      </c>
    </row>
    <row r="34">
      <c r="A34" s="32" t="n"/>
      <c r="B34" s="33" t="n"/>
      <c r="C34" s="33" t="n"/>
      <c r="D34" s="34" t="n"/>
      <c r="E34" s="33" t="n"/>
      <c r="F34" s="35" t="n"/>
      <c r="G34" s="36" t="n"/>
      <c r="H34" s="37" t="n"/>
      <c r="I34" s="38" t="n"/>
      <c r="J34" s="39">
        <f>IF(G34="","",HYPERLINK("https://wa.me/"&amp;G34,"Открыть чат"))</f>
        <v/>
      </c>
    </row>
    <row r="35">
      <c r="A35" s="32" t="n"/>
      <c r="B35" s="33" t="n"/>
      <c r="C35" s="33" t="n"/>
      <c r="D35" s="34" t="n"/>
      <c r="E35" s="33" t="n"/>
      <c r="F35" s="35" t="n"/>
      <c r="G35" s="36" t="n"/>
      <c r="H35" s="37" t="n"/>
      <c r="I35" s="38" t="n"/>
      <c r="J35" s="39">
        <f>IF(G35="","",HYPERLINK("https://wa.me/"&amp;G35,"Открыть чат"))</f>
        <v/>
      </c>
    </row>
    <row r="36">
      <c r="A36" s="32" t="n"/>
      <c r="B36" s="33" t="n"/>
      <c r="C36" s="33" t="n"/>
      <c r="D36" s="34" t="n"/>
      <c r="E36" s="33" t="n"/>
      <c r="F36" s="35" t="n"/>
      <c r="G36" s="36" t="n"/>
      <c r="H36" s="37" t="n"/>
      <c r="I36" s="38" t="n"/>
      <c r="J36" s="39">
        <f>IF(G36="","",HYPERLINK("https://wa.me/"&amp;G36,"Открыть чат"))</f>
        <v/>
      </c>
    </row>
    <row r="37">
      <c r="A37" s="32" t="n"/>
      <c r="B37" s="33" t="n"/>
      <c r="C37" s="33" t="n"/>
      <c r="D37" s="34" t="n"/>
      <c r="E37" s="33" t="n"/>
      <c r="F37" s="35" t="n"/>
      <c r="G37" s="36" t="n"/>
      <c r="H37" s="37" t="n"/>
      <c r="I37" s="38" t="n"/>
      <c r="J37" s="39">
        <f>IF(G37="","",HYPERLINK("https://wa.me/"&amp;G37,"Открыть чат"))</f>
        <v/>
      </c>
    </row>
    <row r="38">
      <c r="A38" s="32" t="n"/>
      <c r="B38" s="33" t="n"/>
      <c r="C38" s="33" t="n"/>
      <c r="D38" s="34" t="n"/>
      <c r="E38" s="33" t="n"/>
      <c r="F38" s="35" t="n"/>
      <c r="G38" s="36" t="n"/>
      <c r="H38" s="37" t="n"/>
      <c r="I38" s="38" t="n"/>
      <c r="J38" s="39">
        <f>IF(G38="","",HYPERLINK("https://wa.me/"&amp;G38,"Открыть чат"))</f>
        <v/>
      </c>
    </row>
    <row r="39">
      <c r="A39" s="32" t="n"/>
      <c r="B39" s="33" t="n"/>
      <c r="C39" s="33" t="n"/>
      <c r="D39" s="34" t="n"/>
      <c r="E39" s="33" t="n"/>
      <c r="F39" s="35" t="n"/>
      <c r="G39" s="36" t="n"/>
      <c r="H39" s="37" t="n"/>
      <c r="I39" s="38" t="n"/>
      <c r="J39" s="39">
        <f>IF(G39="","",HYPERLINK("https://wa.me/"&amp;G39,"Открыть чат"))</f>
        <v/>
      </c>
    </row>
    <row r="40">
      <c r="A40" s="32" t="n"/>
      <c r="B40" s="33" t="n"/>
      <c r="C40" s="33" t="n"/>
      <c r="D40" s="34" t="n"/>
      <c r="E40" s="33" t="n"/>
      <c r="F40" s="35" t="n"/>
      <c r="G40" s="36" t="n"/>
      <c r="H40" s="37" t="n"/>
      <c r="I40" s="38" t="n"/>
      <c r="J40" s="39">
        <f>IF(G40="","",HYPERLINK("https://wa.me/"&amp;G40,"Открыть чат"))</f>
        <v/>
      </c>
    </row>
    <row r="41">
      <c r="A41" s="32" t="n"/>
      <c r="B41" s="33" t="n"/>
      <c r="C41" s="33" t="n"/>
      <c r="D41" s="34" t="n"/>
      <c r="E41" s="33" t="n"/>
      <c r="F41" s="35" t="n"/>
      <c r="G41" s="36" t="n"/>
      <c r="H41" s="37" t="n"/>
      <c r="I41" s="38" t="n"/>
      <c r="J41" s="39">
        <f>IF(G41="","",HYPERLINK("https://wa.me/"&amp;G41,"Открыть чат"))</f>
        <v/>
      </c>
    </row>
    <row r="42">
      <c r="A42" s="32" t="n"/>
      <c r="B42" s="33" t="n"/>
      <c r="C42" s="33" t="n"/>
      <c r="D42" s="34" t="n"/>
      <c r="E42" s="33" t="n"/>
      <c r="F42" s="35" t="n"/>
      <c r="G42" s="36" t="n"/>
      <c r="H42" s="37" t="n"/>
      <c r="I42" s="38" t="n"/>
      <c r="J42" s="39">
        <f>IF(G42="","",HYPERLINK("https://wa.me/"&amp;G42,"Открыть чат"))</f>
        <v/>
      </c>
    </row>
    <row r="43">
      <c r="A43" s="32" t="n"/>
      <c r="B43" s="33" t="n"/>
      <c r="C43" s="33" t="n"/>
      <c r="D43" s="34" t="n"/>
      <c r="E43" s="33" t="n"/>
      <c r="F43" s="35" t="n"/>
      <c r="G43" s="36" t="n"/>
      <c r="H43" s="37" t="n"/>
      <c r="I43" s="38" t="n"/>
      <c r="J43" s="39">
        <f>IF(G43="","",HYPERLINK("https://wa.me/"&amp;G43,"Открыть чат"))</f>
        <v/>
      </c>
    </row>
    <row r="44">
      <c r="A44" s="32" t="n"/>
      <c r="B44" s="33" t="n"/>
      <c r="C44" s="33" t="n"/>
      <c r="D44" s="34" t="n"/>
      <c r="E44" s="33" t="n"/>
      <c r="F44" s="35" t="n"/>
      <c r="G44" s="36" t="n"/>
      <c r="H44" s="37" t="n"/>
      <c r="I44" s="38" t="n"/>
      <c r="J44" s="39">
        <f>IF(G44="","",HYPERLINK("https://wa.me/"&amp;G44,"Открыть чат"))</f>
        <v/>
      </c>
    </row>
    <row r="45">
      <c r="A45" s="32" t="n"/>
      <c r="B45" s="33" t="n"/>
      <c r="C45" s="33" t="n"/>
      <c r="D45" s="34" t="n"/>
      <c r="E45" s="33" t="n"/>
      <c r="F45" s="35" t="n"/>
      <c r="G45" s="36" t="n"/>
      <c r="H45" s="37" t="n"/>
      <c r="I45" s="38" t="n"/>
      <c r="J45" s="39">
        <f>IF(G45="","",HYPERLINK("https://wa.me/"&amp;G45,"Открыть чат"))</f>
        <v/>
      </c>
    </row>
    <row r="46">
      <c r="A46" s="32" t="n"/>
      <c r="B46" s="33" t="n"/>
      <c r="C46" s="33" t="n"/>
      <c r="D46" s="34" t="n"/>
      <c r="E46" s="33" t="n"/>
      <c r="F46" s="35" t="n"/>
      <c r="G46" s="36" t="n"/>
      <c r="H46" s="37" t="n"/>
      <c r="I46" s="38" t="n"/>
      <c r="J46" s="39">
        <f>IF(G46="","",HYPERLINK("https://wa.me/"&amp;G46,"Открыть чат"))</f>
        <v/>
      </c>
    </row>
    <row r="47">
      <c r="A47" s="32" t="n"/>
      <c r="B47" s="33" t="n"/>
      <c r="C47" s="33" t="n"/>
      <c r="D47" s="34" t="n"/>
      <c r="E47" s="33" t="n"/>
      <c r="F47" s="35" t="n"/>
      <c r="G47" s="36" t="n"/>
      <c r="H47" s="37" t="n"/>
      <c r="I47" s="38" t="n"/>
      <c r="J47" s="39">
        <f>IF(G47="","",HYPERLINK("https://wa.me/"&amp;G47,"Открыть чат"))</f>
        <v/>
      </c>
    </row>
    <row r="48">
      <c r="A48" s="32" t="n"/>
      <c r="B48" s="33" t="n"/>
      <c r="C48" s="33" t="n"/>
      <c r="D48" s="34" t="n"/>
      <c r="E48" s="33" t="n"/>
      <c r="F48" s="35" t="n"/>
      <c r="G48" s="36" t="n"/>
      <c r="H48" s="37" t="n"/>
      <c r="I48" s="38" t="n"/>
      <c r="J48" s="39">
        <f>IF(G48="","",HYPERLINK("https://wa.me/"&amp;G48,"Открыть чат"))</f>
        <v/>
      </c>
    </row>
    <row r="49">
      <c r="A49" s="32" t="n"/>
      <c r="B49" s="33" t="n"/>
      <c r="C49" s="33" t="n"/>
      <c r="D49" s="34" t="n"/>
      <c r="E49" s="33" t="n"/>
      <c r="F49" s="35" t="n"/>
      <c r="G49" s="36" t="n"/>
      <c r="H49" s="37" t="n"/>
      <c r="I49" s="38" t="n"/>
      <c r="J49" s="39">
        <f>IF(G49="","",HYPERLINK("https://wa.me/"&amp;G49,"Открыть чат"))</f>
        <v/>
      </c>
    </row>
    <row r="50">
      <c r="A50" s="32" t="n"/>
      <c r="B50" s="33" t="n"/>
      <c r="C50" s="33" t="n"/>
      <c r="D50" s="34" t="n"/>
      <c r="E50" s="33" t="n"/>
      <c r="F50" s="35" t="n"/>
      <c r="G50" s="36" t="n"/>
      <c r="H50" s="37" t="n"/>
      <c r="I50" s="38" t="n"/>
      <c r="J50" s="39">
        <f>IF(G50="","",HYPERLINK("https://wa.me/"&amp;G50,"Открыть чат"))</f>
        <v/>
      </c>
    </row>
    <row r="51">
      <c r="A51" s="32" t="n"/>
      <c r="B51" s="33" t="n"/>
      <c r="C51" s="33" t="n"/>
      <c r="D51" s="34" t="n"/>
      <c r="E51" s="33" t="n"/>
      <c r="F51" s="35" t="n"/>
      <c r="G51" s="36" t="n"/>
      <c r="H51" s="37" t="n"/>
      <c r="I51" s="38" t="n"/>
      <c r="J51" s="39">
        <f>IF(G51="","",HYPERLINK("https://wa.me/"&amp;G51,"Открыть чат"))</f>
        <v/>
      </c>
    </row>
    <row r="52">
      <c r="A52" s="32" t="n"/>
      <c r="B52" s="33" t="n"/>
      <c r="C52" s="33" t="n"/>
      <c r="D52" s="34" t="n"/>
      <c r="E52" s="33" t="n"/>
      <c r="F52" s="35" t="n"/>
      <c r="G52" s="36" t="n"/>
      <c r="H52" s="37" t="n"/>
      <c r="I52" s="38" t="n"/>
      <c r="J52" s="39">
        <f>IF(G52="","",HYPERLINK("https://wa.me/"&amp;G52,"Открыть чат"))</f>
        <v/>
      </c>
    </row>
    <row r="53">
      <c r="A53" s="32" t="n"/>
      <c r="B53" s="33" t="n"/>
      <c r="C53" s="33" t="n"/>
      <c r="D53" s="34" t="n"/>
      <c r="E53" s="33" t="n"/>
      <c r="F53" s="35" t="n"/>
      <c r="G53" s="36" t="n"/>
      <c r="H53" s="37" t="n"/>
      <c r="I53" s="38" t="n"/>
      <c r="J53" s="39">
        <f>IF(G53="","",HYPERLINK("https://wa.me/"&amp;G53,"Открыть чат"))</f>
        <v/>
      </c>
    </row>
    <row r="54">
      <c r="A54" s="32" t="n"/>
      <c r="B54" s="33" t="n"/>
      <c r="C54" s="33" t="n"/>
      <c r="D54" s="34" t="n"/>
      <c r="E54" s="33" t="n"/>
      <c r="F54" s="35" t="n"/>
      <c r="G54" s="36" t="n"/>
      <c r="H54" s="37" t="n"/>
      <c r="I54" s="38" t="n"/>
      <c r="J54" s="39">
        <f>IF(G54="","",HYPERLINK("https://wa.me/"&amp;G54,"Открыть чат"))</f>
        <v/>
      </c>
    </row>
    <row r="55">
      <c r="A55" s="32" t="n"/>
      <c r="B55" s="33" t="n"/>
      <c r="C55" s="33" t="n"/>
      <c r="D55" s="34" t="n"/>
      <c r="E55" s="33" t="n"/>
      <c r="F55" s="35" t="n"/>
      <c r="G55" s="36" t="n"/>
      <c r="H55" s="37" t="n"/>
      <c r="I55" s="38" t="n"/>
      <c r="J55" s="39">
        <f>IF(G55="","",HYPERLINK("https://wa.me/"&amp;G55,"Открыть чат"))</f>
        <v/>
      </c>
    </row>
    <row r="56">
      <c r="A56" s="32" t="n"/>
      <c r="B56" s="33" t="n"/>
      <c r="C56" s="33" t="n"/>
      <c r="D56" s="34" t="n"/>
      <c r="E56" s="33" t="n"/>
      <c r="F56" s="35" t="n"/>
      <c r="G56" s="36" t="n"/>
      <c r="H56" s="37" t="n"/>
      <c r="I56" s="38" t="n"/>
      <c r="J56" s="39">
        <f>IF(G56="","",HYPERLINK("https://wa.me/"&amp;G56,"Открыть чат"))</f>
        <v/>
      </c>
    </row>
    <row r="57">
      <c r="A57" s="32" t="n"/>
      <c r="B57" s="33" t="n"/>
      <c r="C57" s="33" t="n"/>
      <c r="D57" s="34" t="n"/>
      <c r="E57" s="33" t="n"/>
      <c r="F57" s="35" t="n"/>
      <c r="G57" s="36" t="n"/>
      <c r="H57" s="37" t="n"/>
      <c r="I57" s="38" t="n"/>
      <c r="J57" s="39">
        <f>IF(G57="","",HYPERLINK("https://wa.me/"&amp;G57,"Открыть чат"))</f>
        <v/>
      </c>
    </row>
    <row r="58">
      <c r="A58" s="32" t="n"/>
      <c r="B58" s="33" t="n"/>
      <c r="C58" s="33" t="n"/>
      <c r="D58" s="34" t="n"/>
      <c r="E58" s="33" t="n"/>
      <c r="F58" s="35" t="n"/>
      <c r="G58" s="36" t="n"/>
      <c r="H58" s="37" t="n"/>
      <c r="I58" s="38" t="n"/>
      <c r="J58" s="39">
        <f>IF(G58="","",HYPERLINK("https://wa.me/"&amp;G58,"Открыть чат"))</f>
        <v/>
      </c>
    </row>
    <row r="59">
      <c r="A59" s="32" t="n"/>
      <c r="B59" s="33" t="n"/>
      <c r="C59" s="33" t="n"/>
      <c r="D59" s="34" t="n"/>
      <c r="E59" s="33" t="n"/>
      <c r="F59" s="35" t="n"/>
      <c r="G59" s="36" t="n"/>
      <c r="H59" s="37" t="n"/>
      <c r="I59" s="38" t="n"/>
      <c r="J59" s="39">
        <f>IF(G59="","",HYPERLINK("https://wa.me/"&amp;G59,"Открыть чат"))</f>
        <v/>
      </c>
    </row>
    <row r="60">
      <c r="A60" s="32" t="n"/>
      <c r="B60" s="33" t="n"/>
      <c r="C60" s="33" t="n"/>
      <c r="D60" s="34" t="n"/>
      <c r="E60" s="33" t="n"/>
      <c r="F60" s="35" t="n"/>
      <c r="G60" s="36" t="n"/>
      <c r="H60" s="37" t="n"/>
      <c r="I60" s="38" t="n"/>
      <c r="J60" s="39">
        <f>IF(G60="","",HYPERLINK("https://wa.me/"&amp;G60,"Открыть чат"))</f>
        <v/>
      </c>
    </row>
    <row r="61">
      <c r="A61" s="32" t="n"/>
      <c r="B61" s="33" t="n"/>
      <c r="C61" s="33" t="n"/>
      <c r="D61" s="34" t="n"/>
      <c r="E61" s="33" t="n"/>
      <c r="F61" s="35" t="n"/>
      <c r="G61" s="36" t="n"/>
      <c r="H61" s="37" t="n"/>
      <c r="I61" s="38" t="n"/>
      <c r="J61" s="39">
        <f>IF(G61="","",HYPERLINK("https://wa.me/"&amp;G61,"Открыть чат"))</f>
        <v/>
      </c>
    </row>
    <row r="62">
      <c r="A62" s="32" t="n"/>
      <c r="B62" s="33" t="n"/>
      <c r="C62" s="33" t="n"/>
      <c r="D62" s="34" t="n"/>
      <c r="E62" s="33" t="n"/>
      <c r="F62" s="35" t="n"/>
      <c r="G62" s="36" t="n"/>
      <c r="H62" s="37" t="n"/>
      <c r="I62" s="38" t="n"/>
      <c r="J62" s="39">
        <f>IF(G62="","",HYPERLINK("https://wa.me/"&amp;G62,"Открыть чат"))</f>
        <v/>
      </c>
    </row>
    <row r="63">
      <c r="A63" s="32" t="n"/>
      <c r="B63" s="33" t="n"/>
      <c r="C63" s="33" t="n"/>
      <c r="D63" s="34" t="n"/>
      <c r="E63" s="33" t="n"/>
      <c r="F63" s="35" t="n"/>
      <c r="G63" s="36" t="n"/>
      <c r="H63" s="37" t="n"/>
      <c r="I63" s="38" t="n"/>
      <c r="J63" s="39">
        <f>IF(G63="","",HYPERLINK("https://wa.me/"&amp;G63,"Открыть чат"))</f>
        <v/>
      </c>
    </row>
    <row r="64">
      <c r="A64" s="32" t="n"/>
      <c r="B64" s="33" t="n"/>
      <c r="C64" s="33" t="n"/>
      <c r="D64" s="34" t="n"/>
      <c r="E64" s="33" t="n"/>
      <c r="F64" s="35" t="n"/>
      <c r="G64" s="36" t="n"/>
      <c r="H64" s="37" t="n"/>
      <c r="I64" s="38" t="n"/>
      <c r="J64" s="39">
        <f>IF(G64="","",HYPERLINK("https://wa.me/"&amp;G64,"Открыть чат"))</f>
        <v/>
      </c>
    </row>
    <row r="65">
      <c r="A65" s="32" t="n"/>
      <c r="B65" s="33" t="n"/>
      <c r="C65" s="33" t="n"/>
      <c r="D65" s="34" t="n"/>
      <c r="E65" s="33" t="n"/>
      <c r="F65" s="35" t="n"/>
      <c r="G65" s="36" t="n"/>
      <c r="H65" s="37" t="n"/>
      <c r="I65" s="38" t="n"/>
      <c r="J65" s="39">
        <f>IF(G65="","",HYPERLINK("https://wa.me/"&amp;G65,"Открыть чат"))</f>
        <v/>
      </c>
    </row>
    <row r="66">
      <c r="A66" s="32" t="n"/>
      <c r="B66" s="33" t="n"/>
      <c r="C66" s="33" t="n"/>
      <c r="D66" s="34" t="n"/>
      <c r="E66" s="33" t="n"/>
      <c r="F66" s="35" t="n"/>
      <c r="G66" s="36" t="n"/>
      <c r="H66" s="37" t="n"/>
      <c r="I66" s="38" t="n"/>
      <c r="J66" s="39">
        <f>IF(G66="","",HYPERLINK("https://wa.me/"&amp;G66,"Открыть чат"))</f>
        <v/>
      </c>
    </row>
    <row r="67">
      <c r="A67" s="32" t="n"/>
      <c r="B67" s="33" t="n"/>
      <c r="C67" s="33" t="n"/>
      <c r="D67" s="34" t="n"/>
      <c r="E67" s="33" t="n"/>
      <c r="F67" s="35" t="n"/>
      <c r="G67" s="36" t="n"/>
      <c r="H67" s="37" t="n"/>
      <c r="I67" s="38" t="n"/>
      <c r="J67" s="39">
        <f>IF(G67="","",HYPERLINK("https://wa.me/"&amp;G67,"Открыть чат"))</f>
        <v/>
      </c>
    </row>
    <row r="68">
      <c r="A68" s="32" t="n"/>
      <c r="B68" s="33" t="n"/>
      <c r="C68" s="33" t="n"/>
      <c r="D68" s="34" t="n"/>
      <c r="E68" s="33" t="n"/>
      <c r="F68" s="35" t="n"/>
      <c r="G68" s="36" t="n"/>
      <c r="H68" s="37" t="n"/>
      <c r="I68" s="38" t="n"/>
      <c r="J68" s="39">
        <f>IF(G68="","",HYPERLINK("https://wa.me/"&amp;G68,"Открыть чат"))</f>
        <v/>
      </c>
    </row>
    <row r="69">
      <c r="A69" s="32" t="n"/>
      <c r="B69" s="33" t="n"/>
      <c r="C69" s="33" t="n"/>
      <c r="D69" s="34" t="n"/>
      <c r="E69" s="33" t="n"/>
      <c r="F69" s="35" t="n"/>
      <c r="G69" s="36" t="n"/>
      <c r="H69" s="37" t="n"/>
      <c r="I69" s="38" t="n"/>
      <c r="J69" s="39">
        <f>IF(G69="","",HYPERLINK("https://wa.me/"&amp;G69,"Открыть чат"))</f>
        <v/>
      </c>
    </row>
    <row r="70">
      <c r="A70" s="32" t="n"/>
      <c r="B70" s="33" t="n"/>
      <c r="C70" s="33" t="n"/>
      <c r="D70" s="34" t="n"/>
      <c r="E70" s="33" t="n"/>
      <c r="F70" s="35" t="n"/>
      <c r="G70" s="36" t="n"/>
      <c r="H70" s="37" t="n"/>
      <c r="I70" s="38" t="n"/>
      <c r="J70" s="39">
        <f>IF(G70="","",HYPERLINK("https://wa.me/"&amp;G70,"Открыть чат"))</f>
        <v/>
      </c>
    </row>
    <row r="71">
      <c r="A71" s="32" t="n"/>
      <c r="B71" s="33" t="n"/>
      <c r="C71" s="33" t="n"/>
      <c r="D71" s="34" t="n"/>
      <c r="E71" s="33" t="n"/>
      <c r="F71" s="35" t="n"/>
      <c r="G71" s="36" t="n"/>
      <c r="H71" s="37" t="n"/>
      <c r="I71" s="38" t="n"/>
      <c r="J71" s="39">
        <f>IF(G71="","",HYPERLINK("https://wa.me/"&amp;G71,"Открыть чат"))</f>
        <v/>
      </c>
    </row>
    <row r="72">
      <c r="A72" s="32" t="n"/>
      <c r="B72" s="33" t="n"/>
      <c r="C72" s="33" t="n"/>
      <c r="D72" s="34" t="n"/>
      <c r="E72" s="33" t="n"/>
      <c r="F72" s="35" t="n"/>
      <c r="G72" s="36" t="n"/>
      <c r="H72" s="37" t="n"/>
      <c r="I72" s="38" t="n"/>
      <c r="J72" s="39">
        <f>IF(G72="","",HYPERLINK("https://wa.me/"&amp;G72,"Открыть чат"))</f>
        <v/>
      </c>
    </row>
    <row r="73">
      <c r="A73" s="32" t="n"/>
      <c r="B73" s="33" t="n"/>
      <c r="C73" s="33" t="n"/>
      <c r="D73" s="34" t="n"/>
      <c r="E73" s="33" t="n"/>
      <c r="F73" s="35" t="n"/>
      <c r="G73" s="36" t="n"/>
      <c r="H73" s="37" t="n"/>
      <c r="I73" s="38" t="n"/>
      <c r="J73" s="39">
        <f>IF(G73="","",HYPERLINK("https://wa.me/"&amp;G73,"Открыть чат"))</f>
        <v/>
      </c>
    </row>
    <row r="74">
      <c r="A74" s="32" t="n"/>
      <c r="B74" s="33" t="n"/>
      <c r="C74" s="33" t="n"/>
      <c r="D74" s="34" t="n"/>
      <c r="E74" s="33" t="n"/>
      <c r="F74" s="35" t="n"/>
      <c r="G74" s="36" t="n"/>
      <c r="H74" s="37" t="n"/>
      <c r="I74" s="38" t="n"/>
      <c r="J74" s="39">
        <f>IF(G74="","",HYPERLINK("https://wa.me/"&amp;G74,"Открыть чат"))</f>
        <v/>
      </c>
    </row>
    <row r="75">
      <c r="A75" s="32" t="n"/>
      <c r="B75" s="33" t="n"/>
      <c r="C75" s="33" t="n"/>
      <c r="D75" s="34" t="n"/>
      <c r="E75" s="33" t="n"/>
      <c r="F75" s="35" t="n"/>
      <c r="G75" s="36" t="n"/>
      <c r="H75" s="37" t="n"/>
      <c r="I75" s="38" t="n"/>
      <c r="J75" s="39">
        <f>IF(G75="","",HYPERLINK("https://wa.me/"&amp;G75,"Открыть чат"))</f>
        <v/>
      </c>
    </row>
    <row r="76">
      <c r="A76" s="32" t="n"/>
      <c r="B76" s="33" t="n"/>
      <c r="C76" s="33" t="n"/>
      <c r="D76" s="34" t="n"/>
      <c r="E76" s="33" t="n"/>
      <c r="F76" s="35" t="n"/>
      <c r="G76" s="36" t="n"/>
      <c r="H76" s="37" t="n"/>
      <c r="I76" s="38" t="n"/>
      <c r="J76" s="39">
        <f>IF(G76="","",HYPERLINK("https://wa.me/"&amp;G76,"Открыть чат"))</f>
        <v/>
      </c>
    </row>
    <row r="77">
      <c r="A77" s="32" t="n"/>
      <c r="B77" s="33" t="n"/>
      <c r="C77" s="33" t="n"/>
      <c r="D77" s="34" t="n"/>
      <c r="E77" s="33" t="n"/>
      <c r="F77" s="35" t="n"/>
      <c r="G77" s="36" t="n"/>
      <c r="H77" s="37" t="n"/>
      <c r="I77" s="38" t="n"/>
      <c r="J77" s="39">
        <f>IF(G77="","",HYPERLINK("https://wa.me/"&amp;G77,"Открыть чат"))</f>
        <v/>
      </c>
    </row>
    <row r="78">
      <c r="A78" s="32" t="n"/>
      <c r="B78" s="33" t="n"/>
      <c r="C78" s="33" t="n"/>
      <c r="D78" s="34" t="n"/>
      <c r="E78" s="33" t="n"/>
      <c r="F78" s="35" t="n"/>
      <c r="G78" s="36" t="n"/>
      <c r="H78" s="37" t="n"/>
      <c r="I78" s="38" t="n"/>
      <c r="J78" s="39">
        <f>IF(G78="","",HYPERLINK("https://wa.me/"&amp;G78,"Открыть чат"))</f>
        <v/>
      </c>
    </row>
    <row r="79">
      <c r="A79" s="32" t="n"/>
      <c r="B79" s="33" t="n"/>
      <c r="C79" s="33" t="n"/>
      <c r="D79" s="34" t="n"/>
      <c r="E79" s="33" t="n"/>
      <c r="F79" s="35" t="n"/>
      <c r="G79" s="36" t="n"/>
      <c r="H79" s="37" t="n"/>
      <c r="I79" s="38" t="n"/>
      <c r="J79" s="39">
        <f>IF(G79="","",HYPERLINK("https://wa.me/"&amp;G79,"Открыть чат"))</f>
        <v/>
      </c>
    </row>
    <row r="80">
      <c r="A80" s="32" t="n"/>
      <c r="B80" s="33" t="n"/>
      <c r="C80" s="33" t="n"/>
      <c r="D80" s="34" t="n"/>
      <c r="E80" s="33" t="n"/>
      <c r="F80" s="35" t="n"/>
      <c r="G80" s="36" t="n"/>
      <c r="H80" s="37" t="n"/>
      <c r="I80" s="38" t="n"/>
      <c r="J80" s="39">
        <f>IF(G80="","",HYPERLINK("https://wa.me/"&amp;G80,"Открыть чат"))</f>
        <v/>
      </c>
    </row>
    <row r="81">
      <c r="A81" s="32" t="n"/>
      <c r="B81" s="33" t="n"/>
      <c r="C81" s="33" t="n"/>
      <c r="D81" s="34" t="n"/>
      <c r="E81" s="33" t="n"/>
      <c r="F81" s="35" t="n"/>
      <c r="G81" s="36" t="n"/>
      <c r="H81" s="37" t="n"/>
      <c r="I81" s="38" t="n"/>
      <c r="J81" s="39">
        <f>IF(G81="","",HYPERLINK("https://wa.me/"&amp;G81,"Открыть чат"))</f>
        <v/>
      </c>
    </row>
    <row r="82">
      <c r="A82" s="32" t="n"/>
      <c r="B82" s="33" t="n"/>
      <c r="C82" s="33" t="n"/>
      <c r="D82" s="34" t="n"/>
      <c r="E82" s="33" t="n"/>
      <c r="F82" s="35" t="n"/>
      <c r="G82" s="36" t="n"/>
      <c r="H82" s="37" t="n"/>
      <c r="I82" s="38" t="n"/>
      <c r="J82" s="39">
        <f>IF(G82="","",HYPERLINK("https://wa.me/"&amp;G82,"Открыть чат"))</f>
        <v/>
      </c>
    </row>
    <row r="83">
      <c r="A83" s="32" t="n"/>
      <c r="B83" s="33" t="n"/>
      <c r="C83" s="33" t="n"/>
      <c r="D83" s="34" t="n"/>
      <c r="E83" s="33" t="n"/>
      <c r="F83" s="35" t="n"/>
      <c r="G83" s="36" t="n"/>
      <c r="H83" s="37" t="n"/>
      <c r="I83" s="38" t="n"/>
      <c r="J83" s="39">
        <f>IF(G83="","",HYPERLINK("https://wa.me/"&amp;G83,"Открыть чат"))</f>
        <v/>
      </c>
    </row>
    <row r="84">
      <c r="A84" s="32" t="n"/>
      <c r="B84" s="33" t="n"/>
      <c r="C84" s="33" t="n"/>
      <c r="D84" s="34" t="n"/>
      <c r="E84" s="33" t="n"/>
      <c r="F84" s="35" t="n"/>
      <c r="G84" s="36" t="n"/>
      <c r="H84" s="37" t="n"/>
      <c r="I84" s="38" t="n"/>
      <c r="J84" s="39">
        <f>IF(G84="","",HYPERLINK("https://wa.me/"&amp;G84,"Открыть чат"))</f>
        <v/>
      </c>
    </row>
    <row r="85">
      <c r="A85" s="32" t="n"/>
      <c r="B85" s="33" t="n"/>
      <c r="C85" s="33" t="n"/>
      <c r="D85" s="34" t="n"/>
      <c r="E85" s="33" t="n"/>
      <c r="F85" s="35" t="n"/>
      <c r="G85" s="36" t="n"/>
      <c r="H85" s="37" t="n"/>
      <c r="I85" s="38" t="n"/>
      <c r="J85" s="39">
        <f>IF(G85="","",HYPERLINK("https://wa.me/"&amp;G85,"Открыть чат"))</f>
        <v/>
      </c>
    </row>
    <row r="86">
      <c r="A86" s="32" t="n"/>
      <c r="B86" s="33" t="n"/>
      <c r="C86" s="33" t="n"/>
      <c r="D86" s="34" t="n"/>
      <c r="E86" s="33" t="n"/>
      <c r="F86" s="35" t="n"/>
      <c r="G86" s="36" t="n"/>
      <c r="H86" s="37" t="n"/>
      <c r="I86" s="38" t="n"/>
      <c r="J86" s="39">
        <f>IF(G86="","",HYPERLINK("https://wa.me/"&amp;G86,"Открыть чат"))</f>
        <v/>
      </c>
    </row>
    <row r="87">
      <c r="A87" s="32" t="n"/>
      <c r="B87" s="33" t="n"/>
      <c r="C87" s="33" t="n"/>
      <c r="D87" s="34" t="n"/>
      <c r="E87" s="33" t="n"/>
      <c r="F87" s="35" t="n"/>
      <c r="G87" s="36" t="n"/>
      <c r="H87" s="37" t="n"/>
      <c r="I87" s="38" t="n"/>
      <c r="J87" s="39">
        <f>IF(G87="","",HYPERLINK("https://wa.me/"&amp;G87,"Открыть чат"))</f>
        <v/>
      </c>
    </row>
    <row r="88">
      <c r="A88" s="32" t="n"/>
      <c r="B88" s="33" t="n"/>
      <c r="C88" s="33" t="n"/>
      <c r="D88" s="34" t="n"/>
      <c r="E88" s="33" t="n"/>
      <c r="F88" s="35" t="n"/>
      <c r="G88" s="36" t="n"/>
      <c r="H88" s="37" t="n"/>
      <c r="I88" s="38" t="n"/>
      <c r="J88" s="39">
        <f>IF(G88="","",HYPERLINK("https://wa.me/"&amp;G88,"Открыть чат"))</f>
        <v/>
      </c>
    </row>
    <row r="89">
      <c r="A89" s="32" t="n"/>
      <c r="B89" s="33" t="n"/>
      <c r="C89" s="33" t="n"/>
      <c r="D89" s="34" t="n"/>
      <c r="E89" s="33" t="n"/>
      <c r="F89" s="35" t="n"/>
      <c r="G89" s="36" t="n"/>
      <c r="H89" s="37" t="n"/>
      <c r="I89" s="38" t="n"/>
      <c r="J89" s="39">
        <f>IF(G89="","",HYPERLINK("https://wa.me/"&amp;G89,"Открыть чат"))</f>
        <v/>
      </c>
    </row>
    <row r="90">
      <c r="A90" s="32" t="n"/>
      <c r="B90" s="33" t="n"/>
      <c r="C90" s="33" t="n"/>
      <c r="D90" s="34" t="n"/>
      <c r="E90" s="33" t="n"/>
      <c r="F90" s="35" t="n"/>
      <c r="G90" s="36" t="n"/>
      <c r="H90" s="37" t="n"/>
      <c r="I90" s="38" t="n"/>
      <c r="J90" s="39">
        <f>IF(G90="","",HYPERLINK("https://wa.me/"&amp;G90,"Открыть чат"))</f>
        <v/>
      </c>
    </row>
    <row r="91">
      <c r="A91" s="32" t="n"/>
      <c r="B91" s="33" t="n"/>
      <c r="C91" s="33" t="n"/>
      <c r="D91" s="34" t="n"/>
      <c r="E91" s="33" t="n"/>
      <c r="F91" s="35" t="n"/>
      <c r="G91" s="36" t="n"/>
      <c r="H91" s="37" t="n"/>
      <c r="I91" s="38" t="n"/>
      <c r="J91" s="39">
        <f>IF(G91="","",HYPERLINK("https://wa.me/"&amp;G91,"Открыть чат"))</f>
        <v/>
      </c>
    </row>
    <row r="92">
      <c r="A92" s="32" t="n"/>
      <c r="B92" s="33" t="n"/>
      <c r="C92" s="33" t="n"/>
      <c r="D92" s="34" t="n"/>
      <c r="E92" s="33" t="n"/>
      <c r="F92" s="35" t="n"/>
      <c r="G92" s="36" t="n"/>
      <c r="H92" s="37" t="n"/>
      <c r="I92" s="38" t="n"/>
      <c r="J92" s="39">
        <f>IF(G92="","",HYPERLINK("https://wa.me/"&amp;G92,"Открыть чат"))</f>
        <v/>
      </c>
    </row>
    <row r="93">
      <c r="A93" s="32" t="n"/>
      <c r="B93" s="33" t="n"/>
      <c r="C93" s="33" t="n"/>
      <c r="D93" s="34" t="n"/>
      <c r="E93" s="33" t="n"/>
      <c r="F93" s="35" t="n"/>
      <c r="G93" s="36" t="n"/>
      <c r="H93" s="37" t="n"/>
      <c r="I93" s="38" t="n"/>
      <c r="J93" s="39">
        <f>IF(G93="","",HYPERLINK("https://wa.me/"&amp;G93,"Открыть чат"))</f>
        <v/>
      </c>
    </row>
    <row r="94">
      <c r="A94" s="32" t="n"/>
      <c r="B94" s="33" t="n"/>
      <c r="C94" s="33" t="n"/>
      <c r="D94" s="34" t="n"/>
      <c r="E94" s="33" t="n"/>
      <c r="F94" s="35" t="n"/>
      <c r="G94" s="36" t="n"/>
      <c r="H94" s="37" t="n"/>
      <c r="I94" s="38" t="n"/>
      <c r="J94" s="39">
        <f>IF(G94="","",HYPERLINK("https://wa.me/"&amp;G94,"Открыть чат"))</f>
        <v/>
      </c>
    </row>
    <row r="95">
      <c r="A95" s="32" t="n"/>
      <c r="B95" s="33" t="n"/>
      <c r="C95" s="33" t="n"/>
      <c r="D95" s="34" t="n"/>
      <c r="E95" s="33" t="n"/>
      <c r="F95" s="35" t="n"/>
      <c r="G95" s="36" t="n"/>
      <c r="H95" s="37" t="n"/>
      <c r="I95" s="38" t="n"/>
      <c r="J95" s="39">
        <f>IF(G95="","",HYPERLINK("https://wa.me/"&amp;G95,"Открыть чат"))</f>
        <v/>
      </c>
    </row>
    <row r="96">
      <c r="A96" s="32" t="n"/>
      <c r="B96" s="33" t="n"/>
      <c r="C96" s="33" t="n"/>
      <c r="D96" s="34" t="n"/>
      <c r="E96" s="33" t="n"/>
      <c r="F96" s="35" t="n"/>
      <c r="G96" s="36" t="n"/>
      <c r="H96" s="37" t="n"/>
      <c r="I96" s="38" t="n"/>
      <c r="J96" s="39">
        <f>IF(G96="","",HYPERLINK("https://wa.me/"&amp;G96,"Открыть чат"))</f>
        <v/>
      </c>
    </row>
    <row r="97">
      <c r="A97" s="32" t="n"/>
      <c r="B97" s="33" t="n"/>
      <c r="C97" s="33" t="n"/>
      <c r="D97" s="34" t="n"/>
      <c r="E97" s="33" t="n"/>
      <c r="F97" s="35" t="n"/>
      <c r="G97" s="36" t="n"/>
      <c r="H97" s="37" t="n"/>
      <c r="I97" s="38" t="n"/>
      <c r="J97" s="39">
        <f>IF(G97="","",HYPERLINK("https://wa.me/"&amp;G97,"Открыть чат"))</f>
        <v/>
      </c>
    </row>
    <row r="98">
      <c r="A98" s="32" t="n"/>
      <c r="B98" s="33" t="n"/>
      <c r="C98" s="33" t="n"/>
      <c r="D98" s="34" t="n"/>
      <c r="E98" s="33" t="n"/>
      <c r="F98" s="35" t="n"/>
      <c r="G98" s="36" t="n"/>
      <c r="H98" s="37" t="n"/>
      <c r="I98" s="38" t="n"/>
      <c r="J98" s="39">
        <f>IF(G98="","",HYPERLINK("https://wa.me/"&amp;G98,"Открыть чат"))</f>
        <v/>
      </c>
    </row>
    <row r="99">
      <c r="A99" s="32" t="n"/>
      <c r="B99" s="33" t="n"/>
      <c r="C99" s="33" t="n"/>
      <c r="D99" s="34" t="n"/>
      <c r="E99" s="33" t="n"/>
      <c r="F99" s="35" t="n"/>
      <c r="G99" s="36" t="n"/>
      <c r="H99" s="37" t="n"/>
      <c r="I99" s="38" t="n"/>
      <c r="J99" s="39">
        <f>IF(G99="","",HYPERLINK("https://wa.me/"&amp;G99,"Открыть чат"))</f>
        <v/>
      </c>
    </row>
    <row r="100">
      <c r="A100" s="32" t="n"/>
      <c r="B100" s="33" t="n"/>
      <c r="C100" s="33" t="n"/>
      <c r="D100" s="34" t="n"/>
      <c r="E100" s="33" t="n"/>
      <c r="F100" s="35" t="n"/>
      <c r="G100" s="36" t="n"/>
      <c r="H100" s="37" t="n"/>
      <c r="I100" s="38" t="n"/>
      <c r="J100" s="39">
        <f>IF(G100="","",HYPERLINK("https://wa.me/"&amp;G100,"Открыть чат"))</f>
        <v/>
      </c>
    </row>
    <row r="101">
      <c r="A101" s="32" t="n"/>
      <c r="B101" s="33" t="n"/>
      <c r="C101" s="33" t="n"/>
      <c r="D101" s="34" t="n"/>
      <c r="E101" s="33" t="n"/>
      <c r="F101" s="35" t="n"/>
      <c r="G101" s="36" t="n"/>
      <c r="H101" s="37" t="n"/>
      <c r="I101" s="38" t="n"/>
      <c r="J101" s="39">
        <f>IF(G101="","",HYPERLINK("https://wa.me/"&amp;G101,"Открыть чат"))</f>
        <v/>
      </c>
    </row>
    <row r="102">
      <c r="A102" s="32" t="n"/>
      <c r="B102" s="33" t="n"/>
      <c r="C102" s="33" t="n"/>
      <c r="D102" s="34" t="n"/>
      <c r="E102" s="33" t="n"/>
      <c r="F102" s="35" t="n"/>
      <c r="G102" s="36" t="n"/>
      <c r="H102" s="37" t="n"/>
      <c r="I102" s="38" t="n"/>
      <c r="J102" s="39">
        <f>IF(G102="","",HYPERLINK("https://wa.me/"&amp;G102,"Открыть чат"))</f>
        <v/>
      </c>
    </row>
    <row r="103">
      <c r="A103" s="32" t="n"/>
      <c r="B103" s="33" t="n"/>
      <c r="C103" s="33" t="n"/>
      <c r="D103" s="34" t="n"/>
      <c r="E103" s="33" t="n"/>
      <c r="F103" s="35" t="n"/>
      <c r="G103" s="36" t="n"/>
      <c r="H103" s="37" t="n"/>
      <c r="I103" s="38" t="n"/>
      <c r="J103" s="39">
        <f>IF(G103="","",HYPERLINK("https://wa.me/"&amp;G103,"Открыть чат"))</f>
        <v/>
      </c>
    </row>
    <row r="104">
      <c r="A104" s="32" t="n"/>
      <c r="B104" s="33" t="n"/>
      <c r="C104" s="33" t="n"/>
      <c r="D104" s="34" t="n"/>
      <c r="E104" s="33" t="n"/>
      <c r="F104" s="35" t="n"/>
      <c r="G104" s="36" t="n"/>
      <c r="H104" s="37" t="n"/>
      <c r="I104" s="38" t="n"/>
      <c r="J104" s="39">
        <f>IF(G104="","",HYPERLINK("https://wa.me/"&amp;G104,"Открыть чат"))</f>
        <v/>
      </c>
    </row>
    <row r="105">
      <c r="A105" s="32" t="n"/>
      <c r="B105" s="33" t="n"/>
      <c r="C105" s="33" t="n"/>
      <c r="D105" s="34" t="n"/>
      <c r="E105" s="33" t="n"/>
      <c r="F105" s="35" t="n"/>
      <c r="G105" s="36" t="n"/>
      <c r="H105" s="37" t="n"/>
      <c r="I105" s="38" t="n"/>
      <c r="J105" s="39">
        <f>IF(G105="","",HYPERLINK("https://wa.me/"&amp;G105,"Открыть чат"))</f>
        <v/>
      </c>
    </row>
    <row r="106">
      <c r="A106" s="32" t="n"/>
      <c r="B106" s="33" t="n"/>
      <c r="C106" s="33" t="n"/>
      <c r="D106" s="34" t="n"/>
      <c r="E106" s="33" t="n"/>
      <c r="F106" s="35" t="n"/>
      <c r="G106" s="36" t="n"/>
      <c r="H106" s="37" t="n"/>
      <c r="I106" s="38" t="n"/>
      <c r="J106" s="39">
        <f>IF(G106="","",HYPERLINK("https://wa.me/"&amp;G106,"Открыть чат"))</f>
        <v/>
      </c>
    </row>
    <row r="107">
      <c r="A107" s="32" t="n"/>
      <c r="B107" s="33" t="n"/>
      <c r="C107" s="33" t="n"/>
      <c r="D107" s="34" t="n"/>
      <c r="E107" s="33" t="n"/>
      <c r="F107" s="35" t="n"/>
      <c r="G107" s="36" t="n"/>
      <c r="H107" s="37" t="n"/>
      <c r="I107" s="38" t="n"/>
      <c r="J107" s="39">
        <f>IF(G107="","",HYPERLINK("https://wa.me/"&amp;G107,"Открыть чат"))</f>
        <v/>
      </c>
    </row>
    <row r="108">
      <c r="A108" s="32" t="n"/>
      <c r="B108" s="33" t="n"/>
      <c r="C108" s="33" t="n"/>
      <c r="D108" s="34" t="n"/>
      <c r="E108" s="33" t="n"/>
      <c r="F108" s="35" t="n"/>
      <c r="G108" s="36" t="n"/>
      <c r="H108" s="37" t="n"/>
      <c r="I108" s="38" t="n"/>
      <c r="J108" s="39">
        <f>IF(G108="","",HYPERLINK("https://wa.me/"&amp;G108,"Открыть чат"))</f>
        <v/>
      </c>
    </row>
    <row r="109">
      <c r="A109" s="32" t="n"/>
      <c r="B109" s="33" t="n"/>
      <c r="C109" s="33" t="n"/>
      <c r="D109" s="34" t="n"/>
      <c r="E109" s="33" t="n"/>
      <c r="F109" s="35" t="n"/>
      <c r="G109" s="36" t="n"/>
      <c r="H109" s="37" t="n"/>
      <c r="I109" s="38" t="n"/>
      <c r="J109" s="39">
        <f>IF(G109="","",HYPERLINK("https://wa.me/"&amp;G109,"Открыть чат"))</f>
        <v/>
      </c>
    </row>
    <row r="110">
      <c r="A110" s="32" t="n"/>
      <c r="B110" s="33" t="n"/>
      <c r="C110" s="33" t="n"/>
      <c r="D110" s="34" t="n"/>
      <c r="E110" s="33" t="n"/>
      <c r="F110" s="35" t="n"/>
      <c r="G110" s="36" t="n"/>
      <c r="H110" s="37" t="n"/>
      <c r="I110" s="38" t="n"/>
      <c r="J110" s="39">
        <f>IF(G110="","",HYPERLINK("https://wa.me/"&amp;G110,"Открыть чат"))</f>
        <v/>
      </c>
    </row>
    <row r="111">
      <c r="A111" s="32" t="n"/>
      <c r="B111" s="33" t="n"/>
      <c r="C111" s="33" t="n"/>
      <c r="D111" s="34" t="n"/>
      <c r="E111" s="33" t="n"/>
      <c r="F111" s="35" t="n"/>
      <c r="G111" s="36" t="n"/>
      <c r="H111" s="37" t="n"/>
      <c r="I111" s="38" t="n"/>
      <c r="J111" s="39">
        <f>IF(G111="","",HYPERLINK("https://wa.me/"&amp;G111,"Открыть чат"))</f>
        <v/>
      </c>
    </row>
    <row r="112">
      <c r="A112" s="32" t="n"/>
      <c r="B112" s="33" t="n"/>
      <c r="C112" s="33" t="n"/>
      <c r="D112" s="34" t="n"/>
      <c r="E112" s="33" t="n"/>
      <c r="F112" s="35" t="n"/>
      <c r="G112" s="36" t="n"/>
      <c r="H112" s="37" t="n"/>
      <c r="I112" s="38" t="n"/>
      <c r="J112" s="39">
        <f>IF(G112="","",HYPERLINK("https://wa.me/"&amp;G112,"Открыть чат"))</f>
        <v/>
      </c>
    </row>
    <row r="113">
      <c r="A113" s="32" t="n"/>
      <c r="B113" s="33" t="n"/>
      <c r="C113" s="33" t="n"/>
      <c r="D113" s="34" t="n"/>
      <c r="E113" s="33" t="n"/>
      <c r="F113" s="35" t="n"/>
      <c r="G113" s="36" t="n"/>
      <c r="H113" s="37" t="n"/>
      <c r="I113" s="38" t="n"/>
      <c r="J113" s="39">
        <f>IF(G113="","",HYPERLINK("https://wa.me/"&amp;G113,"Открыть чат"))</f>
        <v/>
      </c>
    </row>
    <row r="114">
      <c r="A114" s="32" t="n"/>
      <c r="B114" s="33" t="n"/>
      <c r="C114" s="33" t="n"/>
      <c r="D114" s="34" t="n"/>
      <c r="E114" s="33" t="n"/>
      <c r="F114" s="35" t="n"/>
      <c r="G114" s="36" t="n"/>
      <c r="H114" s="37" t="n"/>
      <c r="I114" s="38" t="n"/>
      <c r="J114" s="39">
        <f>IF(G114="","",HYPERLINK("https://wa.me/"&amp;G114,"Открыть чат"))</f>
        <v/>
      </c>
    </row>
    <row r="115">
      <c r="A115" s="32" t="n"/>
      <c r="B115" s="33" t="n"/>
      <c r="C115" s="33" t="n"/>
      <c r="D115" s="34" t="n"/>
      <c r="E115" s="33" t="n"/>
      <c r="F115" s="35" t="n"/>
      <c r="G115" s="36" t="n"/>
      <c r="H115" s="37" t="n"/>
      <c r="I115" s="38" t="n"/>
      <c r="J115" s="39">
        <f>IF(G115="","",HYPERLINK("https://wa.me/"&amp;G115,"Открыть чат"))</f>
        <v/>
      </c>
    </row>
    <row r="116">
      <c r="A116" s="32" t="n"/>
      <c r="B116" s="33" t="n"/>
      <c r="C116" s="33" t="n"/>
      <c r="D116" s="34" t="n"/>
      <c r="E116" s="33" t="n"/>
      <c r="F116" s="35" t="n"/>
      <c r="G116" s="36" t="n"/>
      <c r="H116" s="37" t="n"/>
      <c r="I116" s="38" t="n"/>
      <c r="J116" s="39">
        <f>IF(G116="","",HYPERLINK("https://wa.me/"&amp;G116,"Открыть чат"))</f>
        <v/>
      </c>
    </row>
    <row r="117">
      <c r="A117" s="32" t="n"/>
      <c r="B117" s="33" t="n"/>
      <c r="C117" s="33" t="n"/>
      <c r="D117" s="34" t="n"/>
      <c r="E117" s="33" t="n"/>
      <c r="F117" s="35" t="n"/>
      <c r="G117" s="36" t="n"/>
      <c r="H117" s="37" t="n"/>
      <c r="I117" s="38" t="n"/>
      <c r="J117" s="39">
        <f>IF(G117="","",HYPERLINK("https://wa.me/"&amp;G117,"Открыть чат"))</f>
        <v/>
      </c>
    </row>
    <row r="118">
      <c r="A118" s="32" t="n"/>
      <c r="B118" s="33" t="n"/>
      <c r="C118" s="33" t="n"/>
      <c r="D118" s="34" t="n"/>
      <c r="E118" s="33" t="n"/>
      <c r="F118" s="35" t="n"/>
      <c r="G118" s="36" t="n"/>
      <c r="H118" s="37" t="n"/>
      <c r="I118" s="38" t="n"/>
      <c r="J118" s="39">
        <f>IF(G118="","",HYPERLINK("https://wa.me/"&amp;G118,"Открыть чат"))</f>
        <v/>
      </c>
    </row>
    <row r="119">
      <c r="A119" s="32" t="n"/>
      <c r="B119" s="33" t="n"/>
      <c r="C119" s="33" t="n"/>
      <c r="D119" s="34" t="n"/>
      <c r="E119" s="33" t="n"/>
      <c r="F119" s="35" t="n"/>
      <c r="G119" s="36" t="n"/>
      <c r="H119" s="37" t="n"/>
      <c r="I119" s="38" t="n"/>
      <c r="J119" s="39">
        <f>IF(G119="","",HYPERLINK("https://wa.me/"&amp;G119,"Открыть чат"))</f>
        <v/>
      </c>
    </row>
    <row r="120">
      <c r="A120" s="32" t="n"/>
      <c r="B120" s="33" t="n"/>
      <c r="C120" s="33" t="n"/>
      <c r="D120" s="34" t="n"/>
      <c r="E120" s="33" t="n"/>
      <c r="F120" s="35" t="n"/>
      <c r="G120" s="36" t="n"/>
      <c r="H120" s="37" t="n"/>
      <c r="I120" s="38" t="n"/>
      <c r="J120" s="39">
        <f>IF(G120="","",HYPERLINK("https://wa.me/"&amp;G120,"Открыть чат"))</f>
        <v/>
      </c>
    </row>
    <row r="121">
      <c r="A121" s="32" t="n"/>
      <c r="B121" s="33" t="n"/>
      <c r="C121" s="33" t="n"/>
      <c r="D121" s="34" t="n"/>
      <c r="E121" s="33" t="n"/>
      <c r="F121" s="35" t="n"/>
      <c r="G121" s="36" t="n"/>
      <c r="H121" s="37" t="n"/>
      <c r="I121" s="38" t="n"/>
      <c r="J121" s="39">
        <f>IF(G121="","",HYPERLINK("https://wa.me/"&amp;G121,"Открыть чат"))</f>
        <v/>
      </c>
    </row>
    <row r="122">
      <c r="A122" s="32" t="n"/>
      <c r="B122" s="33" t="n"/>
      <c r="C122" s="33" t="n"/>
      <c r="D122" s="34" t="n"/>
      <c r="E122" s="33" t="n"/>
      <c r="F122" s="35" t="n"/>
      <c r="G122" s="36" t="n"/>
      <c r="H122" s="37" t="n"/>
      <c r="I122" s="38" t="n"/>
      <c r="J122" s="39">
        <f>IF(G122="","",HYPERLINK("https://wa.me/"&amp;G122,"Открыть чат"))</f>
        <v/>
      </c>
    </row>
    <row r="123">
      <c r="A123" s="32" t="n"/>
      <c r="B123" s="33" t="n"/>
      <c r="C123" s="33" t="n"/>
      <c r="D123" s="34" t="n"/>
      <c r="E123" s="33" t="n"/>
      <c r="F123" s="35" t="n"/>
      <c r="G123" s="36" t="n"/>
      <c r="H123" s="37" t="n"/>
      <c r="I123" s="38" t="n"/>
      <c r="J123" s="39">
        <f>IF(G123="","",HYPERLINK("https://wa.me/"&amp;G123,"Открыть чат"))</f>
        <v/>
      </c>
    </row>
    <row r="124">
      <c r="A124" s="32" t="n"/>
      <c r="B124" s="33" t="n"/>
      <c r="C124" s="33" t="n"/>
      <c r="D124" s="34" t="n"/>
      <c r="E124" s="33" t="n"/>
      <c r="F124" s="35" t="n"/>
      <c r="G124" s="36" t="n"/>
      <c r="H124" s="37" t="n"/>
      <c r="I124" s="38" t="n"/>
      <c r="J124" s="39">
        <f>IF(G124="","",HYPERLINK("https://wa.me/"&amp;G124,"Открыть чат"))</f>
        <v/>
      </c>
    </row>
    <row r="125">
      <c r="A125" s="32" t="n"/>
      <c r="B125" s="33" t="n"/>
      <c r="C125" s="33" t="n"/>
      <c r="D125" s="34" t="n"/>
      <c r="E125" s="33" t="n"/>
      <c r="F125" s="35" t="n"/>
      <c r="G125" s="36" t="n"/>
      <c r="H125" s="37" t="n"/>
      <c r="I125" s="38" t="n"/>
      <c r="J125" s="39">
        <f>IF(G125="","",HYPERLINK("https://wa.me/"&amp;G125,"Открыть чат"))</f>
        <v/>
      </c>
    </row>
    <row r="126">
      <c r="A126" s="32" t="n"/>
      <c r="B126" s="33" t="n"/>
      <c r="C126" s="33" t="n"/>
      <c r="D126" s="34" t="n"/>
      <c r="E126" s="33" t="n"/>
      <c r="F126" s="35" t="n"/>
      <c r="G126" s="36" t="n"/>
      <c r="H126" s="37" t="n"/>
      <c r="I126" s="38" t="n"/>
      <c r="J126" s="39">
        <f>IF(G126="","",HYPERLINK("https://wa.me/"&amp;G126,"Открыть чат"))</f>
        <v/>
      </c>
    </row>
    <row r="127">
      <c r="A127" s="32" t="n"/>
      <c r="B127" s="33" t="n"/>
      <c r="C127" s="33" t="n"/>
      <c r="D127" s="34" t="n"/>
      <c r="E127" s="33" t="n"/>
      <c r="F127" s="35" t="n"/>
      <c r="G127" s="36" t="n"/>
      <c r="H127" s="37" t="n"/>
      <c r="I127" s="38" t="n"/>
      <c r="J127" s="39">
        <f>IF(G127="","",HYPERLINK("https://wa.me/"&amp;G127,"Открыть чат"))</f>
        <v/>
      </c>
    </row>
    <row r="128">
      <c r="A128" s="32" t="n"/>
      <c r="B128" s="33" t="n"/>
      <c r="C128" s="33" t="n"/>
      <c r="D128" s="34" t="n"/>
      <c r="E128" s="33" t="n"/>
      <c r="F128" s="35" t="n"/>
      <c r="G128" s="36" t="n"/>
      <c r="H128" s="37" t="n"/>
      <c r="I128" s="38" t="n"/>
      <c r="J128" s="39">
        <f>IF(G128="","",HYPERLINK("https://wa.me/"&amp;G128,"Открыть чат"))</f>
        <v/>
      </c>
    </row>
    <row r="129">
      <c r="A129" s="32" t="n"/>
      <c r="B129" s="33" t="n"/>
      <c r="C129" s="33" t="n"/>
      <c r="D129" s="34" t="n"/>
      <c r="E129" s="33" t="n"/>
      <c r="F129" s="35" t="n"/>
      <c r="G129" s="36" t="n"/>
      <c r="H129" s="37" t="n"/>
      <c r="I129" s="38" t="n"/>
      <c r="J129" s="39">
        <f>IF(G129="","",HYPERLINK("https://wa.me/"&amp;G129,"Открыть чат"))</f>
        <v/>
      </c>
    </row>
    <row r="130">
      <c r="A130" s="32" t="n"/>
      <c r="B130" s="33" t="n"/>
      <c r="C130" s="33" t="n"/>
      <c r="D130" s="34" t="n"/>
      <c r="E130" s="33" t="n"/>
      <c r="F130" s="35" t="n"/>
      <c r="G130" s="36" t="n"/>
      <c r="H130" s="37" t="n"/>
      <c r="I130" s="38" t="n"/>
      <c r="J130" s="39">
        <f>IF(G130="","",HYPERLINK("https://wa.me/"&amp;G130,"Открыть чат"))</f>
        <v/>
      </c>
    </row>
    <row r="131">
      <c r="A131" s="32" t="n"/>
      <c r="B131" s="33" t="n"/>
      <c r="C131" s="33" t="n"/>
      <c r="D131" s="34" t="n"/>
      <c r="E131" s="33" t="n"/>
      <c r="F131" s="35" t="n"/>
      <c r="G131" s="36" t="n"/>
      <c r="H131" s="37" t="n"/>
      <c r="I131" s="38" t="n"/>
      <c r="J131" s="39">
        <f>IF(G131="","",HYPERLINK("https://wa.me/"&amp;G131,"Открыть чат"))</f>
        <v/>
      </c>
    </row>
    <row r="132">
      <c r="A132" s="32" t="n"/>
      <c r="B132" s="33" t="n"/>
      <c r="C132" s="33" t="n"/>
      <c r="D132" s="34" t="n"/>
      <c r="E132" s="33" t="n"/>
      <c r="F132" s="35" t="n"/>
      <c r="G132" s="36" t="n"/>
      <c r="H132" s="37" t="n"/>
      <c r="I132" s="38" t="n"/>
      <c r="J132" s="39">
        <f>IF(G132="","",HYPERLINK("https://wa.me/"&amp;G132,"Открыть чат"))</f>
        <v/>
      </c>
    </row>
    <row r="133">
      <c r="A133" s="32" t="n"/>
      <c r="B133" s="33" t="n"/>
      <c r="C133" s="33" t="n"/>
      <c r="D133" s="34" t="n"/>
      <c r="E133" s="33" t="n"/>
      <c r="F133" s="35" t="n"/>
      <c r="G133" s="36" t="n"/>
      <c r="H133" s="37" t="n"/>
      <c r="I133" s="38" t="n"/>
      <c r="J133" s="39">
        <f>IF(G133="","",HYPERLINK("https://wa.me/"&amp;G133,"Открыть чат"))</f>
        <v/>
      </c>
    </row>
    <row r="134">
      <c r="A134" s="32" t="n"/>
      <c r="B134" s="33" t="n"/>
      <c r="C134" s="33" t="n"/>
      <c r="D134" s="34" t="n"/>
      <c r="E134" s="33" t="n"/>
      <c r="F134" s="35" t="n"/>
      <c r="G134" s="36" t="n"/>
      <c r="H134" s="37" t="n"/>
      <c r="I134" s="38" t="n"/>
      <c r="J134" s="39">
        <f>IF(G134="","",HYPERLINK("https://wa.me/"&amp;G134,"Открыть чат"))</f>
        <v/>
      </c>
    </row>
    <row r="135">
      <c r="A135" s="32" t="n"/>
      <c r="B135" s="33" t="n"/>
      <c r="C135" s="33" t="n"/>
      <c r="D135" s="34" t="n"/>
      <c r="E135" s="33" t="n"/>
      <c r="F135" s="35" t="n"/>
      <c r="G135" s="36" t="n"/>
      <c r="H135" s="37" t="n"/>
      <c r="I135" s="38" t="n"/>
      <c r="J135" s="39">
        <f>IF(G135="","",HYPERLINK("https://wa.me/"&amp;G135,"Открыть чат"))</f>
        <v/>
      </c>
    </row>
    <row r="136">
      <c r="A136" s="32" t="n"/>
      <c r="B136" s="33" t="n"/>
      <c r="C136" s="33" t="n"/>
      <c r="D136" s="34" t="n"/>
      <c r="E136" s="33" t="n"/>
      <c r="F136" s="35" t="n"/>
      <c r="G136" s="36" t="n"/>
      <c r="H136" s="37" t="n"/>
      <c r="I136" s="38" t="n"/>
      <c r="J136" s="39">
        <f>IF(G136="","",HYPERLINK("https://wa.me/"&amp;G136,"Открыть чат"))</f>
        <v/>
      </c>
    </row>
    <row r="137">
      <c r="A137" s="32" t="n"/>
      <c r="B137" s="33" t="n"/>
      <c r="C137" s="33" t="n"/>
      <c r="D137" s="34" t="n"/>
      <c r="E137" s="33" t="n"/>
      <c r="F137" s="35" t="n"/>
      <c r="G137" s="36" t="n"/>
      <c r="H137" s="37" t="n"/>
      <c r="I137" s="38" t="n"/>
      <c r="J137" s="39">
        <f>IF(G137="","",HYPERLINK("https://wa.me/"&amp;G137,"Открыть чат"))</f>
        <v/>
      </c>
    </row>
    <row r="138">
      <c r="A138" s="32" t="n"/>
      <c r="B138" s="33" t="n"/>
      <c r="C138" s="33" t="n"/>
      <c r="D138" s="34" t="n"/>
      <c r="E138" s="33" t="n"/>
      <c r="F138" s="35" t="n"/>
      <c r="G138" s="36" t="n"/>
      <c r="H138" s="37" t="n"/>
      <c r="I138" s="38" t="n"/>
      <c r="J138" s="39">
        <f>IF(G138="","",HYPERLINK("https://wa.me/"&amp;G138,"Открыть чат"))</f>
        <v/>
      </c>
    </row>
    <row r="139">
      <c r="A139" s="32" t="n"/>
      <c r="B139" s="33" t="n"/>
      <c r="C139" s="33" t="n"/>
      <c r="D139" s="34" t="n"/>
      <c r="E139" s="33" t="n"/>
      <c r="F139" s="35" t="n"/>
      <c r="G139" s="36" t="n"/>
      <c r="H139" s="37" t="n"/>
      <c r="I139" s="38" t="n"/>
      <c r="J139" s="39">
        <f>IF(G139="","",HYPERLINK("https://wa.me/"&amp;G139,"Открыть чат"))</f>
        <v/>
      </c>
    </row>
    <row r="140">
      <c r="A140" s="32" t="n"/>
      <c r="B140" s="33" t="n"/>
      <c r="C140" s="33" t="n"/>
      <c r="D140" s="34" t="n"/>
      <c r="E140" s="33" t="n"/>
      <c r="F140" s="35" t="n"/>
      <c r="G140" s="36" t="n"/>
      <c r="H140" s="37" t="n"/>
      <c r="I140" s="38" t="n"/>
      <c r="J140" s="39">
        <f>IF(G140="","",HYPERLINK("https://wa.me/"&amp;G140,"Открыть чат"))</f>
        <v/>
      </c>
    </row>
    <row r="141">
      <c r="A141" s="32" t="n"/>
      <c r="B141" s="33" t="n"/>
      <c r="C141" s="33" t="n"/>
      <c r="D141" s="34" t="n"/>
      <c r="E141" s="33" t="n"/>
      <c r="F141" s="35" t="n"/>
      <c r="G141" s="36" t="n"/>
      <c r="H141" s="37" t="n"/>
      <c r="I141" s="38" t="n"/>
      <c r="J141" s="39">
        <f>IF(G141="","",HYPERLINK("https://wa.me/"&amp;G141,"Открыть чат"))</f>
        <v/>
      </c>
    </row>
    <row r="142">
      <c r="A142" s="32" t="n"/>
      <c r="B142" s="33" t="n"/>
      <c r="C142" s="33" t="n"/>
      <c r="D142" s="34" t="n"/>
      <c r="E142" s="33" t="n"/>
      <c r="F142" s="35" t="n"/>
      <c r="G142" s="36" t="n"/>
      <c r="H142" s="37" t="n"/>
      <c r="I142" s="38" t="n"/>
      <c r="J142" s="39">
        <f>IF(G142="","",HYPERLINK("https://wa.me/"&amp;G142,"Открыть чат"))</f>
        <v/>
      </c>
    </row>
    <row r="143">
      <c r="A143" s="32" t="n"/>
      <c r="B143" s="33" t="n"/>
      <c r="C143" s="33" t="n"/>
      <c r="D143" s="34" t="n"/>
      <c r="E143" s="33" t="n"/>
      <c r="F143" s="35" t="n"/>
      <c r="G143" s="36" t="n"/>
      <c r="H143" s="37" t="n"/>
      <c r="I143" s="38" t="n"/>
      <c r="J143" s="39">
        <f>IF(G143="","",HYPERLINK("https://wa.me/"&amp;G143,"Открыть чат"))</f>
        <v/>
      </c>
    </row>
    <row r="144">
      <c r="A144" s="32" t="n"/>
      <c r="B144" s="33" t="n"/>
      <c r="C144" s="33" t="n"/>
      <c r="D144" s="34" t="n"/>
      <c r="E144" s="33" t="n"/>
      <c r="F144" s="35" t="n"/>
      <c r="G144" s="36" t="n"/>
      <c r="H144" s="37" t="n"/>
      <c r="I144" s="38" t="n"/>
      <c r="J144" s="39">
        <f>IF(G144="","",HYPERLINK("https://wa.me/"&amp;G144,"Открыть чат"))</f>
        <v/>
      </c>
    </row>
    <row r="145">
      <c r="A145" s="32" t="n"/>
      <c r="B145" s="33" t="n"/>
      <c r="C145" s="33" t="n"/>
      <c r="D145" s="34" t="n"/>
      <c r="E145" s="33" t="n"/>
      <c r="F145" s="35" t="n"/>
      <c r="G145" s="36" t="n"/>
      <c r="H145" s="37" t="n"/>
      <c r="I145" s="38" t="n"/>
      <c r="J145" s="39">
        <f>IF(G145="","",HYPERLINK("https://wa.me/"&amp;G145,"Открыть чат"))</f>
        <v/>
      </c>
    </row>
    <row r="146">
      <c r="A146" s="32" t="n"/>
      <c r="B146" s="33" t="n"/>
      <c r="C146" s="33" t="n"/>
      <c r="D146" s="34" t="n"/>
      <c r="E146" s="33" t="n"/>
      <c r="F146" s="35" t="n"/>
      <c r="G146" s="36" t="n"/>
      <c r="H146" s="37" t="n"/>
      <c r="I146" s="38" t="n"/>
      <c r="J146" s="39">
        <f>IF(G146="","",HYPERLINK("https://wa.me/"&amp;G146,"Открыть чат"))</f>
        <v/>
      </c>
    </row>
    <row r="147">
      <c r="A147" s="32" t="n"/>
      <c r="B147" s="33" t="n"/>
      <c r="C147" s="33" t="n"/>
      <c r="D147" s="34" t="n"/>
      <c r="E147" s="33" t="n"/>
      <c r="F147" s="35" t="n"/>
      <c r="G147" s="36" t="n"/>
      <c r="H147" s="37" t="n"/>
      <c r="I147" s="38" t="n"/>
      <c r="J147" s="39">
        <f>IF(G147="","",HYPERLINK("https://wa.me/"&amp;G147,"Открыть чат"))</f>
        <v/>
      </c>
    </row>
    <row r="148">
      <c r="A148" s="32" t="n"/>
      <c r="B148" s="33" t="n"/>
      <c r="C148" s="33" t="n"/>
      <c r="D148" s="34" t="n"/>
      <c r="E148" s="33" t="n"/>
      <c r="F148" s="35" t="n"/>
      <c r="G148" s="36" t="n"/>
      <c r="H148" s="37" t="n"/>
      <c r="I148" s="38" t="n"/>
      <c r="J148" s="39">
        <f>IF(G148="","",HYPERLINK("https://wa.me/"&amp;G148,"Открыть чат"))</f>
        <v/>
      </c>
    </row>
    <row r="149">
      <c r="A149" s="32" t="n"/>
      <c r="B149" s="33" t="n"/>
      <c r="C149" s="33" t="n"/>
      <c r="D149" s="34" t="n"/>
      <c r="E149" s="33" t="n"/>
      <c r="F149" s="35" t="n"/>
      <c r="G149" s="36" t="n"/>
      <c r="H149" s="37" t="n"/>
      <c r="I149" s="38" t="n"/>
      <c r="J149" s="39">
        <f>IF(G149="","",HYPERLINK("https://wa.me/"&amp;G149,"Открыть чат"))</f>
        <v/>
      </c>
    </row>
    <row r="150">
      <c r="A150" s="32" t="n"/>
      <c r="B150" s="33" t="n"/>
      <c r="C150" s="33" t="n"/>
      <c r="D150" s="34" t="n"/>
      <c r="E150" s="33" t="n"/>
      <c r="F150" s="35" t="n"/>
      <c r="G150" s="36" t="n"/>
      <c r="H150" s="37" t="n"/>
      <c r="I150" s="38" t="n"/>
      <c r="J150" s="39">
        <f>IF(G150="","",HYPERLINK("https://wa.me/"&amp;G150,"Открыть чат"))</f>
        <v/>
      </c>
    </row>
    <row r="151">
      <c r="A151" s="32" t="n"/>
      <c r="B151" s="33" t="n"/>
      <c r="C151" s="33" t="n"/>
      <c r="D151" s="34" t="n"/>
      <c r="E151" s="33" t="n"/>
      <c r="F151" s="35" t="n"/>
      <c r="G151" s="36" t="n"/>
      <c r="H151" s="37" t="n"/>
      <c r="I151" s="38" t="n"/>
      <c r="J151" s="39">
        <f>IF(G151="","",HYPERLINK("https://wa.me/"&amp;G151,"Открыть чат"))</f>
        <v/>
      </c>
    </row>
    <row r="152">
      <c r="A152" s="32" t="n"/>
      <c r="B152" s="33" t="n"/>
      <c r="C152" s="33" t="n"/>
      <c r="D152" s="34" t="n"/>
      <c r="E152" s="33" t="n"/>
      <c r="F152" s="35" t="n"/>
      <c r="G152" s="36" t="n"/>
      <c r="H152" s="37" t="n"/>
      <c r="I152" s="38" t="n"/>
      <c r="J152" s="39">
        <f>IF(G152="","",HYPERLINK("https://wa.me/"&amp;G152,"Открыть чат"))</f>
        <v/>
      </c>
    </row>
    <row r="153">
      <c r="A153" s="32" t="n"/>
      <c r="B153" s="33" t="n"/>
      <c r="C153" s="33" t="n"/>
      <c r="D153" s="34" t="n"/>
      <c r="E153" s="33" t="n"/>
      <c r="F153" s="35" t="n"/>
      <c r="G153" s="36" t="n"/>
      <c r="H153" s="37" t="n"/>
      <c r="I153" s="38" t="n"/>
      <c r="J153" s="39">
        <f>IF(G153="","",HYPERLINK("https://wa.me/"&amp;G153,"Открыть чат"))</f>
        <v/>
      </c>
    </row>
    <row r="154">
      <c r="A154" s="32" t="n"/>
      <c r="B154" s="33" t="n"/>
      <c r="C154" s="33" t="n"/>
      <c r="D154" s="34" t="n"/>
      <c r="E154" s="33" t="n"/>
      <c r="F154" s="35" t="n"/>
      <c r="G154" s="36" t="n"/>
      <c r="H154" s="37" t="n"/>
      <c r="I154" s="38" t="n"/>
      <c r="J154" s="39">
        <f>IF(G154="","",HYPERLINK("https://wa.me/"&amp;G154,"Открыть чат"))</f>
        <v/>
      </c>
    </row>
    <row r="155">
      <c r="A155" s="32" t="n"/>
      <c r="B155" s="33" t="n"/>
      <c r="C155" s="33" t="n"/>
      <c r="D155" s="34" t="n"/>
      <c r="E155" s="33" t="n"/>
      <c r="F155" s="35" t="n"/>
      <c r="G155" s="36" t="n"/>
      <c r="H155" s="37" t="n"/>
      <c r="I155" s="38" t="n"/>
      <c r="J155" s="39">
        <f>IF(G155="","",HYPERLINK("https://wa.me/"&amp;G155,"Открыть чат"))</f>
        <v/>
      </c>
    </row>
    <row r="156">
      <c r="A156" s="32" t="n"/>
      <c r="B156" s="33" t="n"/>
      <c r="C156" s="33" t="n"/>
      <c r="D156" s="34" t="n"/>
      <c r="E156" s="33" t="n"/>
      <c r="F156" s="35" t="n"/>
      <c r="G156" s="36" t="n"/>
      <c r="H156" s="37" t="n"/>
      <c r="I156" s="38" t="n"/>
      <c r="J156" s="39">
        <f>IF(G156="","",HYPERLINK("https://wa.me/"&amp;G156,"Открыть чат"))</f>
        <v/>
      </c>
    </row>
    <row r="157">
      <c r="A157" s="32" t="n"/>
      <c r="B157" s="33" t="n"/>
      <c r="C157" s="33" t="n"/>
      <c r="D157" s="34" t="n"/>
      <c r="E157" s="33" t="n"/>
      <c r="F157" s="35" t="n"/>
      <c r="G157" s="36" t="n"/>
      <c r="H157" s="37" t="n"/>
      <c r="I157" s="38" t="n"/>
      <c r="J157" s="39">
        <f>IF(G157="","",HYPERLINK("https://wa.me/"&amp;G157,"Открыть чат"))</f>
        <v/>
      </c>
    </row>
    <row r="158">
      <c r="A158" s="32" t="n"/>
      <c r="B158" s="33" t="n"/>
      <c r="C158" s="33" t="n"/>
      <c r="D158" s="34" t="n"/>
      <c r="E158" s="33" t="n"/>
      <c r="F158" s="35" t="n"/>
      <c r="G158" s="36" t="n"/>
      <c r="H158" s="37" t="n"/>
      <c r="I158" s="38" t="n"/>
      <c r="J158" s="39">
        <f>IF(G158="","",HYPERLINK("https://wa.me/"&amp;G158,"Открыть чат"))</f>
        <v/>
      </c>
    </row>
    <row r="159">
      <c r="A159" s="32" t="n"/>
      <c r="B159" s="33" t="n"/>
      <c r="C159" s="33" t="n"/>
      <c r="D159" s="34" t="n"/>
      <c r="E159" s="33" t="n"/>
      <c r="F159" s="35" t="n"/>
      <c r="G159" s="36" t="n"/>
      <c r="H159" s="37" t="n"/>
      <c r="I159" s="38" t="n"/>
      <c r="J159" s="39">
        <f>IF(G159="","",HYPERLINK("https://wa.me/"&amp;G159,"Открыть чат"))</f>
        <v/>
      </c>
    </row>
    <row r="160">
      <c r="A160" s="32" t="n"/>
      <c r="B160" s="33" t="n"/>
      <c r="C160" s="33" t="n"/>
      <c r="D160" s="34" t="n"/>
      <c r="E160" s="33" t="n"/>
      <c r="F160" s="35" t="n"/>
      <c r="G160" s="36" t="n"/>
      <c r="H160" s="37" t="n"/>
      <c r="I160" s="38" t="n"/>
      <c r="J160" s="39">
        <f>IF(G160="","",HYPERLINK("https://wa.me/"&amp;G160,"Открыть чат"))</f>
        <v/>
      </c>
    </row>
    <row r="161">
      <c r="A161" s="32" t="n"/>
      <c r="B161" s="33" t="n"/>
      <c r="C161" s="33" t="n"/>
      <c r="D161" s="34" t="n"/>
      <c r="E161" s="33" t="n"/>
      <c r="F161" s="35" t="n"/>
      <c r="G161" s="36" t="n"/>
      <c r="H161" s="37" t="n"/>
      <c r="I161" s="38" t="n"/>
      <c r="J161" s="39">
        <f>IF(G161="","",HYPERLINK("https://wa.me/"&amp;G161,"Открыть чат"))</f>
        <v/>
      </c>
    </row>
    <row r="162">
      <c r="A162" s="32" t="n"/>
      <c r="B162" s="33" t="n"/>
      <c r="C162" s="33" t="n"/>
      <c r="D162" s="34" t="n"/>
      <c r="E162" s="33" t="n"/>
      <c r="F162" s="35" t="n"/>
      <c r="G162" s="36" t="n"/>
      <c r="H162" s="37" t="n"/>
      <c r="I162" s="38" t="n"/>
      <c r="J162" s="39">
        <f>IF(G162="","",HYPERLINK("https://wa.me/"&amp;G162,"Открыть чат"))</f>
        <v/>
      </c>
    </row>
    <row r="163">
      <c r="A163" s="32" t="n"/>
      <c r="B163" s="33" t="n"/>
      <c r="C163" s="33" t="n"/>
      <c r="D163" s="34" t="n"/>
      <c r="E163" s="33" t="n"/>
      <c r="F163" s="35" t="n"/>
      <c r="G163" s="36" t="n"/>
      <c r="H163" s="37" t="n"/>
      <c r="I163" s="38" t="n"/>
      <c r="J163" s="39">
        <f>IF(G163="","",HYPERLINK("https://wa.me/"&amp;G163,"Открыть чат"))</f>
        <v/>
      </c>
    </row>
    <row r="164">
      <c r="A164" s="32" t="n"/>
      <c r="B164" s="33" t="n"/>
      <c r="C164" s="33" t="n"/>
      <c r="D164" s="34" t="n"/>
      <c r="E164" s="33" t="n"/>
      <c r="F164" s="35" t="n"/>
      <c r="G164" s="36" t="n"/>
      <c r="H164" s="37" t="n"/>
      <c r="I164" s="38" t="n"/>
      <c r="J164" s="39">
        <f>IF(G164="","",HYPERLINK("https://wa.me/"&amp;G164,"Открыть чат"))</f>
        <v/>
      </c>
    </row>
    <row r="165">
      <c r="A165" s="32" t="n"/>
      <c r="B165" s="33" t="n"/>
      <c r="C165" s="33" t="n"/>
      <c r="D165" s="34" t="n"/>
      <c r="E165" s="33" t="n"/>
      <c r="F165" s="35" t="n"/>
      <c r="G165" s="36" t="n"/>
      <c r="H165" s="37" t="n"/>
      <c r="I165" s="38" t="n"/>
      <c r="J165" s="39">
        <f>IF(G165="","",HYPERLINK("https://wa.me/"&amp;G165,"Открыть чат"))</f>
        <v/>
      </c>
    </row>
    <row r="166">
      <c r="A166" s="32" t="n"/>
      <c r="B166" s="33" t="n"/>
      <c r="C166" s="33" t="n"/>
      <c r="D166" s="34" t="n"/>
      <c r="E166" s="33" t="n"/>
      <c r="F166" s="35" t="n"/>
      <c r="G166" s="36" t="n"/>
      <c r="H166" s="37" t="n"/>
      <c r="I166" s="38" t="n"/>
      <c r="J166" s="39">
        <f>IF(G166="","",HYPERLINK("https://wa.me/"&amp;G166,"Открыть чат"))</f>
        <v/>
      </c>
    </row>
    <row r="167">
      <c r="A167" s="32" t="n"/>
      <c r="B167" s="33" t="n"/>
      <c r="C167" s="33" t="n"/>
      <c r="D167" s="34" t="n"/>
      <c r="E167" s="33" t="n"/>
      <c r="F167" s="35" t="n"/>
      <c r="G167" s="36" t="n"/>
      <c r="H167" s="37" t="n"/>
      <c r="I167" s="38" t="n"/>
      <c r="J167" s="39">
        <f>IF(G167="","",HYPERLINK("https://wa.me/"&amp;G167,"Открыть чат"))</f>
        <v/>
      </c>
    </row>
    <row r="168">
      <c r="A168" s="32" t="n"/>
      <c r="B168" s="33" t="n"/>
      <c r="C168" s="33" t="n"/>
      <c r="D168" s="34" t="n"/>
      <c r="E168" s="33" t="n"/>
      <c r="F168" s="35" t="n"/>
      <c r="G168" s="36" t="n"/>
      <c r="H168" s="37" t="n"/>
      <c r="I168" s="38" t="n"/>
      <c r="J168" s="39">
        <f>IF(G168="","",HYPERLINK("https://wa.me/"&amp;G168,"Открыть чат"))</f>
        <v/>
      </c>
    </row>
    <row r="169">
      <c r="A169" s="32" t="n"/>
      <c r="B169" s="33" t="n"/>
      <c r="C169" s="33" t="n"/>
      <c r="D169" s="34" t="n"/>
      <c r="E169" s="33" t="n"/>
      <c r="F169" s="35" t="n"/>
      <c r="G169" s="36" t="n"/>
      <c r="H169" s="37" t="n"/>
      <c r="I169" s="38" t="n"/>
      <c r="J169" s="39">
        <f>IF(G169="","",HYPERLINK("https://wa.me/"&amp;G169,"Открыть чат"))</f>
        <v/>
      </c>
    </row>
    <row r="170">
      <c r="A170" s="32" t="n"/>
      <c r="B170" s="33" t="n"/>
      <c r="C170" s="33" t="n"/>
      <c r="D170" s="34" t="n"/>
      <c r="E170" s="33" t="n"/>
      <c r="F170" s="35" t="n"/>
      <c r="G170" s="36" t="n"/>
      <c r="H170" s="37" t="n"/>
      <c r="I170" s="38" t="n"/>
      <c r="J170" s="39">
        <f>IF(G170="","",HYPERLINK("https://wa.me/"&amp;G170,"Открыть чат"))</f>
        <v/>
      </c>
    </row>
    <row r="171">
      <c r="A171" s="32" t="n"/>
      <c r="B171" s="33" t="n"/>
      <c r="C171" s="33" t="n"/>
      <c r="D171" s="34" t="n"/>
      <c r="E171" s="33" t="n"/>
      <c r="F171" s="35" t="n"/>
      <c r="G171" s="36" t="n"/>
      <c r="H171" s="37" t="n"/>
      <c r="I171" s="38" t="n"/>
      <c r="J171" s="39">
        <f>IF(G171="","",HYPERLINK("https://wa.me/"&amp;G171,"Открыть чат"))</f>
        <v/>
      </c>
    </row>
    <row r="172">
      <c r="A172" s="32" t="n"/>
      <c r="B172" s="33" t="n"/>
      <c r="C172" s="33" t="n"/>
      <c r="D172" s="34" t="n"/>
      <c r="E172" s="33" t="n"/>
      <c r="F172" s="35" t="n"/>
      <c r="G172" s="36" t="n"/>
      <c r="H172" s="37" t="n"/>
      <c r="I172" s="38" t="n"/>
      <c r="J172" s="39">
        <f>IF(G172="","",HYPERLINK("https://wa.me/"&amp;G172,"Открыть чат"))</f>
        <v/>
      </c>
    </row>
    <row r="173">
      <c r="A173" s="32" t="n"/>
      <c r="B173" s="33" t="n"/>
      <c r="C173" s="33" t="n"/>
      <c r="D173" s="34" t="n"/>
      <c r="E173" s="33" t="n"/>
      <c r="F173" s="35" t="n"/>
      <c r="G173" s="36" t="n"/>
      <c r="H173" s="37" t="n"/>
      <c r="I173" s="38" t="n"/>
      <c r="J173" s="39">
        <f>IF(G173="","",HYPERLINK("https://wa.me/"&amp;G173,"Открыть чат"))</f>
        <v/>
      </c>
    </row>
    <row r="174">
      <c r="A174" s="32" t="n"/>
      <c r="B174" s="33" t="n"/>
      <c r="C174" s="33" t="n"/>
      <c r="D174" s="34" t="n"/>
      <c r="E174" s="33" t="n"/>
      <c r="F174" s="35" t="n"/>
      <c r="G174" s="36" t="n"/>
      <c r="H174" s="37" t="n"/>
      <c r="I174" s="38" t="n"/>
      <c r="J174" s="39">
        <f>IF(G174="","",HYPERLINK("https://wa.me/"&amp;G174,"Открыть чат"))</f>
        <v/>
      </c>
    </row>
    <row r="175">
      <c r="A175" s="32" t="n"/>
      <c r="B175" s="33" t="n"/>
      <c r="C175" s="33" t="n"/>
      <c r="D175" s="34" t="n"/>
      <c r="E175" s="33" t="n"/>
      <c r="F175" s="35" t="n"/>
      <c r="G175" s="36" t="n"/>
      <c r="H175" s="37" t="n"/>
      <c r="I175" s="38" t="n"/>
      <c r="J175" s="39">
        <f>IF(G175="","",HYPERLINK("https://wa.me/"&amp;G175,"Открыть чат"))</f>
        <v/>
      </c>
    </row>
    <row r="176">
      <c r="A176" s="32" t="n"/>
      <c r="B176" s="33" t="n"/>
      <c r="C176" s="33" t="n"/>
      <c r="D176" s="34" t="n"/>
      <c r="E176" s="33" t="n"/>
      <c r="F176" s="35" t="n"/>
      <c r="G176" s="36" t="n"/>
      <c r="H176" s="37" t="n"/>
      <c r="I176" s="38" t="n"/>
      <c r="J176" s="39">
        <f>IF(G176="","",HYPERLINK("https://wa.me/"&amp;G176,"Открыть чат"))</f>
        <v/>
      </c>
    </row>
    <row r="177">
      <c r="A177" s="32" t="n"/>
      <c r="B177" s="33" t="n"/>
      <c r="C177" s="33" t="n"/>
      <c r="D177" s="34" t="n"/>
      <c r="E177" s="33" t="n"/>
      <c r="F177" s="35" t="n"/>
      <c r="G177" s="36" t="n"/>
      <c r="H177" s="37" t="n"/>
      <c r="I177" s="38" t="n"/>
      <c r="J177" s="39">
        <f>IF(G177="","",HYPERLINK("https://wa.me/"&amp;G177,"Открыть чат"))</f>
        <v/>
      </c>
    </row>
    <row r="178">
      <c r="A178" s="32" t="n"/>
      <c r="B178" s="33" t="n"/>
      <c r="C178" s="33" t="n"/>
      <c r="D178" s="34" t="n"/>
      <c r="E178" s="33" t="n"/>
      <c r="F178" s="35" t="n"/>
      <c r="G178" s="36" t="n"/>
      <c r="H178" s="37" t="n"/>
      <c r="I178" s="38" t="n"/>
      <c r="J178" s="39">
        <f>IF(G178="","",HYPERLINK("https://wa.me/"&amp;G178,"Открыть чат"))</f>
        <v/>
      </c>
    </row>
    <row r="179">
      <c r="A179" s="32" t="n"/>
      <c r="B179" s="33" t="n"/>
      <c r="C179" s="33" t="n"/>
      <c r="D179" s="34" t="n"/>
      <c r="E179" s="33" t="n"/>
      <c r="F179" s="35" t="n"/>
      <c r="G179" s="36" t="n"/>
      <c r="H179" s="37" t="n"/>
      <c r="I179" s="38" t="n"/>
      <c r="J179" s="39">
        <f>IF(G179="","",HYPERLINK("https://wa.me/"&amp;G179,"Открыть чат"))</f>
        <v/>
      </c>
    </row>
    <row r="180">
      <c r="A180" s="32" t="n"/>
      <c r="B180" s="33" t="n"/>
      <c r="C180" s="33" t="n"/>
      <c r="D180" s="34" t="n"/>
      <c r="E180" s="33" t="n"/>
      <c r="F180" s="35" t="n"/>
      <c r="G180" s="36" t="n"/>
      <c r="H180" s="37" t="n"/>
      <c r="I180" s="38" t="n"/>
      <c r="J180" s="39">
        <f>IF(G180="","",HYPERLINK("https://wa.me/"&amp;G180,"Открыть чат"))</f>
        <v/>
      </c>
    </row>
    <row r="181">
      <c r="A181" s="32" t="n"/>
      <c r="B181" s="33" t="n"/>
      <c r="C181" s="33" t="n"/>
      <c r="D181" s="34" t="n"/>
      <c r="E181" s="33" t="n"/>
      <c r="F181" s="35" t="n"/>
      <c r="G181" s="36" t="n"/>
      <c r="H181" s="37" t="n"/>
      <c r="I181" s="38" t="n"/>
      <c r="J181" s="39">
        <f>IF(G181="","",HYPERLINK("https://wa.me/"&amp;G181,"Открыть чат"))</f>
        <v/>
      </c>
    </row>
    <row r="182">
      <c r="A182" s="32" t="n"/>
      <c r="B182" s="33" t="n"/>
      <c r="C182" s="33" t="n"/>
      <c r="D182" s="34" t="n"/>
      <c r="E182" s="33" t="n"/>
      <c r="F182" s="35" t="n"/>
      <c r="G182" s="36" t="n"/>
      <c r="H182" s="37" t="n"/>
      <c r="I182" s="38" t="n"/>
      <c r="J182" s="39">
        <f>IF(G182="","",HYPERLINK("https://wa.me/"&amp;G182,"Открыть чат"))</f>
        <v/>
      </c>
    </row>
    <row r="183">
      <c r="A183" s="32" t="n"/>
      <c r="B183" s="33" t="n"/>
      <c r="C183" s="33" t="n"/>
      <c r="D183" s="34" t="n"/>
      <c r="E183" s="33" t="n"/>
      <c r="F183" s="35" t="n"/>
      <c r="G183" s="36" t="n"/>
      <c r="H183" s="37" t="n"/>
      <c r="I183" s="38" t="n"/>
      <c r="J183" s="39">
        <f>IF(G183="","",HYPERLINK("https://wa.me/"&amp;G183,"Открыть чат"))</f>
        <v/>
      </c>
    </row>
    <row r="184">
      <c r="A184" s="32" t="n"/>
      <c r="B184" s="33" t="n"/>
      <c r="C184" s="33" t="n"/>
      <c r="D184" s="34" t="n"/>
      <c r="E184" s="33" t="n"/>
      <c r="F184" s="35" t="n"/>
      <c r="G184" s="36" t="n"/>
      <c r="H184" s="37" t="n"/>
      <c r="I184" s="38" t="n"/>
      <c r="J184" s="39">
        <f>IF(G184="","",HYPERLINK("https://wa.me/"&amp;G184,"Открыть чат"))</f>
        <v/>
      </c>
    </row>
    <row r="185">
      <c r="A185" s="32" t="n"/>
      <c r="B185" s="33" t="n"/>
      <c r="C185" s="33" t="n"/>
      <c r="D185" s="34" t="n"/>
      <c r="E185" s="33" t="n"/>
      <c r="F185" s="35" t="n"/>
      <c r="G185" s="36" t="n"/>
      <c r="H185" s="37" t="n"/>
      <c r="I185" s="38" t="n"/>
      <c r="J185" s="39">
        <f>IF(G185="","",HYPERLINK("https://wa.me/"&amp;G185,"Открыть чат"))</f>
        <v/>
      </c>
    </row>
    <row r="186">
      <c r="A186" s="32" t="n"/>
      <c r="B186" s="33" t="n"/>
      <c r="C186" s="33" t="n"/>
      <c r="D186" s="34" t="n"/>
      <c r="E186" s="33" t="n"/>
      <c r="F186" s="35" t="n"/>
      <c r="G186" s="36" t="n"/>
      <c r="H186" s="37" t="n"/>
      <c r="I186" s="38" t="n"/>
      <c r="J186" s="39">
        <f>IF(G186="","",HYPERLINK("https://wa.me/"&amp;G186,"Открыть чат"))</f>
        <v/>
      </c>
    </row>
    <row r="187">
      <c r="A187" s="32" t="n"/>
      <c r="B187" s="33" t="n"/>
      <c r="C187" s="33" t="n"/>
      <c r="D187" s="34" t="n"/>
      <c r="E187" s="33" t="n"/>
      <c r="F187" s="35" t="n"/>
      <c r="G187" s="36" t="n"/>
      <c r="H187" s="37" t="n"/>
      <c r="I187" s="38" t="n"/>
      <c r="J187" s="39">
        <f>IF(G187="","",HYPERLINK("https://wa.me/"&amp;G187,"Открыть чат"))</f>
        <v/>
      </c>
    </row>
    <row r="188">
      <c r="A188" s="32" t="n"/>
      <c r="B188" s="33" t="n"/>
      <c r="C188" s="33" t="n"/>
      <c r="D188" s="34" t="n"/>
      <c r="E188" s="33" t="n"/>
      <c r="F188" s="35" t="n"/>
      <c r="G188" s="36" t="n"/>
      <c r="H188" s="37" t="n"/>
      <c r="I188" s="38" t="n"/>
      <c r="J188" s="39">
        <f>IF(G188="","",HYPERLINK("https://wa.me/"&amp;G188,"Открыть чат"))</f>
        <v/>
      </c>
    </row>
    <row r="189">
      <c r="A189" s="32" t="n"/>
      <c r="B189" s="33" t="n"/>
      <c r="C189" s="33" t="n"/>
      <c r="D189" s="34" t="n"/>
      <c r="E189" s="33" t="n"/>
      <c r="F189" s="35" t="n"/>
      <c r="G189" s="36" t="n"/>
      <c r="H189" s="37" t="n"/>
      <c r="I189" s="38" t="n"/>
      <c r="J189" s="39">
        <f>IF(G189="","",HYPERLINK("https://wa.me/"&amp;G189,"Открыть чат"))</f>
        <v/>
      </c>
    </row>
    <row r="190">
      <c r="A190" s="32" t="n"/>
      <c r="B190" s="33" t="n"/>
      <c r="C190" s="33" t="n"/>
      <c r="D190" s="34" t="n"/>
      <c r="E190" s="33" t="n"/>
      <c r="F190" s="35" t="n"/>
      <c r="G190" s="36" t="n"/>
      <c r="H190" s="37" t="n"/>
      <c r="I190" s="38" t="n"/>
      <c r="J190" s="39">
        <f>IF(G190="","",HYPERLINK("https://wa.me/"&amp;G190,"Открыть чат"))</f>
        <v/>
      </c>
    </row>
    <row r="191">
      <c r="A191" s="32" t="n"/>
      <c r="B191" s="33" t="n"/>
      <c r="C191" s="33" t="n"/>
      <c r="D191" s="34" t="n"/>
      <c r="E191" s="33" t="n"/>
      <c r="F191" s="35" t="n"/>
      <c r="G191" s="36" t="n"/>
      <c r="H191" s="37" t="n"/>
      <c r="I191" s="38" t="n"/>
      <c r="J191" s="39">
        <f>IF(G191="","",HYPERLINK("https://wa.me/"&amp;G191,"Открыть чат"))</f>
        <v/>
      </c>
    </row>
    <row r="192">
      <c r="A192" s="32" t="n"/>
      <c r="B192" s="33" t="n"/>
      <c r="C192" s="33" t="n"/>
      <c r="D192" s="34" t="n"/>
      <c r="E192" s="33" t="n"/>
      <c r="F192" s="35" t="n"/>
      <c r="G192" s="36" t="n"/>
      <c r="H192" s="37" t="n"/>
      <c r="I192" s="38" t="n"/>
      <c r="J192" s="39">
        <f>IF(G192="","",HYPERLINK("https://wa.me/"&amp;G192,"Открыть чат"))</f>
        <v/>
      </c>
    </row>
    <row r="193">
      <c r="A193" s="32" t="n"/>
      <c r="B193" s="33" t="n"/>
      <c r="C193" s="33" t="n"/>
      <c r="D193" s="34" t="n"/>
      <c r="E193" s="33" t="n"/>
      <c r="F193" s="35" t="n"/>
      <c r="G193" s="36" t="n"/>
      <c r="H193" s="37" t="n"/>
      <c r="I193" s="38" t="n"/>
      <c r="J193" s="39">
        <f>IF(G193="","",HYPERLINK("https://wa.me/"&amp;G193,"Открыть чат"))</f>
        <v/>
      </c>
    </row>
    <row r="194">
      <c r="A194" s="32" t="n"/>
      <c r="B194" s="33" t="n"/>
      <c r="C194" s="33" t="n"/>
      <c r="D194" s="34" t="n"/>
      <c r="E194" s="33" t="n"/>
      <c r="F194" s="35" t="n"/>
      <c r="G194" s="36" t="n"/>
      <c r="H194" s="37" t="n"/>
      <c r="I194" s="38" t="n"/>
      <c r="J194" s="39">
        <f>IF(G194="","",HYPERLINK("https://wa.me/"&amp;G194,"Открыть чат"))</f>
        <v/>
      </c>
    </row>
    <row r="195">
      <c r="A195" s="32" t="n"/>
      <c r="B195" s="33" t="n"/>
      <c r="C195" s="33" t="n"/>
      <c r="D195" s="34" t="n"/>
      <c r="E195" s="33" t="n"/>
      <c r="F195" s="35" t="n"/>
      <c r="G195" s="36" t="n"/>
      <c r="H195" s="37" t="n"/>
      <c r="I195" s="38" t="n"/>
      <c r="J195" s="39">
        <f>IF(G195="","",HYPERLINK("https://wa.me/"&amp;G195,"Открыть чат"))</f>
        <v/>
      </c>
    </row>
    <row r="196">
      <c r="A196" s="32" t="n"/>
      <c r="B196" s="33" t="n"/>
      <c r="C196" s="33" t="n"/>
      <c r="D196" s="34" t="n"/>
      <c r="E196" s="33" t="n"/>
      <c r="F196" s="35" t="n"/>
      <c r="G196" s="36" t="n"/>
      <c r="H196" s="37" t="n"/>
      <c r="I196" s="38" t="n"/>
      <c r="J196" s="39">
        <f>IF(G196="","",HYPERLINK("https://wa.me/"&amp;G196,"Открыть чат"))</f>
        <v/>
      </c>
    </row>
    <row r="197">
      <c r="A197" s="32" t="n"/>
      <c r="B197" s="33" t="n"/>
      <c r="C197" s="33" t="n"/>
      <c r="D197" s="34" t="n"/>
      <c r="E197" s="33" t="n"/>
      <c r="F197" s="35" t="n"/>
      <c r="G197" s="36" t="n"/>
      <c r="H197" s="37" t="n"/>
      <c r="I197" s="38" t="n"/>
      <c r="J197" s="39">
        <f>IF(G197="","",HYPERLINK("https://wa.me/"&amp;G197,"Открыть чат"))</f>
        <v/>
      </c>
    </row>
    <row r="198">
      <c r="A198" s="32" t="n"/>
      <c r="B198" s="33" t="n"/>
      <c r="C198" s="33" t="n"/>
      <c r="D198" s="34" t="n"/>
      <c r="E198" s="33" t="n"/>
      <c r="F198" s="35" t="n"/>
      <c r="G198" s="36" t="n"/>
      <c r="H198" s="37" t="n"/>
      <c r="I198" s="38" t="n"/>
      <c r="J198" s="39">
        <f>IF(G198="","",HYPERLINK("https://wa.me/"&amp;G198,"Открыть чат"))</f>
        <v/>
      </c>
    </row>
    <row r="199">
      <c r="A199" s="32" t="n"/>
      <c r="B199" s="33" t="n"/>
      <c r="C199" s="33" t="n"/>
      <c r="D199" s="34" t="n"/>
      <c r="E199" s="33" t="n"/>
      <c r="F199" s="35" t="n"/>
      <c r="G199" s="36" t="n"/>
      <c r="H199" s="37" t="n"/>
      <c r="I199" s="38" t="n"/>
      <c r="J199" s="39">
        <f>IF(G199="","",HYPERLINK("https://wa.me/"&amp;G199,"Открыть чат"))</f>
        <v/>
      </c>
    </row>
    <row r="200">
      <c r="A200" s="32" t="n"/>
      <c r="B200" s="33" t="n"/>
      <c r="C200" s="33" t="n"/>
      <c r="D200" s="34" t="n"/>
      <c r="E200" s="33" t="n"/>
      <c r="F200" s="35" t="n"/>
      <c r="G200" s="36" t="n"/>
      <c r="H200" s="37" t="n"/>
      <c r="I200" s="38" t="n"/>
      <c r="J200" s="39">
        <f>IF(G200="","",HYPERLINK("https://wa.me/"&amp;G200,"Открыть чат"))</f>
        <v/>
      </c>
    </row>
    <row r="201">
      <c r="A201" s="32" t="n"/>
      <c r="B201" s="33" t="n"/>
      <c r="C201" s="33" t="n"/>
      <c r="D201" s="34" t="n"/>
      <c r="E201" s="33" t="n"/>
      <c r="F201" s="35" t="n"/>
      <c r="G201" s="36" t="n"/>
      <c r="H201" s="37" t="n"/>
      <c r="I201" s="38" t="n"/>
      <c r="J201" s="39">
        <f>IF(G201="","",HYPERLINK("https://wa.me/"&amp;G201,"Открыть чат"))</f>
        <v/>
      </c>
    </row>
    <row r="202">
      <c r="A202" s="32" t="n"/>
      <c r="B202" s="33" t="n"/>
      <c r="C202" s="33" t="n"/>
      <c r="D202" s="34" t="n"/>
      <c r="E202" s="33" t="n"/>
      <c r="F202" s="35" t="n"/>
      <c r="G202" s="36" t="n"/>
      <c r="H202" s="37" t="n"/>
      <c r="I202" s="38" t="n"/>
      <c r="J202" s="39">
        <f>IF(G202="","",HYPERLINK("https://wa.me/"&amp;G202,"Открыть чат"))</f>
        <v/>
      </c>
    </row>
    <row r="203">
      <c r="A203" s="32" t="n"/>
      <c r="B203" s="33" t="n"/>
      <c r="C203" s="33" t="n"/>
      <c r="D203" s="34" t="n"/>
      <c r="E203" s="33" t="n"/>
      <c r="F203" s="35" t="n"/>
      <c r="G203" s="36" t="n"/>
      <c r="H203" s="37" t="n"/>
      <c r="I203" s="38" t="n"/>
      <c r="J203" s="39">
        <f>IF(G203="","",HYPERLINK("https://wa.me/"&amp;G203,"Открыть чат"))</f>
        <v/>
      </c>
    </row>
    <row r="204">
      <c r="A204" s="32" t="n"/>
      <c r="B204" s="33" t="n"/>
      <c r="C204" s="33" t="n"/>
      <c r="D204" s="34" t="n"/>
      <c r="E204" s="33" t="n"/>
      <c r="F204" s="35" t="n"/>
      <c r="G204" s="36" t="n"/>
      <c r="H204" s="37" t="n"/>
      <c r="I204" s="38" t="n"/>
      <c r="J204" s="39">
        <f>IF(G204="","",HYPERLINK("https://wa.me/"&amp;G204,"Открыть чат"))</f>
        <v/>
      </c>
    </row>
  </sheetData>
  <conditionalFormatting sqref="B5:B204">
    <cfRule type="expression" priority="1" dxfId="0">
      <formula>B5="Очередь"</formula>
    </cfRule>
    <cfRule type="expression" priority="2" dxfId="1">
      <formula>B5="Отправлено"</formula>
    </cfRule>
    <cfRule type="expression" priority="3" dxfId="2">
      <formula>B5="Не ответил"</formula>
    </cfRule>
    <cfRule type="expression" priority="4" dxfId="3">
      <formula>B5="Ответил"</formula>
    </cfRule>
    <cfRule type="expression" priority="5" dxfId="4">
      <formula>B5="Доработать"</formula>
    </cfRule>
    <cfRule type="expression" priority="6" dxfId="5">
      <formula>B5="Перезвонить"</formula>
    </cfRule>
    <cfRule type="expression" priority="7" dxfId="6">
      <formula>B5="Созвон"</formula>
    </cfRule>
    <cfRule type="expression" priority="8" dxfId="7">
      <formula>B5="Клиент"</formula>
    </cfRule>
    <cfRule type="expression" priority="9" dxfId="8">
      <formula>B5="Отказ"</formula>
    </cfRule>
    <cfRule type="expression" priority="10" dxfId="9">
      <formula>B5="Не писать"</formula>
    </cfRule>
  </conditionalFormatting>
  <conditionalFormatting sqref="E5:E204">
    <cfRule type="expression" priority="11" dxfId="8">
      <formula>E5="просрочено"</formula>
    </cfRule>
    <cfRule type="expression" priority="12" dxfId="4">
      <formula>OR(E5="сегодня",E5="укажи дату",LEFT(E5,6)="молчит")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211D"/>
    <outlinePr summaryBelow="1" summaryRight="1"/>
    <pageSetUpPr/>
  </sheetPr>
  <dimension ref="A1:H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</cols>
  <sheetData>
    <row r="1">
      <c r="A1" s="1" t="inlineStr">
        <is>
          <t>Канбан</t>
        </is>
      </c>
    </row>
    <row r="2">
      <c r="A2" s="2" t="inlineStr">
        <is>
          <t>Кто на каком этапе. В карточке: компания · менеджер, ниже срок. Этап меняется на листе «Лиды».</t>
        </is>
      </c>
    </row>
    <row r="4" ht="30" customHeight="1">
      <c r="A4" s="40">
        <f>"Отправлено · "&amp;COUNTIF('Лиды'!$C$2:$C$2000,"Отправлено")</f>
        <v/>
      </c>
      <c r="B4" s="41">
        <f>"Не ответил · "&amp;COUNTIF('Лиды'!$C$2:$C$2000,"Не ответил")</f>
        <v/>
      </c>
      <c r="C4" s="42">
        <f>"Ответил · "&amp;COUNTIF('Лиды'!$C$2:$C$2000,"Ответил")</f>
        <v/>
      </c>
      <c r="D4" s="43">
        <f>"Доработать · "&amp;COUNTIF('Лиды'!$C$2:$C$2000,"Доработать")</f>
        <v/>
      </c>
      <c r="E4" s="44">
        <f>"Перезвонить · "&amp;COUNTIF('Лиды'!$C$2:$C$2000,"Перезвонить")</f>
        <v/>
      </c>
      <c r="F4" s="45">
        <f>"Созвон · "&amp;COUNTIF('Лиды'!$C$2:$C$2000,"Созвон")</f>
        <v/>
      </c>
      <c r="G4" s="46">
        <f>"Клиент · "&amp;COUNTIF('Лиды'!$C$2:$C$2000,"Клиент")</f>
        <v/>
      </c>
      <c r="H4" s="47">
        <f>"Отказ · "&amp;COUNTIF('Лиды'!$C$2:$C$2000,"Отказ")</f>
        <v/>
      </c>
    </row>
    <row r="5">
      <c r="A5" s="48">
        <f>IFERROR(FILTER('Лиды'!$U$2:$U$2000,'Лиды'!$C$2:$C$2000="Отправлено"),"—")</f>
        <v/>
      </c>
      <c r="B5" s="48">
        <f>IFERROR(FILTER('Лиды'!$U$2:$U$2000,'Лиды'!$C$2:$C$2000="Не ответил"),"—")</f>
        <v/>
      </c>
      <c r="C5" s="48">
        <f>IFERROR(FILTER('Лиды'!$U$2:$U$2000,'Лиды'!$C$2:$C$2000="Ответил"),"—")</f>
        <v/>
      </c>
      <c r="D5" s="48">
        <f>IFERROR(FILTER('Лиды'!$U$2:$U$2000,'Лиды'!$C$2:$C$2000="Доработать"),"—")</f>
        <v/>
      </c>
      <c r="E5" s="48">
        <f>IFERROR(FILTER('Лиды'!$U$2:$U$2000,'Лиды'!$C$2:$C$2000="Перезвонить"),"—")</f>
        <v/>
      </c>
      <c r="F5" s="48">
        <f>IFERROR(FILTER('Лиды'!$U$2:$U$2000,'Лиды'!$C$2:$C$2000="Созвон"),"—")</f>
        <v/>
      </c>
      <c r="G5" s="48">
        <f>IFERROR(FILTER('Лиды'!$U$2:$U$2000,'Лиды'!$C$2:$C$2000="Клиент"),"—")</f>
        <v/>
      </c>
      <c r="H5" s="48">
        <f>IFERROR(FILTER('Лиды'!$U$2:$U$2000,'Лиды'!$C$2:$C$2000="Отказ"),"—")</f>
        <v/>
      </c>
    </row>
    <row r="6">
      <c r="A6" s="48" t="n"/>
      <c r="B6" s="48" t="n"/>
      <c r="C6" s="48" t="n"/>
      <c r="D6" s="48" t="n"/>
      <c r="E6" s="48" t="n"/>
      <c r="F6" s="48" t="n"/>
      <c r="G6" s="48" t="n"/>
      <c r="H6" s="48" t="n"/>
    </row>
    <row r="7">
      <c r="A7" s="48" t="n"/>
      <c r="B7" s="48" t="n"/>
      <c r="C7" s="48" t="n"/>
      <c r="D7" s="48" t="n"/>
      <c r="E7" s="48" t="n"/>
      <c r="F7" s="48" t="n"/>
      <c r="G7" s="48" t="n"/>
      <c r="H7" s="48" t="n"/>
    </row>
    <row r="8">
      <c r="A8" s="48" t="n"/>
      <c r="B8" s="48" t="n"/>
      <c r="C8" s="48" t="n"/>
      <c r="D8" s="48" t="n"/>
      <c r="E8" s="48" t="n"/>
      <c r="F8" s="48" t="n"/>
      <c r="G8" s="48" t="n"/>
      <c r="H8" s="48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</row>
    <row r="10">
      <c r="A10" s="48" t="n"/>
      <c r="B10" s="48" t="n"/>
      <c r="C10" s="48" t="n"/>
      <c r="D10" s="48" t="n"/>
      <c r="E10" s="48" t="n"/>
      <c r="F10" s="48" t="n"/>
      <c r="G10" s="48" t="n"/>
      <c r="H10" s="48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</row>
    <row r="12">
      <c r="A12" s="48" t="n"/>
      <c r="B12" s="48" t="n"/>
      <c r="C12" s="48" t="n"/>
      <c r="D12" s="48" t="n"/>
      <c r="E12" s="48" t="n"/>
      <c r="F12" s="48" t="n"/>
      <c r="G12" s="48" t="n"/>
      <c r="H12" s="48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48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</row>
    <row r="16">
      <c r="A16" s="48" t="n"/>
      <c r="B16" s="48" t="n"/>
      <c r="C16" s="48" t="n"/>
      <c r="D16" s="48" t="n"/>
      <c r="E16" s="48" t="n"/>
      <c r="F16" s="48" t="n"/>
      <c r="G16" s="48" t="n"/>
      <c r="H16" s="48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48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</row>
    <row r="22">
      <c r="A22" s="48" t="n"/>
      <c r="B22" s="48" t="n"/>
      <c r="C22" s="48" t="n"/>
      <c r="D22" s="48" t="n"/>
      <c r="E22" s="48" t="n"/>
      <c r="F22" s="48" t="n"/>
      <c r="G22" s="48" t="n"/>
      <c r="H22" s="48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</row>
    <row r="24">
      <c r="A24" s="48" t="n"/>
      <c r="B24" s="48" t="n"/>
      <c r="C24" s="48" t="n"/>
      <c r="D24" s="48" t="n"/>
      <c r="E24" s="48" t="n"/>
      <c r="F24" s="48" t="n"/>
      <c r="G24" s="48" t="n"/>
      <c r="H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</row>
    <row r="28">
      <c r="A28" s="48" t="n"/>
      <c r="B28" s="48" t="n"/>
      <c r="C28" s="48" t="n"/>
      <c r="D28" s="48" t="n"/>
      <c r="E28" s="48" t="n"/>
      <c r="F28" s="48" t="n"/>
      <c r="G28" s="48" t="n"/>
      <c r="H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</row>
    <row r="34">
      <c r="A34" s="48" t="n"/>
      <c r="B34" s="48" t="n"/>
      <c r="C34" s="48" t="n"/>
      <c r="D34" s="48" t="n"/>
      <c r="E34" s="48" t="n"/>
      <c r="F34" s="48" t="n"/>
      <c r="G34" s="48" t="n"/>
      <c r="H34" s="48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</row>
    <row r="36">
      <c r="A36" s="48" t="n"/>
      <c r="B36" s="48" t="n"/>
      <c r="C36" s="48" t="n"/>
      <c r="D36" s="48" t="n"/>
      <c r="E36" s="48" t="n"/>
      <c r="F36" s="48" t="n"/>
      <c r="G36" s="48" t="n"/>
      <c r="H36" s="48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</row>
    <row r="38">
      <c r="A38" s="48" t="n"/>
      <c r="B38" s="48" t="n"/>
      <c r="C38" s="48" t="n"/>
      <c r="D38" s="48" t="n"/>
      <c r="E38" s="48" t="n"/>
      <c r="F38" s="48" t="n"/>
      <c r="G38" s="48" t="n"/>
      <c r="H38" s="48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</row>
    <row r="40">
      <c r="A40" s="48" t="n"/>
      <c r="B40" s="48" t="n"/>
      <c r="C40" s="48" t="n"/>
      <c r="D40" s="48" t="n"/>
      <c r="E40" s="48" t="n"/>
      <c r="F40" s="48" t="n"/>
      <c r="G40" s="48" t="n"/>
      <c r="H40" s="48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</row>
    <row r="42">
      <c r="A42" s="48" t="n"/>
      <c r="B42" s="48" t="n"/>
      <c r="C42" s="48" t="n"/>
      <c r="D42" s="48" t="n"/>
      <c r="E42" s="48" t="n"/>
      <c r="F42" s="48" t="n"/>
      <c r="G42" s="48" t="n"/>
      <c r="H42" s="48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</row>
    <row r="46">
      <c r="A46" s="48" t="n"/>
      <c r="B46" s="48" t="n"/>
      <c r="C46" s="48" t="n"/>
      <c r="D46" s="48" t="n"/>
      <c r="E46" s="48" t="n"/>
      <c r="F46" s="48" t="n"/>
      <c r="G46" s="48" t="n"/>
      <c r="H46" s="48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</row>
    <row r="48">
      <c r="A48" s="48" t="n"/>
      <c r="B48" s="48" t="n"/>
      <c r="C48" s="48" t="n"/>
      <c r="D48" s="48" t="n"/>
      <c r="E48" s="48" t="n"/>
      <c r="F48" s="48" t="n"/>
      <c r="G48" s="48" t="n"/>
      <c r="H48" s="48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</row>
    <row r="50">
      <c r="A50" s="48" t="n"/>
      <c r="B50" s="48" t="n"/>
      <c r="C50" s="48" t="n"/>
      <c r="D50" s="48" t="n"/>
      <c r="E50" s="48" t="n"/>
      <c r="F50" s="48" t="n"/>
      <c r="G50" s="48" t="n"/>
      <c r="H50" s="48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</row>
    <row r="52">
      <c r="A52" s="48" t="n"/>
      <c r="B52" s="48" t="n"/>
      <c r="C52" s="48" t="n"/>
      <c r="D52" s="48" t="n"/>
      <c r="E52" s="48" t="n"/>
      <c r="F52" s="48" t="n"/>
      <c r="G52" s="48" t="n"/>
      <c r="H52" s="48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</row>
    <row r="54">
      <c r="A54" s="48" t="n"/>
      <c r="B54" s="48" t="n"/>
      <c r="C54" s="48" t="n"/>
      <c r="D54" s="48" t="n"/>
      <c r="E54" s="48" t="n"/>
      <c r="F54" s="48" t="n"/>
      <c r="G54" s="48" t="n"/>
      <c r="H54" s="48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</row>
    <row r="56">
      <c r="A56" s="48" t="n"/>
      <c r="B56" s="48" t="n"/>
      <c r="C56" s="48" t="n"/>
      <c r="D56" s="48" t="n"/>
      <c r="E56" s="48" t="n"/>
      <c r="F56" s="48" t="n"/>
      <c r="G56" s="48" t="n"/>
      <c r="H56" s="48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</row>
    <row r="58">
      <c r="A58" s="48" t="n"/>
      <c r="B58" s="48" t="n"/>
      <c r="C58" s="48" t="n"/>
      <c r="D58" s="48" t="n"/>
      <c r="E58" s="48" t="n"/>
      <c r="F58" s="48" t="n"/>
      <c r="G58" s="48" t="n"/>
      <c r="H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</row>
    <row r="60">
      <c r="A60" s="48" t="n"/>
      <c r="B60" s="48" t="n"/>
      <c r="C60" s="48" t="n"/>
      <c r="D60" s="48" t="n"/>
      <c r="E60" s="48" t="n"/>
      <c r="F60" s="48" t="n"/>
      <c r="G60" s="48" t="n"/>
      <c r="H60" s="48" t="n"/>
    </row>
    <row r="61">
      <c r="A61" s="48" t="n"/>
      <c r="B61" s="48" t="n"/>
      <c r="C61" s="48" t="n"/>
      <c r="D61" s="48" t="n"/>
      <c r="E61" s="48" t="n"/>
      <c r="F61" s="48" t="n"/>
      <c r="G61" s="48" t="n"/>
      <c r="H61" s="48" t="n"/>
    </row>
    <row r="62">
      <c r="A62" s="48" t="n"/>
      <c r="B62" s="48" t="n"/>
      <c r="C62" s="48" t="n"/>
      <c r="D62" s="48" t="n"/>
      <c r="E62" s="48" t="n"/>
      <c r="F62" s="48" t="n"/>
      <c r="G62" s="48" t="n"/>
      <c r="H62" s="48" t="n"/>
    </row>
    <row r="63">
      <c r="A63" s="48" t="n"/>
      <c r="B63" s="48" t="n"/>
      <c r="C63" s="48" t="n"/>
      <c r="D63" s="48" t="n"/>
      <c r="E63" s="48" t="n"/>
      <c r="F63" s="48" t="n"/>
      <c r="G63" s="48" t="n"/>
      <c r="H63" s="48" t="n"/>
    </row>
    <row r="64">
      <c r="A64" s="48" t="n"/>
      <c r="B64" s="48" t="n"/>
      <c r="C64" s="48" t="n"/>
      <c r="D64" s="48" t="n"/>
      <c r="E64" s="48" t="n"/>
      <c r="F64" s="48" t="n"/>
      <c r="G64" s="48" t="n"/>
      <c r="H64" s="48" t="n"/>
    </row>
    <row r="65">
      <c r="A65" s="48" t="n"/>
      <c r="B65" s="48" t="n"/>
      <c r="C65" s="48" t="n"/>
      <c r="D65" s="48" t="n"/>
      <c r="E65" s="48" t="n"/>
      <c r="F65" s="48" t="n"/>
      <c r="G65" s="48" t="n"/>
      <c r="H65" s="48" t="n"/>
    </row>
    <row r="66">
      <c r="A66" s="48" t="n"/>
      <c r="B66" s="48" t="n"/>
      <c r="C66" s="48" t="n"/>
      <c r="D66" s="48" t="n"/>
      <c r="E66" s="48" t="n"/>
      <c r="F66" s="48" t="n"/>
      <c r="G66" s="48" t="n"/>
      <c r="H66" s="48" t="n"/>
    </row>
    <row r="67">
      <c r="A67" s="48" t="n"/>
      <c r="B67" s="48" t="n"/>
      <c r="C67" s="48" t="n"/>
      <c r="D67" s="48" t="n"/>
      <c r="E67" s="48" t="n"/>
      <c r="F67" s="48" t="n"/>
      <c r="G67" s="48" t="n"/>
      <c r="H67" s="48" t="n"/>
    </row>
    <row r="68">
      <c r="A68" s="48" t="n"/>
      <c r="B68" s="48" t="n"/>
      <c r="C68" s="48" t="n"/>
      <c r="D68" s="48" t="n"/>
      <c r="E68" s="48" t="n"/>
      <c r="F68" s="48" t="n"/>
      <c r="G68" s="48" t="n"/>
      <c r="H68" s="48" t="n"/>
    </row>
    <row r="69">
      <c r="A69" s="48" t="n"/>
      <c r="B69" s="48" t="n"/>
      <c r="C69" s="48" t="n"/>
      <c r="D69" s="48" t="n"/>
      <c r="E69" s="48" t="n"/>
      <c r="F69" s="48" t="n"/>
      <c r="G69" s="48" t="n"/>
      <c r="H69" s="48" t="n"/>
    </row>
    <row r="70">
      <c r="A70" s="48" t="n"/>
      <c r="B70" s="48" t="n"/>
      <c r="C70" s="48" t="n"/>
      <c r="D70" s="48" t="n"/>
      <c r="E70" s="48" t="n"/>
      <c r="F70" s="48" t="n"/>
      <c r="G70" s="48" t="n"/>
      <c r="H70" s="48" t="n"/>
    </row>
    <row r="71">
      <c r="A71" s="48" t="n"/>
      <c r="B71" s="48" t="n"/>
      <c r="C71" s="48" t="n"/>
      <c r="D71" s="48" t="n"/>
      <c r="E71" s="48" t="n"/>
      <c r="F71" s="48" t="n"/>
      <c r="G71" s="48" t="n"/>
      <c r="H71" s="48" t="n"/>
    </row>
    <row r="72">
      <c r="A72" s="48" t="n"/>
      <c r="B72" s="48" t="n"/>
      <c r="C72" s="48" t="n"/>
      <c r="D72" s="48" t="n"/>
      <c r="E72" s="48" t="n"/>
      <c r="F72" s="48" t="n"/>
      <c r="G72" s="48" t="n"/>
      <c r="H72" s="48" t="n"/>
    </row>
    <row r="73">
      <c r="A73" s="48" t="n"/>
      <c r="B73" s="48" t="n"/>
      <c r="C73" s="48" t="n"/>
      <c r="D73" s="48" t="n"/>
      <c r="E73" s="48" t="n"/>
      <c r="F73" s="48" t="n"/>
      <c r="G73" s="48" t="n"/>
      <c r="H73" s="48" t="n"/>
    </row>
    <row r="74">
      <c r="A74" s="48" t="n"/>
      <c r="B74" s="48" t="n"/>
      <c r="C74" s="48" t="n"/>
      <c r="D74" s="48" t="n"/>
      <c r="E74" s="48" t="n"/>
      <c r="F74" s="48" t="n"/>
      <c r="G74" s="48" t="n"/>
      <c r="H74" s="48" t="n"/>
    </row>
    <row r="75">
      <c r="A75" s="48" t="n"/>
      <c r="B75" s="48" t="n"/>
      <c r="C75" s="48" t="n"/>
      <c r="D75" s="48" t="n"/>
      <c r="E75" s="48" t="n"/>
      <c r="F75" s="48" t="n"/>
      <c r="G75" s="48" t="n"/>
      <c r="H75" s="48" t="n"/>
    </row>
    <row r="76">
      <c r="A76" s="48" t="n"/>
      <c r="B76" s="48" t="n"/>
      <c r="C76" s="48" t="n"/>
      <c r="D76" s="48" t="n"/>
      <c r="E76" s="48" t="n"/>
      <c r="F76" s="48" t="n"/>
      <c r="G76" s="48" t="n"/>
      <c r="H76" s="48" t="n"/>
    </row>
    <row r="77">
      <c r="A77" s="48" t="n"/>
      <c r="B77" s="48" t="n"/>
      <c r="C77" s="48" t="n"/>
      <c r="D77" s="48" t="n"/>
      <c r="E77" s="48" t="n"/>
      <c r="F77" s="48" t="n"/>
      <c r="G77" s="48" t="n"/>
      <c r="H77" s="48" t="n"/>
    </row>
    <row r="78">
      <c r="A78" s="48" t="n"/>
      <c r="B78" s="48" t="n"/>
      <c r="C78" s="48" t="n"/>
      <c r="D78" s="48" t="n"/>
      <c r="E78" s="48" t="n"/>
      <c r="F78" s="48" t="n"/>
      <c r="G78" s="48" t="n"/>
      <c r="H78" s="48" t="n"/>
    </row>
    <row r="79">
      <c r="A79" s="48" t="n"/>
      <c r="B79" s="48" t="n"/>
      <c r="C79" s="48" t="n"/>
      <c r="D79" s="48" t="n"/>
      <c r="E79" s="48" t="n"/>
      <c r="F79" s="48" t="n"/>
      <c r="G79" s="48" t="n"/>
      <c r="H79" s="48" t="n"/>
    </row>
    <row r="80">
      <c r="A80" s="48" t="n"/>
      <c r="B80" s="48" t="n"/>
      <c r="C80" s="48" t="n"/>
      <c r="D80" s="48" t="n"/>
      <c r="E80" s="48" t="n"/>
      <c r="F80" s="48" t="n"/>
      <c r="G80" s="48" t="n"/>
      <c r="H80" s="48" t="n"/>
    </row>
    <row r="81">
      <c r="A81" s="48" t="n"/>
      <c r="B81" s="48" t="n"/>
      <c r="C81" s="48" t="n"/>
      <c r="D81" s="48" t="n"/>
      <c r="E81" s="48" t="n"/>
      <c r="F81" s="48" t="n"/>
      <c r="G81" s="48" t="n"/>
      <c r="H81" s="48" t="n"/>
    </row>
    <row r="82">
      <c r="A82" s="48" t="n"/>
      <c r="B82" s="48" t="n"/>
      <c r="C82" s="48" t="n"/>
      <c r="D82" s="48" t="n"/>
      <c r="E82" s="48" t="n"/>
      <c r="F82" s="48" t="n"/>
      <c r="G82" s="48" t="n"/>
      <c r="H82" s="48" t="n"/>
    </row>
    <row r="83">
      <c r="A83" s="48" t="n"/>
      <c r="B83" s="48" t="n"/>
      <c r="C83" s="48" t="n"/>
      <c r="D83" s="48" t="n"/>
      <c r="E83" s="48" t="n"/>
      <c r="F83" s="48" t="n"/>
      <c r="G83" s="48" t="n"/>
      <c r="H83" s="48" t="n"/>
    </row>
    <row r="84">
      <c r="A84" s="48" t="n"/>
      <c r="B84" s="48" t="n"/>
      <c r="C84" s="48" t="n"/>
      <c r="D84" s="48" t="n"/>
      <c r="E84" s="48" t="n"/>
      <c r="F84" s="48" t="n"/>
      <c r="G84" s="48" t="n"/>
      <c r="H84" s="48" t="n"/>
    </row>
    <row r="85">
      <c r="A85" s="48" t="n"/>
      <c r="B85" s="48" t="n"/>
      <c r="C85" s="48" t="n"/>
      <c r="D85" s="48" t="n"/>
      <c r="E85" s="48" t="n"/>
      <c r="F85" s="48" t="n"/>
      <c r="G85" s="48" t="n"/>
      <c r="H85" s="48" t="n"/>
    </row>
    <row r="86">
      <c r="A86" s="48" t="n"/>
      <c r="B86" s="48" t="n"/>
      <c r="C86" s="48" t="n"/>
      <c r="D86" s="48" t="n"/>
      <c r="E86" s="48" t="n"/>
      <c r="F86" s="48" t="n"/>
      <c r="G86" s="48" t="n"/>
      <c r="H86" s="48" t="n"/>
    </row>
    <row r="87">
      <c r="A87" s="48" t="n"/>
      <c r="B87" s="48" t="n"/>
      <c r="C87" s="48" t="n"/>
      <c r="D87" s="48" t="n"/>
      <c r="E87" s="48" t="n"/>
      <c r="F87" s="48" t="n"/>
      <c r="G87" s="48" t="n"/>
      <c r="H87" s="48" t="n"/>
    </row>
    <row r="88">
      <c r="A88" s="48" t="n"/>
      <c r="B88" s="48" t="n"/>
      <c r="C88" s="48" t="n"/>
      <c r="D88" s="48" t="n"/>
      <c r="E88" s="48" t="n"/>
      <c r="F88" s="48" t="n"/>
      <c r="G88" s="48" t="n"/>
      <c r="H88" s="48" t="n"/>
    </row>
    <row r="89">
      <c r="A89" s="48" t="n"/>
      <c r="B89" s="48" t="n"/>
      <c r="C89" s="48" t="n"/>
      <c r="D89" s="48" t="n"/>
      <c r="E89" s="48" t="n"/>
      <c r="F89" s="48" t="n"/>
      <c r="G89" s="48" t="n"/>
      <c r="H89" s="48" t="n"/>
    </row>
    <row r="90">
      <c r="A90" s="48" t="n"/>
      <c r="B90" s="48" t="n"/>
      <c r="C90" s="48" t="n"/>
      <c r="D90" s="48" t="n"/>
      <c r="E90" s="48" t="n"/>
      <c r="F90" s="48" t="n"/>
      <c r="G90" s="48" t="n"/>
      <c r="H90" s="48" t="n"/>
    </row>
    <row r="91">
      <c r="A91" s="48" t="n"/>
      <c r="B91" s="48" t="n"/>
      <c r="C91" s="48" t="n"/>
      <c r="D91" s="48" t="n"/>
      <c r="E91" s="48" t="n"/>
      <c r="F91" s="48" t="n"/>
      <c r="G91" s="48" t="n"/>
      <c r="H91" s="48" t="n"/>
    </row>
    <row r="92">
      <c r="A92" s="48" t="n"/>
      <c r="B92" s="48" t="n"/>
      <c r="C92" s="48" t="n"/>
      <c r="D92" s="48" t="n"/>
      <c r="E92" s="48" t="n"/>
      <c r="F92" s="48" t="n"/>
      <c r="G92" s="48" t="n"/>
      <c r="H92" s="48" t="n"/>
    </row>
    <row r="93">
      <c r="A93" s="48" t="n"/>
      <c r="B93" s="48" t="n"/>
      <c r="C93" s="48" t="n"/>
      <c r="D93" s="48" t="n"/>
      <c r="E93" s="48" t="n"/>
      <c r="F93" s="48" t="n"/>
      <c r="G93" s="48" t="n"/>
      <c r="H93" s="48" t="n"/>
    </row>
    <row r="94">
      <c r="A94" s="48" t="n"/>
      <c r="B94" s="48" t="n"/>
      <c r="C94" s="48" t="n"/>
      <c r="D94" s="48" t="n"/>
      <c r="E94" s="48" t="n"/>
      <c r="F94" s="48" t="n"/>
      <c r="G94" s="48" t="n"/>
      <c r="H94" s="48" t="n"/>
    </row>
    <row r="95">
      <c r="A95" s="48" t="n"/>
      <c r="B95" s="48" t="n"/>
      <c r="C95" s="48" t="n"/>
      <c r="D95" s="48" t="n"/>
      <c r="E95" s="48" t="n"/>
      <c r="F95" s="48" t="n"/>
      <c r="G95" s="48" t="n"/>
      <c r="H95" s="48" t="n"/>
    </row>
    <row r="96">
      <c r="A96" s="48" t="n"/>
      <c r="B96" s="48" t="n"/>
      <c r="C96" s="48" t="n"/>
      <c r="D96" s="48" t="n"/>
      <c r="E96" s="48" t="n"/>
      <c r="F96" s="48" t="n"/>
      <c r="G96" s="48" t="n"/>
      <c r="H96" s="48" t="n"/>
    </row>
    <row r="97">
      <c r="A97" s="48" t="n"/>
      <c r="B97" s="48" t="n"/>
      <c r="C97" s="48" t="n"/>
      <c r="D97" s="48" t="n"/>
      <c r="E97" s="48" t="n"/>
      <c r="F97" s="48" t="n"/>
      <c r="G97" s="48" t="n"/>
      <c r="H97" s="48" t="n"/>
    </row>
    <row r="98">
      <c r="A98" s="48" t="n"/>
      <c r="B98" s="48" t="n"/>
      <c r="C98" s="48" t="n"/>
      <c r="D98" s="48" t="n"/>
      <c r="E98" s="48" t="n"/>
      <c r="F98" s="48" t="n"/>
      <c r="G98" s="48" t="n"/>
      <c r="H98" s="48" t="n"/>
    </row>
    <row r="99">
      <c r="A99" s="48" t="n"/>
      <c r="B99" s="48" t="n"/>
      <c r="C99" s="48" t="n"/>
      <c r="D99" s="48" t="n"/>
      <c r="E99" s="48" t="n"/>
      <c r="F99" s="48" t="n"/>
      <c r="G99" s="48" t="n"/>
      <c r="H99" s="48" t="n"/>
    </row>
    <row r="100">
      <c r="A100" s="48" t="n"/>
      <c r="B100" s="48" t="n"/>
      <c r="C100" s="48" t="n"/>
      <c r="D100" s="48" t="n"/>
      <c r="E100" s="48" t="n"/>
      <c r="F100" s="48" t="n"/>
      <c r="G100" s="48" t="n"/>
      <c r="H100" s="48" t="n"/>
    </row>
    <row r="101">
      <c r="A101" s="48" t="n"/>
      <c r="B101" s="48" t="n"/>
      <c r="C101" s="48" t="n"/>
      <c r="D101" s="48" t="n"/>
      <c r="E101" s="48" t="n"/>
      <c r="F101" s="48" t="n"/>
      <c r="G101" s="48" t="n"/>
      <c r="H101" s="48" t="n"/>
    </row>
    <row r="102">
      <c r="A102" s="48" t="n"/>
      <c r="B102" s="48" t="n"/>
      <c r="C102" s="48" t="n"/>
      <c r="D102" s="48" t="n"/>
      <c r="E102" s="48" t="n"/>
      <c r="F102" s="48" t="n"/>
      <c r="G102" s="48" t="n"/>
      <c r="H102" s="48" t="n"/>
    </row>
    <row r="103">
      <c r="A103" s="48" t="n"/>
      <c r="B103" s="48" t="n"/>
      <c r="C103" s="48" t="n"/>
      <c r="D103" s="48" t="n"/>
      <c r="E103" s="48" t="n"/>
      <c r="F103" s="48" t="n"/>
      <c r="G103" s="48" t="n"/>
      <c r="H103" s="48" t="n"/>
    </row>
    <row r="104">
      <c r="A104" s="48" t="n"/>
      <c r="B104" s="48" t="n"/>
      <c r="C104" s="48" t="n"/>
      <c r="D104" s="48" t="n"/>
      <c r="E104" s="48" t="n"/>
      <c r="F104" s="48" t="n"/>
      <c r="G104" s="48" t="n"/>
      <c r="H104" s="48" t="n"/>
    </row>
    <row r="105">
      <c r="A105" s="48" t="n"/>
      <c r="B105" s="48" t="n"/>
      <c r="C105" s="48" t="n"/>
      <c r="D105" s="48" t="n"/>
      <c r="E105" s="48" t="n"/>
      <c r="F105" s="48" t="n"/>
      <c r="G105" s="48" t="n"/>
      <c r="H105" s="48" t="n"/>
    </row>
    <row r="106">
      <c r="A106" s="48" t="n"/>
      <c r="B106" s="48" t="n"/>
      <c r="C106" s="48" t="n"/>
      <c r="D106" s="48" t="n"/>
      <c r="E106" s="48" t="n"/>
      <c r="F106" s="48" t="n"/>
      <c r="G106" s="48" t="n"/>
      <c r="H106" s="48" t="n"/>
    </row>
    <row r="107">
      <c r="A107" s="48" t="n"/>
      <c r="B107" s="48" t="n"/>
      <c r="C107" s="48" t="n"/>
      <c r="D107" s="48" t="n"/>
      <c r="E107" s="48" t="n"/>
      <c r="F107" s="48" t="n"/>
      <c r="G107" s="48" t="n"/>
      <c r="H107" s="48" t="n"/>
    </row>
    <row r="108">
      <c r="A108" s="48" t="n"/>
      <c r="B108" s="48" t="n"/>
      <c r="C108" s="48" t="n"/>
      <c r="D108" s="48" t="n"/>
      <c r="E108" s="48" t="n"/>
      <c r="F108" s="48" t="n"/>
      <c r="G108" s="48" t="n"/>
      <c r="H108" s="48" t="n"/>
    </row>
    <row r="109">
      <c r="A109" s="48" t="n"/>
      <c r="B109" s="48" t="n"/>
      <c r="C109" s="48" t="n"/>
      <c r="D109" s="48" t="n"/>
      <c r="E109" s="48" t="n"/>
      <c r="F109" s="48" t="n"/>
      <c r="G109" s="48" t="n"/>
      <c r="H109" s="48" t="n"/>
    </row>
    <row r="110">
      <c r="A110" s="48" t="n"/>
      <c r="B110" s="48" t="n"/>
      <c r="C110" s="48" t="n"/>
      <c r="D110" s="48" t="n"/>
      <c r="E110" s="48" t="n"/>
      <c r="F110" s="48" t="n"/>
      <c r="G110" s="48" t="n"/>
      <c r="H110" s="48" t="n"/>
    </row>
    <row r="111">
      <c r="A111" s="48" t="n"/>
      <c r="B111" s="48" t="n"/>
      <c r="C111" s="48" t="n"/>
      <c r="D111" s="48" t="n"/>
      <c r="E111" s="48" t="n"/>
      <c r="F111" s="48" t="n"/>
      <c r="G111" s="48" t="n"/>
      <c r="H111" s="48" t="n"/>
    </row>
    <row r="112">
      <c r="A112" s="48" t="n"/>
      <c r="B112" s="48" t="n"/>
      <c r="C112" s="48" t="n"/>
      <c r="D112" s="48" t="n"/>
      <c r="E112" s="48" t="n"/>
      <c r="F112" s="48" t="n"/>
      <c r="G112" s="48" t="n"/>
      <c r="H112" s="48" t="n"/>
    </row>
    <row r="113">
      <c r="A113" s="48" t="n"/>
      <c r="B113" s="48" t="n"/>
      <c r="C113" s="48" t="n"/>
      <c r="D113" s="48" t="n"/>
      <c r="E113" s="48" t="n"/>
      <c r="F113" s="48" t="n"/>
      <c r="G113" s="48" t="n"/>
      <c r="H113" s="48" t="n"/>
    </row>
    <row r="114">
      <c r="A114" s="48" t="n"/>
      <c r="B114" s="48" t="n"/>
      <c r="C114" s="48" t="n"/>
      <c r="D114" s="48" t="n"/>
      <c r="E114" s="48" t="n"/>
      <c r="F114" s="48" t="n"/>
      <c r="G114" s="48" t="n"/>
      <c r="H114" s="48" t="n"/>
    </row>
    <row r="115">
      <c r="A115" s="48" t="n"/>
      <c r="B115" s="48" t="n"/>
      <c r="C115" s="48" t="n"/>
      <c r="D115" s="48" t="n"/>
      <c r="E115" s="48" t="n"/>
      <c r="F115" s="48" t="n"/>
      <c r="G115" s="48" t="n"/>
      <c r="H115" s="48" t="n"/>
    </row>
    <row r="116">
      <c r="A116" s="48" t="n"/>
      <c r="B116" s="48" t="n"/>
      <c r="C116" s="48" t="n"/>
      <c r="D116" s="48" t="n"/>
      <c r="E116" s="48" t="n"/>
      <c r="F116" s="48" t="n"/>
      <c r="G116" s="48" t="n"/>
      <c r="H116" s="48" t="n"/>
    </row>
    <row r="117">
      <c r="A117" s="48" t="n"/>
      <c r="B117" s="48" t="n"/>
      <c r="C117" s="48" t="n"/>
      <c r="D117" s="48" t="n"/>
      <c r="E117" s="48" t="n"/>
      <c r="F117" s="48" t="n"/>
      <c r="G117" s="48" t="n"/>
      <c r="H117" s="48" t="n"/>
    </row>
    <row r="118">
      <c r="A118" s="48" t="n"/>
      <c r="B118" s="48" t="n"/>
      <c r="C118" s="48" t="n"/>
      <c r="D118" s="48" t="n"/>
      <c r="E118" s="48" t="n"/>
      <c r="F118" s="48" t="n"/>
      <c r="G118" s="48" t="n"/>
      <c r="H118" s="48" t="n"/>
    </row>
    <row r="119">
      <c r="A119" s="48" t="n"/>
      <c r="B119" s="48" t="n"/>
      <c r="C119" s="48" t="n"/>
      <c r="D119" s="48" t="n"/>
      <c r="E119" s="48" t="n"/>
      <c r="F119" s="48" t="n"/>
      <c r="G119" s="48" t="n"/>
      <c r="H119" s="48" t="n"/>
    </row>
    <row r="120">
      <c r="A120" s="48" t="n"/>
      <c r="B120" s="48" t="n"/>
      <c r="C120" s="48" t="n"/>
      <c r="D120" s="48" t="n"/>
      <c r="E120" s="48" t="n"/>
      <c r="F120" s="48" t="n"/>
      <c r="G120" s="48" t="n"/>
      <c r="H120" s="48" t="n"/>
    </row>
    <row r="121">
      <c r="A121" s="48" t="n"/>
      <c r="B121" s="48" t="n"/>
      <c r="C121" s="48" t="n"/>
      <c r="D121" s="48" t="n"/>
      <c r="E121" s="48" t="n"/>
      <c r="F121" s="48" t="n"/>
      <c r="G121" s="48" t="n"/>
      <c r="H121" s="48" t="n"/>
    </row>
    <row r="122">
      <c r="A122" s="48" t="n"/>
      <c r="B122" s="48" t="n"/>
      <c r="C122" s="48" t="n"/>
      <c r="D122" s="48" t="n"/>
      <c r="E122" s="48" t="n"/>
      <c r="F122" s="48" t="n"/>
      <c r="G122" s="48" t="n"/>
      <c r="H122" s="48" t="n"/>
    </row>
    <row r="123">
      <c r="A123" s="48" t="n"/>
      <c r="B123" s="48" t="n"/>
      <c r="C123" s="48" t="n"/>
      <c r="D123" s="48" t="n"/>
      <c r="E123" s="48" t="n"/>
      <c r="F123" s="48" t="n"/>
      <c r="G123" s="48" t="n"/>
      <c r="H123" s="48" t="n"/>
    </row>
    <row r="124">
      <c r="A124" s="48" t="n"/>
      <c r="B124" s="48" t="n"/>
      <c r="C124" s="48" t="n"/>
      <c r="D124" s="48" t="n"/>
      <c r="E124" s="48" t="n"/>
      <c r="F124" s="48" t="n"/>
      <c r="G124" s="48" t="n"/>
      <c r="H124" s="48" t="n"/>
    </row>
    <row r="125">
      <c r="A125" s="48" t="n"/>
      <c r="B125" s="48" t="n"/>
      <c r="C125" s="48" t="n"/>
      <c r="D125" s="48" t="n"/>
      <c r="E125" s="48" t="n"/>
      <c r="F125" s="48" t="n"/>
      <c r="G125" s="48" t="n"/>
      <c r="H125" s="48" t="n"/>
    </row>
    <row r="126">
      <c r="A126" s="48" t="n"/>
      <c r="B126" s="48" t="n"/>
      <c r="C126" s="48" t="n"/>
      <c r="D126" s="48" t="n"/>
      <c r="E126" s="48" t="n"/>
      <c r="F126" s="48" t="n"/>
      <c r="G126" s="48" t="n"/>
      <c r="H126" s="48" t="n"/>
    </row>
    <row r="127">
      <c r="A127" s="48" t="n"/>
      <c r="B127" s="48" t="n"/>
      <c r="C127" s="48" t="n"/>
      <c r="D127" s="48" t="n"/>
      <c r="E127" s="48" t="n"/>
      <c r="F127" s="48" t="n"/>
      <c r="G127" s="48" t="n"/>
      <c r="H127" s="48" t="n"/>
    </row>
    <row r="128">
      <c r="A128" s="48" t="n"/>
      <c r="B128" s="48" t="n"/>
      <c r="C128" s="48" t="n"/>
      <c r="D128" s="48" t="n"/>
      <c r="E128" s="48" t="n"/>
      <c r="F128" s="48" t="n"/>
      <c r="G128" s="48" t="n"/>
      <c r="H128" s="48" t="n"/>
    </row>
    <row r="129">
      <c r="A129" s="48" t="n"/>
      <c r="B129" s="48" t="n"/>
      <c r="C129" s="48" t="n"/>
      <c r="D129" s="48" t="n"/>
      <c r="E129" s="48" t="n"/>
      <c r="F129" s="48" t="n"/>
      <c r="G129" s="48" t="n"/>
      <c r="H129" s="48" t="n"/>
    </row>
    <row r="130">
      <c r="A130" s="48" t="n"/>
      <c r="B130" s="48" t="n"/>
      <c r="C130" s="48" t="n"/>
      <c r="D130" s="48" t="n"/>
      <c r="E130" s="48" t="n"/>
      <c r="F130" s="48" t="n"/>
      <c r="G130" s="48" t="n"/>
      <c r="H130" s="48" t="n"/>
    </row>
    <row r="131">
      <c r="A131" s="48" t="n"/>
      <c r="B131" s="48" t="n"/>
      <c r="C131" s="48" t="n"/>
      <c r="D131" s="48" t="n"/>
      <c r="E131" s="48" t="n"/>
      <c r="F131" s="48" t="n"/>
      <c r="G131" s="48" t="n"/>
      <c r="H131" s="48" t="n"/>
    </row>
    <row r="132">
      <c r="A132" s="48" t="n"/>
      <c r="B132" s="48" t="n"/>
      <c r="C132" s="48" t="n"/>
      <c r="D132" s="48" t="n"/>
      <c r="E132" s="48" t="n"/>
      <c r="F132" s="48" t="n"/>
      <c r="G132" s="48" t="n"/>
      <c r="H132" s="48" t="n"/>
    </row>
    <row r="133">
      <c r="A133" s="48" t="n"/>
      <c r="B133" s="48" t="n"/>
      <c r="C133" s="48" t="n"/>
      <c r="D133" s="48" t="n"/>
      <c r="E133" s="48" t="n"/>
      <c r="F133" s="48" t="n"/>
      <c r="G133" s="48" t="n"/>
      <c r="H133" s="48" t="n"/>
    </row>
    <row r="134">
      <c r="A134" s="48" t="n"/>
      <c r="B134" s="48" t="n"/>
      <c r="C134" s="48" t="n"/>
      <c r="D134" s="48" t="n"/>
      <c r="E134" s="48" t="n"/>
      <c r="F134" s="48" t="n"/>
      <c r="G134" s="48" t="n"/>
      <c r="H134" s="48" t="n"/>
    </row>
    <row r="135">
      <c r="A135" s="48" t="n"/>
      <c r="B135" s="48" t="n"/>
      <c r="C135" s="48" t="n"/>
      <c r="D135" s="48" t="n"/>
      <c r="E135" s="48" t="n"/>
      <c r="F135" s="48" t="n"/>
      <c r="G135" s="48" t="n"/>
      <c r="H135" s="48" t="n"/>
    </row>
    <row r="136">
      <c r="A136" s="48" t="n"/>
      <c r="B136" s="48" t="n"/>
      <c r="C136" s="48" t="n"/>
      <c r="D136" s="48" t="n"/>
      <c r="E136" s="48" t="n"/>
      <c r="F136" s="48" t="n"/>
      <c r="G136" s="48" t="n"/>
      <c r="H136" s="48" t="n"/>
    </row>
    <row r="137">
      <c r="A137" s="48" t="n"/>
      <c r="B137" s="48" t="n"/>
      <c r="C137" s="48" t="n"/>
      <c r="D137" s="48" t="n"/>
      <c r="E137" s="48" t="n"/>
      <c r="F137" s="48" t="n"/>
      <c r="G137" s="48" t="n"/>
      <c r="H137" s="48" t="n"/>
    </row>
    <row r="138">
      <c r="A138" s="48" t="n"/>
      <c r="B138" s="48" t="n"/>
      <c r="C138" s="48" t="n"/>
      <c r="D138" s="48" t="n"/>
      <c r="E138" s="48" t="n"/>
      <c r="F138" s="48" t="n"/>
      <c r="G138" s="48" t="n"/>
      <c r="H138" s="48" t="n"/>
    </row>
    <row r="139">
      <c r="A139" s="48" t="n"/>
      <c r="B139" s="48" t="n"/>
      <c r="C139" s="48" t="n"/>
      <c r="D139" s="48" t="n"/>
      <c r="E139" s="48" t="n"/>
      <c r="F139" s="48" t="n"/>
      <c r="G139" s="48" t="n"/>
      <c r="H139" s="48" t="n"/>
    </row>
    <row r="140">
      <c r="A140" s="48" t="n"/>
      <c r="B140" s="48" t="n"/>
      <c r="C140" s="48" t="n"/>
      <c r="D140" s="48" t="n"/>
      <c r="E140" s="48" t="n"/>
      <c r="F140" s="48" t="n"/>
      <c r="G140" s="48" t="n"/>
      <c r="H140" s="48" t="n"/>
    </row>
    <row r="141">
      <c r="A141" s="48" t="n"/>
      <c r="B141" s="48" t="n"/>
      <c r="C141" s="48" t="n"/>
      <c r="D141" s="48" t="n"/>
      <c r="E141" s="48" t="n"/>
      <c r="F141" s="48" t="n"/>
      <c r="G141" s="48" t="n"/>
      <c r="H141" s="48" t="n"/>
    </row>
    <row r="142">
      <c r="A142" s="48" t="n"/>
      <c r="B142" s="48" t="n"/>
      <c r="C142" s="48" t="n"/>
      <c r="D142" s="48" t="n"/>
      <c r="E142" s="48" t="n"/>
      <c r="F142" s="48" t="n"/>
      <c r="G142" s="48" t="n"/>
      <c r="H142" s="48" t="n"/>
    </row>
    <row r="143">
      <c r="A143" s="48" t="n"/>
      <c r="B143" s="48" t="n"/>
      <c r="C143" s="48" t="n"/>
      <c r="D143" s="48" t="n"/>
      <c r="E143" s="48" t="n"/>
      <c r="F143" s="48" t="n"/>
      <c r="G143" s="48" t="n"/>
      <c r="H143" s="48" t="n"/>
    </row>
    <row r="144">
      <c r="A144" s="48" t="n"/>
      <c r="B144" s="48" t="n"/>
      <c r="C144" s="48" t="n"/>
      <c r="D144" s="48" t="n"/>
      <c r="E144" s="48" t="n"/>
      <c r="F144" s="48" t="n"/>
      <c r="G144" s="48" t="n"/>
      <c r="H144" s="48" t="n"/>
    </row>
    <row r="145">
      <c r="A145" s="48" t="n"/>
      <c r="B145" s="48" t="n"/>
      <c r="C145" s="48" t="n"/>
      <c r="D145" s="48" t="n"/>
      <c r="E145" s="48" t="n"/>
      <c r="F145" s="48" t="n"/>
      <c r="G145" s="48" t="n"/>
      <c r="H145" s="48" t="n"/>
    </row>
    <row r="146">
      <c r="A146" s="48" t="n"/>
      <c r="B146" s="48" t="n"/>
      <c r="C146" s="48" t="n"/>
      <c r="D146" s="48" t="n"/>
      <c r="E146" s="48" t="n"/>
      <c r="F146" s="48" t="n"/>
      <c r="G146" s="48" t="n"/>
      <c r="H146" s="48" t="n"/>
    </row>
    <row r="147">
      <c r="A147" s="48" t="n"/>
      <c r="B147" s="48" t="n"/>
      <c r="C147" s="48" t="n"/>
      <c r="D147" s="48" t="n"/>
      <c r="E147" s="48" t="n"/>
      <c r="F147" s="48" t="n"/>
      <c r="G147" s="48" t="n"/>
      <c r="H147" s="48" t="n"/>
    </row>
    <row r="148">
      <c r="A148" s="48" t="n"/>
      <c r="B148" s="48" t="n"/>
      <c r="C148" s="48" t="n"/>
      <c r="D148" s="48" t="n"/>
      <c r="E148" s="48" t="n"/>
      <c r="F148" s="48" t="n"/>
      <c r="G148" s="48" t="n"/>
      <c r="H148" s="48" t="n"/>
    </row>
    <row r="149">
      <c r="A149" s="48" t="n"/>
      <c r="B149" s="48" t="n"/>
      <c r="C149" s="48" t="n"/>
      <c r="D149" s="48" t="n"/>
      <c r="E149" s="48" t="n"/>
      <c r="F149" s="48" t="n"/>
      <c r="G149" s="48" t="n"/>
      <c r="H149" s="48" t="n"/>
    </row>
    <row r="150">
      <c r="A150" s="48" t="n"/>
      <c r="B150" s="48" t="n"/>
      <c r="C150" s="48" t="n"/>
      <c r="D150" s="48" t="n"/>
      <c r="E150" s="48" t="n"/>
      <c r="F150" s="48" t="n"/>
      <c r="G150" s="48" t="n"/>
      <c r="H150" s="48" t="n"/>
    </row>
    <row r="151">
      <c r="A151" s="48" t="n"/>
      <c r="B151" s="48" t="n"/>
      <c r="C151" s="48" t="n"/>
      <c r="D151" s="48" t="n"/>
      <c r="E151" s="48" t="n"/>
      <c r="F151" s="48" t="n"/>
      <c r="G151" s="48" t="n"/>
      <c r="H151" s="48" t="n"/>
    </row>
    <row r="152">
      <c r="A152" s="48" t="n"/>
      <c r="B152" s="48" t="n"/>
      <c r="C152" s="48" t="n"/>
      <c r="D152" s="48" t="n"/>
      <c r="E152" s="48" t="n"/>
      <c r="F152" s="48" t="n"/>
      <c r="G152" s="48" t="n"/>
      <c r="H152" s="48" t="n"/>
    </row>
    <row r="153">
      <c r="A153" s="48" t="n"/>
      <c r="B153" s="48" t="n"/>
      <c r="C153" s="48" t="n"/>
      <c r="D153" s="48" t="n"/>
      <c r="E153" s="48" t="n"/>
      <c r="F153" s="48" t="n"/>
      <c r="G153" s="48" t="n"/>
      <c r="H153" s="48" t="n"/>
    </row>
    <row r="154">
      <c r="A154" s="48" t="n"/>
      <c r="B154" s="48" t="n"/>
      <c r="C154" s="48" t="n"/>
      <c r="D154" s="48" t="n"/>
      <c r="E154" s="48" t="n"/>
      <c r="F154" s="48" t="n"/>
      <c r="G154" s="48" t="n"/>
      <c r="H154" s="48" t="n"/>
    </row>
    <row r="155">
      <c r="A155" s="48" t="n"/>
      <c r="B155" s="48" t="n"/>
      <c r="C155" s="48" t="n"/>
      <c r="D155" s="48" t="n"/>
      <c r="E155" s="48" t="n"/>
      <c r="F155" s="48" t="n"/>
      <c r="G155" s="48" t="n"/>
      <c r="H155" s="48" t="n"/>
    </row>
    <row r="156">
      <c r="A156" s="48" t="n"/>
      <c r="B156" s="48" t="n"/>
      <c r="C156" s="48" t="n"/>
      <c r="D156" s="48" t="n"/>
      <c r="E156" s="48" t="n"/>
      <c r="F156" s="48" t="n"/>
      <c r="G156" s="48" t="n"/>
      <c r="H156" s="48" t="n"/>
    </row>
    <row r="157">
      <c r="A157" s="48" t="n"/>
      <c r="B157" s="48" t="n"/>
      <c r="C157" s="48" t="n"/>
      <c r="D157" s="48" t="n"/>
      <c r="E157" s="48" t="n"/>
      <c r="F157" s="48" t="n"/>
      <c r="G157" s="48" t="n"/>
      <c r="H157" s="48" t="n"/>
    </row>
    <row r="158">
      <c r="A158" s="48" t="n"/>
      <c r="B158" s="48" t="n"/>
      <c r="C158" s="48" t="n"/>
      <c r="D158" s="48" t="n"/>
      <c r="E158" s="48" t="n"/>
      <c r="F158" s="48" t="n"/>
      <c r="G158" s="48" t="n"/>
      <c r="H158" s="48" t="n"/>
    </row>
    <row r="159">
      <c r="A159" s="48" t="n"/>
      <c r="B159" s="48" t="n"/>
      <c r="C159" s="48" t="n"/>
      <c r="D159" s="48" t="n"/>
      <c r="E159" s="48" t="n"/>
      <c r="F159" s="48" t="n"/>
      <c r="G159" s="48" t="n"/>
      <c r="H159" s="48" t="n"/>
    </row>
    <row r="160">
      <c r="A160" s="48" t="n"/>
      <c r="B160" s="48" t="n"/>
      <c r="C160" s="48" t="n"/>
      <c r="D160" s="48" t="n"/>
      <c r="E160" s="48" t="n"/>
      <c r="F160" s="48" t="n"/>
      <c r="G160" s="48" t="n"/>
      <c r="H160" s="48" t="n"/>
    </row>
    <row r="161">
      <c r="A161" s="48" t="n"/>
      <c r="B161" s="48" t="n"/>
      <c r="C161" s="48" t="n"/>
      <c r="D161" s="48" t="n"/>
      <c r="E161" s="48" t="n"/>
      <c r="F161" s="48" t="n"/>
      <c r="G161" s="48" t="n"/>
      <c r="H161" s="48" t="n"/>
    </row>
    <row r="162">
      <c r="A162" s="48" t="n"/>
      <c r="B162" s="48" t="n"/>
      <c r="C162" s="48" t="n"/>
      <c r="D162" s="48" t="n"/>
      <c r="E162" s="48" t="n"/>
      <c r="F162" s="48" t="n"/>
      <c r="G162" s="48" t="n"/>
      <c r="H162" s="48" t="n"/>
    </row>
    <row r="163">
      <c r="A163" s="48" t="n"/>
      <c r="B163" s="48" t="n"/>
      <c r="C163" s="48" t="n"/>
      <c r="D163" s="48" t="n"/>
      <c r="E163" s="48" t="n"/>
      <c r="F163" s="48" t="n"/>
      <c r="G163" s="48" t="n"/>
      <c r="H163" s="48" t="n"/>
    </row>
    <row r="164">
      <c r="A164" s="48" t="n"/>
      <c r="B164" s="48" t="n"/>
      <c r="C164" s="48" t="n"/>
      <c r="D164" s="48" t="n"/>
      <c r="E164" s="48" t="n"/>
      <c r="F164" s="48" t="n"/>
      <c r="G164" s="48" t="n"/>
      <c r="H164" s="48" t="n"/>
    </row>
    <row r="165">
      <c r="A165" s="48" t="n"/>
      <c r="B165" s="48" t="n"/>
      <c r="C165" s="48" t="n"/>
      <c r="D165" s="48" t="n"/>
      <c r="E165" s="48" t="n"/>
      <c r="F165" s="48" t="n"/>
      <c r="G165" s="48" t="n"/>
      <c r="H165" s="48" t="n"/>
    </row>
    <row r="166">
      <c r="A166" s="48" t="n"/>
      <c r="B166" s="48" t="n"/>
      <c r="C166" s="48" t="n"/>
      <c r="D166" s="48" t="n"/>
      <c r="E166" s="48" t="n"/>
      <c r="F166" s="48" t="n"/>
      <c r="G166" s="48" t="n"/>
      <c r="H166" s="48" t="n"/>
    </row>
    <row r="167">
      <c r="A167" s="48" t="n"/>
      <c r="B167" s="48" t="n"/>
      <c r="C167" s="48" t="n"/>
      <c r="D167" s="48" t="n"/>
      <c r="E167" s="48" t="n"/>
      <c r="F167" s="48" t="n"/>
      <c r="G167" s="48" t="n"/>
      <c r="H167" s="48" t="n"/>
    </row>
    <row r="168">
      <c r="A168" s="48" t="n"/>
      <c r="B168" s="48" t="n"/>
      <c r="C168" s="48" t="n"/>
      <c r="D168" s="48" t="n"/>
      <c r="E168" s="48" t="n"/>
      <c r="F168" s="48" t="n"/>
      <c r="G168" s="48" t="n"/>
      <c r="H168" s="48" t="n"/>
    </row>
    <row r="169">
      <c r="A169" s="48" t="n"/>
      <c r="B169" s="48" t="n"/>
      <c r="C169" s="48" t="n"/>
      <c r="D169" s="48" t="n"/>
      <c r="E169" s="48" t="n"/>
      <c r="F169" s="48" t="n"/>
      <c r="G169" s="48" t="n"/>
      <c r="H169" s="48" t="n"/>
    </row>
    <row r="170">
      <c r="A170" s="48" t="n"/>
      <c r="B170" s="48" t="n"/>
      <c r="C170" s="48" t="n"/>
      <c r="D170" s="48" t="n"/>
      <c r="E170" s="48" t="n"/>
      <c r="F170" s="48" t="n"/>
      <c r="G170" s="48" t="n"/>
      <c r="H170" s="48" t="n"/>
    </row>
    <row r="171">
      <c r="A171" s="48" t="n"/>
      <c r="B171" s="48" t="n"/>
      <c r="C171" s="48" t="n"/>
      <c r="D171" s="48" t="n"/>
      <c r="E171" s="48" t="n"/>
      <c r="F171" s="48" t="n"/>
      <c r="G171" s="48" t="n"/>
      <c r="H171" s="48" t="n"/>
    </row>
    <row r="172">
      <c r="A172" s="48" t="n"/>
      <c r="B172" s="48" t="n"/>
      <c r="C172" s="48" t="n"/>
      <c r="D172" s="48" t="n"/>
      <c r="E172" s="48" t="n"/>
      <c r="F172" s="48" t="n"/>
      <c r="G172" s="48" t="n"/>
      <c r="H172" s="48" t="n"/>
    </row>
    <row r="173">
      <c r="A173" s="48" t="n"/>
      <c r="B173" s="48" t="n"/>
      <c r="C173" s="48" t="n"/>
      <c r="D173" s="48" t="n"/>
      <c r="E173" s="48" t="n"/>
      <c r="F173" s="48" t="n"/>
      <c r="G173" s="48" t="n"/>
      <c r="H173" s="48" t="n"/>
    </row>
    <row r="174">
      <c r="A174" s="48" t="n"/>
      <c r="B174" s="48" t="n"/>
      <c r="C174" s="48" t="n"/>
      <c r="D174" s="48" t="n"/>
      <c r="E174" s="48" t="n"/>
      <c r="F174" s="48" t="n"/>
      <c r="G174" s="48" t="n"/>
      <c r="H174" s="48" t="n"/>
    </row>
    <row r="175">
      <c r="A175" s="48" t="n"/>
      <c r="B175" s="48" t="n"/>
      <c r="C175" s="48" t="n"/>
      <c r="D175" s="48" t="n"/>
      <c r="E175" s="48" t="n"/>
      <c r="F175" s="48" t="n"/>
      <c r="G175" s="48" t="n"/>
      <c r="H175" s="48" t="n"/>
    </row>
    <row r="176">
      <c r="A176" s="48" t="n"/>
      <c r="B176" s="48" t="n"/>
      <c r="C176" s="48" t="n"/>
      <c r="D176" s="48" t="n"/>
      <c r="E176" s="48" t="n"/>
      <c r="F176" s="48" t="n"/>
      <c r="G176" s="48" t="n"/>
      <c r="H176" s="48" t="n"/>
    </row>
    <row r="177">
      <c r="A177" s="48" t="n"/>
      <c r="B177" s="48" t="n"/>
      <c r="C177" s="48" t="n"/>
      <c r="D177" s="48" t="n"/>
      <c r="E177" s="48" t="n"/>
      <c r="F177" s="48" t="n"/>
      <c r="G177" s="48" t="n"/>
      <c r="H177" s="48" t="n"/>
    </row>
    <row r="178">
      <c r="A178" s="48" t="n"/>
      <c r="B178" s="48" t="n"/>
      <c r="C178" s="48" t="n"/>
      <c r="D178" s="48" t="n"/>
      <c r="E178" s="48" t="n"/>
      <c r="F178" s="48" t="n"/>
      <c r="G178" s="48" t="n"/>
      <c r="H178" s="48" t="n"/>
    </row>
    <row r="179">
      <c r="A179" s="48" t="n"/>
      <c r="B179" s="48" t="n"/>
      <c r="C179" s="48" t="n"/>
      <c r="D179" s="48" t="n"/>
      <c r="E179" s="48" t="n"/>
      <c r="F179" s="48" t="n"/>
      <c r="G179" s="48" t="n"/>
      <c r="H179" s="48" t="n"/>
    </row>
    <row r="180">
      <c r="A180" s="48" t="n"/>
      <c r="B180" s="48" t="n"/>
      <c r="C180" s="48" t="n"/>
      <c r="D180" s="48" t="n"/>
      <c r="E180" s="48" t="n"/>
      <c r="F180" s="48" t="n"/>
      <c r="G180" s="48" t="n"/>
      <c r="H180" s="48" t="n"/>
    </row>
    <row r="181">
      <c r="A181" s="48" t="n"/>
      <c r="B181" s="48" t="n"/>
      <c r="C181" s="48" t="n"/>
      <c r="D181" s="48" t="n"/>
      <c r="E181" s="48" t="n"/>
      <c r="F181" s="48" t="n"/>
      <c r="G181" s="48" t="n"/>
      <c r="H181" s="48" t="n"/>
    </row>
    <row r="182">
      <c r="A182" s="48" t="n"/>
      <c r="B182" s="48" t="n"/>
      <c r="C182" s="48" t="n"/>
      <c r="D182" s="48" t="n"/>
      <c r="E182" s="48" t="n"/>
      <c r="F182" s="48" t="n"/>
      <c r="G182" s="48" t="n"/>
      <c r="H182" s="48" t="n"/>
    </row>
    <row r="183">
      <c r="A183" s="48" t="n"/>
      <c r="B183" s="48" t="n"/>
      <c r="C183" s="48" t="n"/>
      <c r="D183" s="48" t="n"/>
      <c r="E183" s="48" t="n"/>
      <c r="F183" s="48" t="n"/>
      <c r="G183" s="48" t="n"/>
      <c r="H183" s="48" t="n"/>
    </row>
    <row r="184">
      <c r="A184" s="48" t="n"/>
      <c r="B184" s="48" t="n"/>
      <c r="C184" s="48" t="n"/>
      <c r="D184" s="48" t="n"/>
      <c r="E184" s="48" t="n"/>
      <c r="F184" s="48" t="n"/>
      <c r="G184" s="48" t="n"/>
      <c r="H184" s="48" t="n"/>
    </row>
    <row r="185">
      <c r="A185" s="48" t="n"/>
      <c r="B185" s="48" t="n"/>
      <c r="C185" s="48" t="n"/>
      <c r="D185" s="48" t="n"/>
      <c r="E185" s="48" t="n"/>
      <c r="F185" s="48" t="n"/>
      <c r="G185" s="48" t="n"/>
      <c r="H185" s="48" t="n"/>
    </row>
    <row r="186">
      <c r="A186" s="48" t="n"/>
      <c r="B186" s="48" t="n"/>
      <c r="C186" s="48" t="n"/>
      <c r="D186" s="48" t="n"/>
      <c r="E186" s="48" t="n"/>
      <c r="F186" s="48" t="n"/>
      <c r="G186" s="48" t="n"/>
      <c r="H186" s="48" t="n"/>
    </row>
    <row r="187">
      <c r="A187" s="48" t="n"/>
      <c r="B187" s="48" t="n"/>
      <c r="C187" s="48" t="n"/>
      <c r="D187" s="48" t="n"/>
      <c r="E187" s="48" t="n"/>
      <c r="F187" s="48" t="n"/>
      <c r="G187" s="48" t="n"/>
      <c r="H187" s="48" t="n"/>
    </row>
    <row r="188">
      <c r="A188" s="48" t="n"/>
      <c r="B188" s="48" t="n"/>
      <c r="C188" s="48" t="n"/>
      <c r="D188" s="48" t="n"/>
      <c r="E188" s="48" t="n"/>
      <c r="F188" s="48" t="n"/>
      <c r="G188" s="48" t="n"/>
      <c r="H188" s="48" t="n"/>
    </row>
    <row r="189">
      <c r="A189" s="48" t="n"/>
      <c r="B189" s="48" t="n"/>
      <c r="C189" s="48" t="n"/>
      <c r="D189" s="48" t="n"/>
      <c r="E189" s="48" t="n"/>
      <c r="F189" s="48" t="n"/>
      <c r="G189" s="48" t="n"/>
      <c r="H189" s="48" t="n"/>
    </row>
    <row r="190">
      <c r="A190" s="48" t="n"/>
      <c r="B190" s="48" t="n"/>
      <c r="C190" s="48" t="n"/>
      <c r="D190" s="48" t="n"/>
      <c r="E190" s="48" t="n"/>
      <c r="F190" s="48" t="n"/>
      <c r="G190" s="48" t="n"/>
      <c r="H190" s="48" t="n"/>
    </row>
    <row r="191">
      <c r="A191" s="48" t="n"/>
      <c r="B191" s="48" t="n"/>
      <c r="C191" s="48" t="n"/>
      <c r="D191" s="48" t="n"/>
      <c r="E191" s="48" t="n"/>
      <c r="F191" s="48" t="n"/>
      <c r="G191" s="48" t="n"/>
      <c r="H191" s="48" t="n"/>
    </row>
    <row r="192">
      <c r="A192" s="48" t="n"/>
      <c r="B192" s="48" t="n"/>
      <c r="C192" s="48" t="n"/>
      <c r="D192" s="48" t="n"/>
      <c r="E192" s="48" t="n"/>
      <c r="F192" s="48" t="n"/>
      <c r="G192" s="48" t="n"/>
      <c r="H192" s="48" t="n"/>
    </row>
    <row r="193">
      <c r="A193" s="48" t="n"/>
      <c r="B193" s="48" t="n"/>
      <c r="C193" s="48" t="n"/>
      <c r="D193" s="48" t="n"/>
      <c r="E193" s="48" t="n"/>
      <c r="F193" s="48" t="n"/>
      <c r="G193" s="48" t="n"/>
      <c r="H193" s="48" t="n"/>
    </row>
    <row r="194">
      <c r="A194" s="48" t="n"/>
      <c r="B194" s="48" t="n"/>
      <c r="C194" s="48" t="n"/>
      <c r="D194" s="48" t="n"/>
      <c r="E194" s="48" t="n"/>
      <c r="F194" s="48" t="n"/>
      <c r="G194" s="48" t="n"/>
      <c r="H194" s="48" t="n"/>
    </row>
    <row r="195">
      <c r="A195" s="48" t="n"/>
      <c r="B195" s="48" t="n"/>
      <c r="C195" s="48" t="n"/>
      <c r="D195" s="48" t="n"/>
      <c r="E195" s="48" t="n"/>
      <c r="F195" s="48" t="n"/>
      <c r="G195" s="48" t="n"/>
      <c r="H195" s="48" t="n"/>
    </row>
    <row r="196">
      <c r="A196" s="48" t="n"/>
      <c r="B196" s="48" t="n"/>
      <c r="C196" s="48" t="n"/>
      <c r="D196" s="48" t="n"/>
      <c r="E196" s="48" t="n"/>
      <c r="F196" s="48" t="n"/>
      <c r="G196" s="48" t="n"/>
      <c r="H196" s="48" t="n"/>
    </row>
    <row r="197">
      <c r="A197" s="48" t="n"/>
      <c r="B197" s="48" t="n"/>
      <c r="C197" s="48" t="n"/>
      <c r="D197" s="48" t="n"/>
      <c r="E197" s="48" t="n"/>
      <c r="F197" s="48" t="n"/>
      <c r="G197" s="48" t="n"/>
      <c r="H197" s="48" t="n"/>
    </row>
    <row r="198">
      <c r="A198" s="48" t="n"/>
      <c r="B198" s="48" t="n"/>
      <c r="C198" s="48" t="n"/>
      <c r="D198" s="48" t="n"/>
      <c r="E198" s="48" t="n"/>
      <c r="F198" s="48" t="n"/>
      <c r="G198" s="48" t="n"/>
      <c r="H198" s="48" t="n"/>
    </row>
    <row r="199">
      <c r="A199" s="48" t="n"/>
      <c r="B199" s="48" t="n"/>
      <c r="C199" s="48" t="n"/>
      <c r="D199" s="48" t="n"/>
      <c r="E199" s="48" t="n"/>
      <c r="F199" s="48" t="n"/>
      <c r="G199" s="48" t="n"/>
      <c r="H199" s="48" t="n"/>
    </row>
    <row r="200">
      <c r="A200" s="48" t="n"/>
      <c r="B200" s="48" t="n"/>
      <c r="C200" s="48" t="n"/>
      <c r="D200" s="48" t="n"/>
      <c r="E200" s="48" t="n"/>
      <c r="F200" s="48" t="n"/>
      <c r="G200" s="48" t="n"/>
      <c r="H200" s="48" t="n"/>
    </row>
    <row r="201">
      <c r="A201" s="48" t="n"/>
      <c r="B201" s="48" t="n"/>
      <c r="C201" s="48" t="n"/>
      <c r="D201" s="48" t="n"/>
      <c r="E201" s="48" t="n"/>
      <c r="F201" s="48" t="n"/>
      <c r="G201" s="48" t="n"/>
      <c r="H201" s="48" t="n"/>
    </row>
    <row r="202">
      <c r="A202" s="48" t="n"/>
      <c r="B202" s="48" t="n"/>
      <c r="C202" s="48" t="n"/>
      <c r="D202" s="48" t="n"/>
      <c r="E202" s="48" t="n"/>
      <c r="F202" s="48" t="n"/>
      <c r="G202" s="48" t="n"/>
      <c r="H202" s="48" t="n"/>
    </row>
    <row r="203">
      <c r="A203" s="48" t="n"/>
      <c r="B203" s="48" t="n"/>
      <c r="C203" s="48" t="n"/>
      <c r="D203" s="48" t="n"/>
      <c r="E203" s="48" t="n"/>
      <c r="F203" s="48" t="n"/>
      <c r="G203" s="48" t="n"/>
      <c r="H203" s="48" t="n"/>
    </row>
    <row r="204">
      <c r="A204" s="48" t="n"/>
      <c r="B204" s="48" t="n"/>
      <c r="C204" s="48" t="n"/>
      <c r="D204" s="48" t="n"/>
      <c r="E204" s="48" t="n"/>
      <c r="F204" s="48" t="n"/>
      <c r="G204" s="48" t="n"/>
      <c r="H204" s="48" t="n"/>
    </row>
    <row r="205">
      <c r="A205" s="48" t="n"/>
      <c r="B205" s="48" t="n"/>
      <c r="C205" s="48" t="n"/>
      <c r="D205" s="48" t="n"/>
      <c r="E205" s="48" t="n"/>
      <c r="F205" s="48" t="n"/>
      <c r="G205" s="48" t="n"/>
      <c r="H205" s="48" t="n"/>
    </row>
    <row r="206">
      <c r="A206" s="48" t="n"/>
      <c r="B206" s="48" t="n"/>
      <c r="C206" s="48" t="n"/>
      <c r="D206" s="48" t="n"/>
      <c r="E206" s="48" t="n"/>
      <c r="F206" s="48" t="n"/>
      <c r="G206" s="48" t="n"/>
      <c r="H206" s="48" t="n"/>
    </row>
    <row r="207">
      <c r="A207" s="48" t="n"/>
      <c r="B207" s="48" t="n"/>
      <c r="C207" s="48" t="n"/>
      <c r="D207" s="48" t="n"/>
      <c r="E207" s="48" t="n"/>
      <c r="F207" s="48" t="n"/>
      <c r="G207" s="48" t="n"/>
      <c r="H207" s="48" t="n"/>
    </row>
    <row r="208">
      <c r="A208" s="48" t="n"/>
      <c r="B208" s="48" t="n"/>
      <c r="C208" s="48" t="n"/>
      <c r="D208" s="48" t="n"/>
      <c r="E208" s="48" t="n"/>
      <c r="F208" s="48" t="n"/>
      <c r="G208" s="48" t="n"/>
      <c r="H208" s="48" t="n"/>
    </row>
    <row r="209">
      <c r="A209" s="48" t="n"/>
      <c r="B209" s="48" t="n"/>
      <c r="C209" s="48" t="n"/>
      <c r="D209" s="48" t="n"/>
      <c r="E209" s="48" t="n"/>
      <c r="F209" s="48" t="n"/>
      <c r="G209" s="48" t="n"/>
      <c r="H209" s="48" t="n"/>
    </row>
    <row r="210">
      <c r="A210" s="48" t="n"/>
      <c r="B210" s="48" t="n"/>
      <c r="C210" s="48" t="n"/>
      <c r="D210" s="48" t="n"/>
      <c r="E210" s="48" t="n"/>
      <c r="F210" s="48" t="n"/>
      <c r="G210" s="48" t="n"/>
      <c r="H210" s="48" t="n"/>
    </row>
    <row r="211">
      <c r="A211" s="48" t="n"/>
      <c r="B211" s="48" t="n"/>
      <c r="C211" s="48" t="n"/>
      <c r="D211" s="48" t="n"/>
      <c r="E211" s="48" t="n"/>
      <c r="F211" s="48" t="n"/>
      <c r="G211" s="48" t="n"/>
      <c r="H211" s="48" t="n"/>
    </row>
    <row r="212">
      <c r="A212" s="48" t="n"/>
      <c r="B212" s="48" t="n"/>
      <c r="C212" s="48" t="n"/>
      <c r="D212" s="48" t="n"/>
      <c r="E212" s="48" t="n"/>
      <c r="F212" s="48" t="n"/>
      <c r="G212" s="48" t="n"/>
      <c r="H212" s="48" t="n"/>
    </row>
    <row r="213">
      <c r="A213" s="48" t="n"/>
      <c r="B213" s="48" t="n"/>
      <c r="C213" s="48" t="n"/>
      <c r="D213" s="48" t="n"/>
      <c r="E213" s="48" t="n"/>
      <c r="F213" s="48" t="n"/>
      <c r="G213" s="48" t="n"/>
      <c r="H213" s="48" t="n"/>
    </row>
    <row r="214">
      <c r="A214" s="48" t="n"/>
      <c r="B214" s="48" t="n"/>
      <c r="C214" s="48" t="n"/>
      <c r="D214" s="48" t="n"/>
      <c r="E214" s="48" t="n"/>
      <c r="F214" s="48" t="n"/>
      <c r="G214" s="48" t="n"/>
      <c r="H214" s="48" t="n"/>
    </row>
    <row r="215">
      <c r="A215" s="48" t="n"/>
      <c r="B215" s="48" t="n"/>
      <c r="C215" s="48" t="n"/>
      <c r="D215" s="48" t="n"/>
      <c r="E215" s="48" t="n"/>
      <c r="F215" s="48" t="n"/>
      <c r="G215" s="48" t="n"/>
      <c r="H215" s="48" t="n"/>
    </row>
    <row r="216">
      <c r="A216" s="48" t="n"/>
      <c r="B216" s="48" t="n"/>
      <c r="C216" s="48" t="n"/>
      <c r="D216" s="48" t="n"/>
      <c r="E216" s="48" t="n"/>
      <c r="F216" s="48" t="n"/>
      <c r="G216" s="48" t="n"/>
      <c r="H216" s="48" t="n"/>
    </row>
    <row r="217">
      <c r="A217" s="48" t="n"/>
      <c r="B217" s="48" t="n"/>
      <c r="C217" s="48" t="n"/>
      <c r="D217" s="48" t="n"/>
      <c r="E217" s="48" t="n"/>
      <c r="F217" s="48" t="n"/>
      <c r="G217" s="48" t="n"/>
      <c r="H217" s="48" t="n"/>
    </row>
    <row r="218">
      <c r="A218" s="48" t="n"/>
      <c r="B218" s="48" t="n"/>
      <c r="C218" s="48" t="n"/>
      <c r="D218" s="48" t="n"/>
      <c r="E218" s="48" t="n"/>
      <c r="F218" s="48" t="n"/>
      <c r="G218" s="48" t="n"/>
      <c r="H218" s="48" t="n"/>
    </row>
    <row r="219">
      <c r="A219" s="48" t="n"/>
      <c r="B219" s="48" t="n"/>
      <c r="C219" s="48" t="n"/>
      <c r="D219" s="48" t="n"/>
      <c r="E219" s="48" t="n"/>
      <c r="F219" s="48" t="n"/>
      <c r="G219" s="48" t="n"/>
      <c r="H219" s="48" t="n"/>
    </row>
    <row r="220">
      <c r="A220" s="48" t="n"/>
      <c r="B220" s="48" t="n"/>
      <c r="C220" s="48" t="n"/>
      <c r="D220" s="48" t="n"/>
      <c r="E220" s="48" t="n"/>
      <c r="F220" s="48" t="n"/>
      <c r="G220" s="48" t="n"/>
      <c r="H220" s="48" t="n"/>
    </row>
    <row r="221">
      <c r="A221" s="48" t="n"/>
      <c r="B221" s="48" t="n"/>
      <c r="C221" s="48" t="n"/>
      <c r="D221" s="48" t="n"/>
      <c r="E221" s="48" t="n"/>
      <c r="F221" s="48" t="n"/>
      <c r="G221" s="48" t="n"/>
      <c r="H221" s="48" t="n"/>
    </row>
    <row r="222">
      <c r="A222" s="48" t="n"/>
      <c r="B222" s="48" t="n"/>
      <c r="C222" s="48" t="n"/>
      <c r="D222" s="48" t="n"/>
      <c r="E222" s="48" t="n"/>
      <c r="F222" s="48" t="n"/>
      <c r="G222" s="48" t="n"/>
      <c r="H222" s="48" t="n"/>
    </row>
    <row r="223">
      <c r="A223" s="48" t="n"/>
      <c r="B223" s="48" t="n"/>
      <c r="C223" s="48" t="n"/>
      <c r="D223" s="48" t="n"/>
      <c r="E223" s="48" t="n"/>
      <c r="F223" s="48" t="n"/>
      <c r="G223" s="48" t="n"/>
      <c r="H223" s="48" t="n"/>
    </row>
    <row r="224">
      <c r="A224" s="48" t="n"/>
      <c r="B224" s="48" t="n"/>
      <c r="C224" s="48" t="n"/>
      <c r="D224" s="48" t="n"/>
      <c r="E224" s="48" t="n"/>
      <c r="F224" s="48" t="n"/>
      <c r="G224" s="48" t="n"/>
      <c r="H224" s="48" t="n"/>
    </row>
    <row r="225">
      <c r="A225" s="48" t="n"/>
      <c r="B225" s="48" t="n"/>
      <c r="C225" s="48" t="n"/>
      <c r="D225" s="48" t="n"/>
      <c r="E225" s="48" t="n"/>
      <c r="F225" s="48" t="n"/>
      <c r="G225" s="48" t="n"/>
      <c r="H225" s="48" t="n"/>
    </row>
    <row r="226">
      <c r="A226" s="48" t="n"/>
      <c r="B226" s="48" t="n"/>
      <c r="C226" s="48" t="n"/>
      <c r="D226" s="48" t="n"/>
      <c r="E226" s="48" t="n"/>
      <c r="F226" s="48" t="n"/>
      <c r="G226" s="48" t="n"/>
      <c r="H226" s="48" t="n"/>
    </row>
    <row r="227">
      <c r="A227" s="48" t="n"/>
      <c r="B227" s="48" t="n"/>
      <c r="C227" s="48" t="n"/>
      <c r="D227" s="48" t="n"/>
      <c r="E227" s="48" t="n"/>
      <c r="F227" s="48" t="n"/>
      <c r="G227" s="48" t="n"/>
      <c r="H227" s="48" t="n"/>
    </row>
    <row r="228">
      <c r="A228" s="48" t="n"/>
      <c r="B228" s="48" t="n"/>
      <c r="C228" s="48" t="n"/>
      <c r="D228" s="48" t="n"/>
      <c r="E228" s="48" t="n"/>
      <c r="F228" s="48" t="n"/>
      <c r="G228" s="48" t="n"/>
      <c r="H228" s="48" t="n"/>
    </row>
    <row r="229">
      <c r="A229" s="48" t="n"/>
      <c r="B229" s="48" t="n"/>
      <c r="C229" s="48" t="n"/>
      <c r="D229" s="48" t="n"/>
      <c r="E229" s="48" t="n"/>
      <c r="F229" s="48" t="n"/>
      <c r="G229" s="48" t="n"/>
      <c r="H229" s="48" t="n"/>
    </row>
    <row r="230">
      <c r="A230" s="48" t="n"/>
      <c r="B230" s="48" t="n"/>
      <c r="C230" s="48" t="n"/>
      <c r="D230" s="48" t="n"/>
      <c r="E230" s="48" t="n"/>
      <c r="F230" s="48" t="n"/>
      <c r="G230" s="48" t="n"/>
      <c r="H230" s="48" t="n"/>
    </row>
    <row r="231">
      <c r="A231" s="48" t="n"/>
      <c r="B231" s="48" t="n"/>
      <c r="C231" s="48" t="n"/>
      <c r="D231" s="48" t="n"/>
      <c r="E231" s="48" t="n"/>
      <c r="F231" s="48" t="n"/>
      <c r="G231" s="48" t="n"/>
      <c r="H231" s="48" t="n"/>
    </row>
    <row r="232">
      <c r="A232" s="48" t="n"/>
      <c r="B232" s="48" t="n"/>
      <c r="C232" s="48" t="n"/>
      <c r="D232" s="48" t="n"/>
      <c r="E232" s="48" t="n"/>
      <c r="F232" s="48" t="n"/>
      <c r="G232" s="48" t="n"/>
      <c r="H232" s="48" t="n"/>
    </row>
    <row r="233">
      <c r="A233" s="48" t="n"/>
      <c r="B233" s="48" t="n"/>
      <c r="C233" s="48" t="n"/>
      <c r="D233" s="48" t="n"/>
      <c r="E233" s="48" t="n"/>
      <c r="F233" s="48" t="n"/>
      <c r="G233" s="48" t="n"/>
      <c r="H233" s="48" t="n"/>
    </row>
    <row r="234">
      <c r="A234" s="48" t="n"/>
      <c r="B234" s="48" t="n"/>
      <c r="C234" s="48" t="n"/>
      <c r="D234" s="48" t="n"/>
      <c r="E234" s="48" t="n"/>
      <c r="F234" s="48" t="n"/>
      <c r="G234" s="48" t="n"/>
      <c r="H234" s="48" t="n"/>
    </row>
    <row r="235">
      <c r="A235" s="48" t="n"/>
      <c r="B235" s="48" t="n"/>
      <c r="C235" s="48" t="n"/>
      <c r="D235" s="48" t="n"/>
      <c r="E235" s="48" t="n"/>
      <c r="F235" s="48" t="n"/>
      <c r="G235" s="48" t="n"/>
      <c r="H235" s="48" t="n"/>
    </row>
    <row r="236">
      <c r="A236" s="48" t="n"/>
      <c r="B236" s="48" t="n"/>
      <c r="C236" s="48" t="n"/>
      <c r="D236" s="48" t="n"/>
      <c r="E236" s="48" t="n"/>
      <c r="F236" s="48" t="n"/>
      <c r="G236" s="48" t="n"/>
      <c r="H236" s="48" t="n"/>
    </row>
    <row r="237">
      <c r="A237" s="48" t="n"/>
      <c r="B237" s="48" t="n"/>
      <c r="C237" s="48" t="n"/>
      <c r="D237" s="48" t="n"/>
      <c r="E237" s="48" t="n"/>
      <c r="F237" s="48" t="n"/>
      <c r="G237" s="48" t="n"/>
      <c r="H237" s="48" t="n"/>
    </row>
    <row r="238">
      <c r="A238" s="48" t="n"/>
      <c r="B238" s="48" t="n"/>
      <c r="C238" s="48" t="n"/>
      <c r="D238" s="48" t="n"/>
      <c r="E238" s="48" t="n"/>
      <c r="F238" s="48" t="n"/>
      <c r="G238" s="48" t="n"/>
      <c r="H238" s="48" t="n"/>
    </row>
    <row r="239">
      <c r="A239" s="48" t="n"/>
      <c r="B239" s="48" t="n"/>
      <c r="C239" s="48" t="n"/>
      <c r="D239" s="48" t="n"/>
      <c r="E239" s="48" t="n"/>
      <c r="F239" s="48" t="n"/>
      <c r="G239" s="48" t="n"/>
      <c r="H239" s="48" t="n"/>
    </row>
    <row r="240">
      <c r="A240" s="48" t="n"/>
      <c r="B240" s="48" t="n"/>
      <c r="C240" s="48" t="n"/>
      <c r="D240" s="48" t="n"/>
      <c r="E240" s="48" t="n"/>
      <c r="F240" s="48" t="n"/>
      <c r="G240" s="48" t="n"/>
      <c r="H240" s="48" t="n"/>
    </row>
    <row r="241">
      <c r="A241" s="48" t="n"/>
      <c r="B241" s="48" t="n"/>
      <c r="C241" s="48" t="n"/>
      <c r="D241" s="48" t="n"/>
      <c r="E241" s="48" t="n"/>
      <c r="F241" s="48" t="n"/>
      <c r="G241" s="48" t="n"/>
      <c r="H241" s="48" t="n"/>
    </row>
    <row r="242">
      <c r="A242" s="48" t="n"/>
      <c r="B242" s="48" t="n"/>
      <c r="C242" s="48" t="n"/>
      <c r="D242" s="48" t="n"/>
      <c r="E242" s="48" t="n"/>
      <c r="F242" s="48" t="n"/>
      <c r="G242" s="48" t="n"/>
      <c r="H242" s="48" t="n"/>
    </row>
    <row r="243">
      <c r="A243" s="48" t="n"/>
      <c r="B243" s="48" t="n"/>
      <c r="C243" s="48" t="n"/>
      <c r="D243" s="48" t="n"/>
      <c r="E243" s="48" t="n"/>
      <c r="F243" s="48" t="n"/>
      <c r="G243" s="48" t="n"/>
      <c r="H243" s="48" t="n"/>
    </row>
    <row r="244">
      <c r="A244" s="48" t="n"/>
      <c r="B244" s="48" t="n"/>
      <c r="C244" s="48" t="n"/>
      <c r="D244" s="48" t="n"/>
      <c r="E244" s="48" t="n"/>
      <c r="F244" s="48" t="n"/>
      <c r="G244" s="48" t="n"/>
      <c r="H244" s="48" t="n"/>
    </row>
    <row r="245">
      <c r="A245" s="48" t="n"/>
      <c r="B245" s="48" t="n"/>
      <c r="C245" s="48" t="n"/>
      <c r="D245" s="48" t="n"/>
      <c r="E245" s="48" t="n"/>
      <c r="F245" s="48" t="n"/>
      <c r="G245" s="48" t="n"/>
      <c r="H245" s="48" t="n"/>
    </row>
    <row r="246">
      <c r="A246" s="48" t="n"/>
      <c r="B246" s="48" t="n"/>
      <c r="C246" s="48" t="n"/>
      <c r="D246" s="48" t="n"/>
      <c r="E246" s="48" t="n"/>
      <c r="F246" s="48" t="n"/>
      <c r="G246" s="48" t="n"/>
      <c r="H246" s="48" t="n"/>
    </row>
    <row r="247">
      <c r="A247" s="48" t="n"/>
      <c r="B247" s="48" t="n"/>
      <c r="C247" s="48" t="n"/>
      <c r="D247" s="48" t="n"/>
      <c r="E247" s="48" t="n"/>
      <c r="F247" s="48" t="n"/>
      <c r="G247" s="48" t="n"/>
      <c r="H247" s="48" t="n"/>
    </row>
    <row r="248">
      <c r="A248" s="48" t="n"/>
      <c r="B248" s="48" t="n"/>
      <c r="C248" s="48" t="n"/>
      <c r="D248" s="48" t="n"/>
      <c r="E248" s="48" t="n"/>
      <c r="F248" s="48" t="n"/>
      <c r="G248" s="48" t="n"/>
      <c r="H248" s="48" t="n"/>
    </row>
    <row r="249">
      <c r="A249" s="48" t="n"/>
      <c r="B249" s="48" t="n"/>
      <c r="C249" s="48" t="n"/>
      <c r="D249" s="48" t="n"/>
      <c r="E249" s="48" t="n"/>
      <c r="F249" s="48" t="n"/>
      <c r="G249" s="48" t="n"/>
      <c r="H249" s="48" t="n"/>
    </row>
    <row r="250">
      <c r="A250" s="48" t="n"/>
      <c r="B250" s="48" t="n"/>
      <c r="C250" s="48" t="n"/>
      <c r="D250" s="48" t="n"/>
      <c r="E250" s="48" t="n"/>
      <c r="F250" s="48" t="n"/>
      <c r="G250" s="48" t="n"/>
      <c r="H250" s="48" t="n"/>
    </row>
    <row r="251">
      <c r="A251" s="48" t="n"/>
      <c r="B251" s="48" t="n"/>
      <c r="C251" s="48" t="n"/>
      <c r="D251" s="48" t="n"/>
      <c r="E251" s="48" t="n"/>
      <c r="F251" s="48" t="n"/>
      <c r="G251" s="48" t="n"/>
      <c r="H251" s="48" t="n"/>
    </row>
    <row r="252">
      <c r="A252" s="48" t="n"/>
      <c r="B252" s="48" t="n"/>
      <c r="C252" s="48" t="n"/>
      <c r="D252" s="48" t="n"/>
      <c r="E252" s="48" t="n"/>
      <c r="F252" s="48" t="n"/>
      <c r="G252" s="48" t="n"/>
      <c r="H252" s="48" t="n"/>
    </row>
    <row r="253">
      <c r="A253" s="48" t="n"/>
      <c r="B253" s="48" t="n"/>
      <c r="C253" s="48" t="n"/>
      <c r="D253" s="48" t="n"/>
      <c r="E253" s="48" t="n"/>
      <c r="F253" s="48" t="n"/>
      <c r="G253" s="48" t="n"/>
      <c r="H253" s="48" t="n"/>
    </row>
    <row r="254">
      <c r="A254" s="48" t="n"/>
      <c r="B254" s="48" t="n"/>
      <c r="C254" s="48" t="n"/>
      <c r="D254" s="48" t="n"/>
      <c r="E254" s="48" t="n"/>
      <c r="F254" s="48" t="n"/>
      <c r="G254" s="48" t="n"/>
      <c r="H254" s="48" t="n"/>
    </row>
    <row r="255">
      <c r="A255" s="48" t="n"/>
      <c r="B255" s="48" t="n"/>
      <c r="C255" s="48" t="n"/>
      <c r="D255" s="48" t="n"/>
      <c r="E255" s="48" t="n"/>
      <c r="F255" s="48" t="n"/>
      <c r="G255" s="48" t="n"/>
      <c r="H255" s="48" t="n"/>
    </row>
    <row r="256">
      <c r="A256" s="48" t="n"/>
      <c r="B256" s="48" t="n"/>
      <c r="C256" s="48" t="n"/>
      <c r="D256" s="48" t="n"/>
      <c r="E256" s="48" t="n"/>
      <c r="F256" s="48" t="n"/>
      <c r="G256" s="48" t="n"/>
      <c r="H256" s="48" t="n"/>
    </row>
    <row r="257">
      <c r="A257" s="48" t="n"/>
      <c r="B257" s="48" t="n"/>
      <c r="C257" s="48" t="n"/>
      <c r="D257" s="48" t="n"/>
      <c r="E257" s="48" t="n"/>
      <c r="F257" s="48" t="n"/>
      <c r="G257" s="48" t="n"/>
      <c r="H257" s="48" t="n"/>
    </row>
    <row r="258">
      <c r="A258" s="48" t="n"/>
      <c r="B258" s="48" t="n"/>
      <c r="C258" s="48" t="n"/>
      <c r="D258" s="48" t="n"/>
      <c r="E258" s="48" t="n"/>
      <c r="F258" s="48" t="n"/>
      <c r="G258" s="48" t="n"/>
      <c r="H258" s="48" t="n"/>
    </row>
    <row r="259">
      <c r="A259" s="48" t="n"/>
      <c r="B259" s="48" t="n"/>
      <c r="C259" s="48" t="n"/>
      <c r="D259" s="48" t="n"/>
      <c r="E259" s="48" t="n"/>
      <c r="F259" s="48" t="n"/>
      <c r="G259" s="48" t="n"/>
      <c r="H259" s="48" t="n"/>
    </row>
    <row r="260">
      <c r="A260" s="48" t="n"/>
      <c r="B260" s="48" t="n"/>
      <c r="C260" s="48" t="n"/>
      <c r="D260" s="48" t="n"/>
      <c r="E260" s="48" t="n"/>
      <c r="F260" s="48" t="n"/>
      <c r="G260" s="48" t="n"/>
      <c r="H260" s="48" t="n"/>
    </row>
    <row r="261">
      <c r="A261" s="48" t="n"/>
      <c r="B261" s="48" t="n"/>
      <c r="C261" s="48" t="n"/>
      <c r="D261" s="48" t="n"/>
      <c r="E261" s="48" t="n"/>
      <c r="F261" s="48" t="n"/>
      <c r="G261" s="48" t="n"/>
      <c r="H261" s="48" t="n"/>
    </row>
    <row r="262">
      <c r="A262" s="48" t="n"/>
      <c r="B262" s="48" t="n"/>
      <c r="C262" s="48" t="n"/>
      <c r="D262" s="48" t="n"/>
      <c r="E262" s="48" t="n"/>
      <c r="F262" s="48" t="n"/>
      <c r="G262" s="48" t="n"/>
      <c r="H262" s="48" t="n"/>
    </row>
    <row r="263">
      <c r="A263" s="48" t="n"/>
      <c r="B263" s="48" t="n"/>
      <c r="C263" s="48" t="n"/>
      <c r="D263" s="48" t="n"/>
      <c r="E263" s="48" t="n"/>
      <c r="F263" s="48" t="n"/>
      <c r="G263" s="48" t="n"/>
      <c r="H263" s="48" t="n"/>
    </row>
    <row r="264">
      <c r="A264" s="48" t="n"/>
      <c r="B264" s="48" t="n"/>
      <c r="C264" s="48" t="n"/>
      <c r="D264" s="48" t="n"/>
      <c r="E264" s="48" t="n"/>
      <c r="F264" s="48" t="n"/>
      <c r="G264" s="48" t="n"/>
      <c r="H264" s="48" t="n"/>
    </row>
    <row r="265">
      <c r="A265" s="48" t="n"/>
      <c r="B265" s="48" t="n"/>
      <c r="C265" s="48" t="n"/>
      <c r="D265" s="48" t="n"/>
      <c r="E265" s="48" t="n"/>
      <c r="F265" s="48" t="n"/>
      <c r="G265" s="48" t="n"/>
      <c r="H265" s="48" t="n"/>
    </row>
    <row r="266">
      <c r="A266" s="48" t="n"/>
      <c r="B266" s="48" t="n"/>
      <c r="C266" s="48" t="n"/>
      <c r="D266" s="48" t="n"/>
      <c r="E266" s="48" t="n"/>
      <c r="F266" s="48" t="n"/>
      <c r="G266" s="48" t="n"/>
      <c r="H266" s="48" t="n"/>
    </row>
    <row r="267">
      <c r="A267" s="48" t="n"/>
      <c r="B267" s="48" t="n"/>
      <c r="C267" s="48" t="n"/>
      <c r="D267" s="48" t="n"/>
      <c r="E267" s="48" t="n"/>
      <c r="F267" s="48" t="n"/>
      <c r="G267" s="48" t="n"/>
      <c r="H267" s="48" t="n"/>
    </row>
    <row r="268">
      <c r="A268" s="48" t="n"/>
      <c r="B268" s="48" t="n"/>
      <c r="C268" s="48" t="n"/>
      <c r="D268" s="48" t="n"/>
      <c r="E268" s="48" t="n"/>
      <c r="F268" s="48" t="n"/>
      <c r="G268" s="48" t="n"/>
      <c r="H268" s="48" t="n"/>
    </row>
    <row r="269">
      <c r="A269" s="48" t="n"/>
      <c r="B269" s="48" t="n"/>
      <c r="C269" s="48" t="n"/>
      <c r="D269" s="48" t="n"/>
      <c r="E269" s="48" t="n"/>
      <c r="F269" s="48" t="n"/>
      <c r="G269" s="48" t="n"/>
      <c r="H269" s="48" t="n"/>
    </row>
    <row r="270">
      <c r="A270" s="48" t="n"/>
      <c r="B270" s="48" t="n"/>
      <c r="C270" s="48" t="n"/>
      <c r="D270" s="48" t="n"/>
      <c r="E270" s="48" t="n"/>
      <c r="F270" s="48" t="n"/>
      <c r="G270" s="48" t="n"/>
      <c r="H270" s="48" t="n"/>
    </row>
    <row r="271">
      <c r="A271" s="48" t="n"/>
      <c r="B271" s="48" t="n"/>
      <c r="C271" s="48" t="n"/>
      <c r="D271" s="48" t="n"/>
      <c r="E271" s="48" t="n"/>
      <c r="F271" s="48" t="n"/>
      <c r="G271" s="48" t="n"/>
      <c r="H271" s="48" t="n"/>
    </row>
    <row r="272">
      <c r="A272" s="48" t="n"/>
      <c r="B272" s="48" t="n"/>
      <c r="C272" s="48" t="n"/>
      <c r="D272" s="48" t="n"/>
      <c r="E272" s="48" t="n"/>
      <c r="F272" s="48" t="n"/>
      <c r="G272" s="48" t="n"/>
      <c r="H272" s="48" t="n"/>
    </row>
    <row r="273">
      <c r="A273" s="48" t="n"/>
      <c r="B273" s="48" t="n"/>
      <c r="C273" s="48" t="n"/>
      <c r="D273" s="48" t="n"/>
      <c r="E273" s="48" t="n"/>
      <c r="F273" s="48" t="n"/>
      <c r="G273" s="48" t="n"/>
      <c r="H273" s="48" t="n"/>
    </row>
    <row r="274">
      <c r="A274" s="48" t="n"/>
      <c r="B274" s="48" t="n"/>
      <c r="C274" s="48" t="n"/>
      <c r="D274" s="48" t="n"/>
      <c r="E274" s="48" t="n"/>
      <c r="F274" s="48" t="n"/>
      <c r="G274" s="48" t="n"/>
      <c r="H274" s="48" t="n"/>
    </row>
    <row r="275">
      <c r="A275" s="48" t="n"/>
      <c r="B275" s="48" t="n"/>
      <c r="C275" s="48" t="n"/>
      <c r="D275" s="48" t="n"/>
      <c r="E275" s="48" t="n"/>
      <c r="F275" s="48" t="n"/>
      <c r="G275" s="48" t="n"/>
      <c r="H275" s="48" t="n"/>
    </row>
    <row r="276">
      <c r="A276" s="48" t="n"/>
      <c r="B276" s="48" t="n"/>
      <c r="C276" s="48" t="n"/>
      <c r="D276" s="48" t="n"/>
      <c r="E276" s="48" t="n"/>
      <c r="F276" s="48" t="n"/>
      <c r="G276" s="48" t="n"/>
      <c r="H276" s="48" t="n"/>
    </row>
    <row r="277">
      <c r="A277" s="48" t="n"/>
      <c r="B277" s="48" t="n"/>
      <c r="C277" s="48" t="n"/>
      <c r="D277" s="48" t="n"/>
      <c r="E277" s="48" t="n"/>
      <c r="F277" s="48" t="n"/>
      <c r="G277" s="48" t="n"/>
      <c r="H277" s="48" t="n"/>
    </row>
    <row r="278">
      <c r="A278" s="48" t="n"/>
      <c r="B278" s="48" t="n"/>
      <c r="C278" s="48" t="n"/>
      <c r="D278" s="48" t="n"/>
      <c r="E278" s="48" t="n"/>
      <c r="F278" s="48" t="n"/>
      <c r="G278" s="48" t="n"/>
      <c r="H278" s="48" t="n"/>
    </row>
    <row r="279">
      <c r="A279" s="48" t="n"/>
      <c r="B279" s="48" t="n"/>
      <c r="C279" s="48" t="n"/>
      <c r="D279" s="48" t="n"/>
      <c r="E279" s="48" t="n"/>
      <c r="F279" s="48" t="n"/>
      <c r="G279" s="48" t="n"/>
      <c r="H279" s="48" t="n"/>
    </row>
    <row r="280">
      <c r="A280" s="48" t="n"/>
      <c r="B280" s="48" t="n"/>
      <c r="C280" s="48" t="n"/>
      <c r="D280" s="48" t="n"/>
      <c r="E280" s="48" t="n"/>
      <c r="F280" s="48" t="n"/>
      <c r="G280" s="48" t="n"/>
      <c r="H280" s="48" t="n"/>
    </row>
    <row r="281">
      <c r="A281" s="48" t="n"/>
      <c r="B281" s="48" t="n"/>
      <c r="C281" s="48" t="n"/>
      <c r="D281" s="48" t="n"/>
      <c r="E281" s="48" t="n"/>
      <c r="F281" s="48" t="n"/>
      <c r="G281" s="48" t="n"/>
      <c r="H281" s="48" t="n"/>
    </row>
    <row r="282">
      <c r="A282" s="48" t="n"/>
      <c r="B282" s="48" t="n"/>
      <c r="C282" s="48" t="n"/>
      <c r="D282" s="48" t="n"/>
      <c r="E282" s="48" t="n"/>
      <c r="F282" s="48" t="n"/>
      <c r="G282" s="48" t="n"/>
      <c r="H282" s="48" t="n"/>
    </row>
    <row r="283">
      <c r="A283" s="48" t="n"/>
      <c r="B283" s="48" t="n"/>
      <c r="C283" s="48" t="n"/>
      <c r="D283" s="48" t="n"/>
      <c r="E283" s="48" t="n"/>
      <c r="F283" s="48" t="n"/>
      <c r="G283" s="48" t="n"/>
      <c r="H283" s="48" t="n"/>
    </row>
    <row r="284">
      <c r="A284" s="48" t="n"/>
      <c r="B284" s="48" t="n"/>
      <c r="C284" s="48" t="n"/>
      <c r="D284" s="48" t="n"/>
      <c r="E284" s="48" t="n"/>
      <c r="F284" s="48" t="n"/>
      <c r="G284" s="48" t="n"/>
      <c r="H284" s="48" t="n"/>
    </row>
    <row r="285">
      <c r="A285" s="48" t="n"/>
      <c r="B285" s="48" t="n"/>
      <c r="C285" s="48" t="n"/>
      <c r="D285" s="48" t="n"/>
      <c r="E285" s="48" t="n"/>
      <c r="F285" s="48" t="n"/>
      <c r="G285" s="48" t="n"/>
      <c r="H285" s="48" t="n"/>
    </row>
    <row r="286">
      <c r="A286" s="48" t="n"/>
      <c r="B286" s="48" t="n"/>
      <c r="C286" s="48" t="n"/>
      <c r="D286" s="48" t="n"/>
      <c r="E286" s="48" t="n"/>
      <c r="F286" s="48" t="n"/>
      <c r="G286" s="48" t="n"/>
      <c r="H286" s="48" t="n"/>
    </row>
    <row r="287">
      <c r="A287" s="48" t="n"/>
      <c r="B287" s="48" t="n"/>
      <c r="C287" s="48" t="n"/>
      <c r="D287" s="48" t="n"/>
      <c r="E287" s="48" t="n"/>
      <c r="F287" s="48" t="n"/>
      <c r="G287" s="48" t="n"/>
      <c r="H287" s="48" t="n"/>
    </row>
    <row r="288">
      <c r="A288" s="48" t="n"/>
      <c r="B288" s="48" t="n"/>
      <c r="C288" s="48" t="n"/>
      <c r="D288" s="48" t="n"/>
      <c r="E288" s="48" t="n"/>
      <c r="F288" s="48" t="n"/>
      <c r="G288" s="48" t="n"/>
      <c r="H288" s="48" t="n"/>
    </row>
    <row r="289">
      <c r="A289" s="48" t="n"/>
      <c r="B289" s="48" t="n"/>
      <c r="C289" s="48" t="n"/>
      <c r="D289" s="48" t="n"/>
      <c r="E289" s="48" t="n"/>
      <c r="F289" s="48" t="n"/>
      <c r="G289" s="48" t="n"/>
      <c r="H289" s="48" t="n"/>
    </row>
    <row r="290">
      <c r="A290" s="48" t="n"/>
      <c r="B290" s="48" t="n"/>
      <c r="C290" s="48" t="n"/>
      <c r="D290" s="48" t="n"/>
      <c r="E290" s="48" t="n"/>
      <c r="F290" s="48" t="n"/>
      <c r="G290" s="48" t="n"/>
      <c r="H290" s="48" t="n"/>
    </row>
    <row r="291">
      <c r="A291" s="48" t="n"/>
      <c r="B291" s="48" t="n"/>
      <c r="C291" s="48" t="n"/>
      <c r="D291" s="48" t="n"/>
      <c r="E291" s="48" t="n"/>
      <c r="F291" s="48" t="n"/>
      <c r="G291" s="48" t="n"/>
      <c r="H291" s="48" t="n"/>
    </row>
    <row r="292">
      <c r="A292" s="48" t="n"/>
      <c r="B292" s="48" t="n"/>
      <c r="C292" s="48" t="n"/>
      <c r="D292" s="48" t="n"/>
      <c r="E292" s="48" t="n"/>
      <c r="F292" s="48" t="n"/>
      <c r="G292" s="48" t="n"/>
      <c r="H292" s="48" t="n"/>
    </row>
    <row r="293">
      <c r="A293" s="48" t="n"/>
      <c r="B293" s="48" t="n"/>
      <c r="C293" s="48" t="n"/>
      <c r="D293" s="48" t="n"/>
      <c r="E293" s="48" t="n"/>
      <c r="F293" s="48" t="n"/>
      <c r="G293" s="48" t="n"/>
      <c r="H293" s="48" t="n"/>
    </row>
    <row r="294">
      <c r="A294" s="48" t="n"/>
      <c r="B294" s="48" t="n"/>
      <c r="C294" s="48" t="n"/>
      <c r="D294" s="48" t="n"/>
      <c r="E294" s="48" t="n"/>
      <c r="F294" s="48" t="n"/>
      <c r="G294" s="48" t="n"/>
      <c r="H294" s="48" t="n"/>
    </row>
    <row r="295">
      <c r="A295" s="48" t="n"/>
      <c r="B295" s="48" t="n"/>
      <c r="C295" s="48" t="n"/>
      <c r="D295" s="48" t="n"/>
      <c r="E295" s="48" t="n"/>
      <c r="F295" s="48" t="n"/>
      <c r="G295" s="48" t="n"/>
      <c r="H295" s="48" t="n"/>
    </row>
    <row r="296">
      <c r="A296" s="48" t="n"/>
      <c r="B296" s="48" t="n"/>
      <c r="C296" s="48" t="n"/>
      <c r="D296" s="48" t="n"/>
      <c r="E296" s="48" t="n"/>
      <c r="F296" s="48" t="n"/>
      <c r="G296" s="48" t="n"/>
      <c r="H296" s="48" t="n"/>
    </row>
    <row r="297">
      <c r="A297" s="48" t="n"/>
      <c r="B297" s="48" t="n"/>
      <c r="C297" s="48" t="n"/>
      <c r="D297" s="48" t="n"/>
      <c r="E297" s="48" t="n"/>
      <c r="F297" s="48" t="n"/>
      <c r="G297" s="48" t="n"/>
      <c r="H297" s="48" t="n"/>
    </row>
    <row r="298">
      <c r="A298" s="48" t="n"/>
      <c r="B298" s="48" t="n"/>
      <c r="C298" s="48" t="n"/>
      <c r="D298" s="48" t="n"/>
      <c r="E298" s="48" t="n"/>
      <c r="F298" s="48" t="n"/>
      <c r="G298" s="48" t="n"/>
      <c r="H298" s="48" t="n"/>
    </row>
    <row r="299">
      <c r="A299" s="48" t="n"/>
      <c r="B299" s="48" t="n"/>
      <c r="C299" s="48" t="n"/>
      <c r="D299" s="48" t="n"/>
      <c r="E299" s="48" t="n"/>
      <c r="F299" s="48" t="n"/>
      <c r="G299" s="48" t="n"/>
      <c r="H299" s="48" t="n"/>
    </row>
    <row r="300">
      <c r="A300" s="48" t="n"/>
      <c r="B300" s="48" t="n"/>
      <c r="C300" s="48" t="n"/>
      <c r="D300" s="48" t="n"/>
      <c r="E300" s="48" t="n"/>
      <c r="F300" s="48" t="n"/>
      <c r="G300" s="48" t="n"/>
      <c r="H300" s="48" t="n"/>
    </row>
    <row r="301">
      <c r="A301" s="48" t="n"/>
      <c r="B301" s="48" t="n"/>
      <c r="C301" s="48" t="n"/>
      <c r="D301" s="48" t="n"/>
      <c r="E301" s="48" t="n"/>
      <c r="F301" s="48" t="n"/>
      <c r="G301" s="48" t="n"/>
      <c r="H301" s="48" t="n"/>
    </row>
    <row r="302">
      <c r="A302" s="48" t="n"/>
      <c r="B302" s="48" t="n"/>
      <c r="C302" s="48" t="n"/>
      <c r="D302" s="48" t="n"/>
      <c r="E302" s="48" t="n"/>
      <c r="F302" s="48" t="n"/>
      <c r="G302" s="48" t="n"/>
      <c r="H302" s="48" t="n"/>
    </row>
    <row r="303">
      <c r="A303" s="48" t="n"/>
      <c r="B303" s="48" t="n"/>
      <c r="C303" s="48" t="n"/>
      <c r="D303" s="48" t="n"/>
      <c r="E303" s="48" t="n"/>
      <c r="F303" s="48" t="n"/>
      <c r="G303" s="48" t="n"/>
      <c r="H303" s="48" t="n"/>
    </row>
    <row r="304">
      <c r="A304" s="48" t="n"/>
      <c r="B304" s="48" t="n"/>
      <c r="C304" s="48" t="n"/>
      <c r="D304" s="48" t="n"/>
      <c r="E304" s="48" t="n"/>
      <c r="F304" s="48" t="n"/>
      <c r="G304" s="48" t="n"/>
      <c r="H304" s="48" t="n"/>
    </row>
  </sheetData>
  <conditionalFormatting sqref="A5:H304">
    <cfRule type="expression" priority="1" dxfId="10">
      <formula>AND(A5&lt;&gt;"",A5&lt;&gt;"—")</formula>
    </cfRule>
    <cfRule type="expression" priority="2" dxfId="11">
      <formula>ISNUMBER(SEARCH("просрочено",A5))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2B600"/>
    <outlinePr summaryBelow="1" summaryRight="1"/>
    <pageSetUpPr/>
  </sheetPr>
  <dimension ref="A1:V64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5" customWidth="1" min="4" max="4"/>
    <col width="20" customWidth="1" min="5" max="5"/>
    <col width="16" customWidth="1" min="6" max="6"/>
    <col width="48" customWidth="1" min="7" max="7"/>
    <col width="16" customWidth="1" min="8" max="8"/>
    <col width="15" customWidth="1" min="9" max="9"/>
    <col hidden="1" width="5" customWidth="1" min="10" max="10"/>
    <col width="16" customWidth="1" min="11" max="11"/>
    <col width="16" customWidth="1" min="12" max="12"/>
    <col width="20" customWidth="1" min="13" max="13"/>
    <col width="11" customWidth="1" min="14" max="14"/>
    <col width="11" customWidth="1" min="15" max="15"/>
    <col width="24" customWidth="1" min="16" max="16"/>
    <col width="30" customWidth="1" min="17" max="17"/>
    <col width="9" customWidth="1" min="18" max="18"/>
    <col width="24" customWidth="1" min="19" max="19"/>
    <col width="70" customWidth="1" min="20" max="20"/>
    <col hidden="1" width="10" customWidth="1" min="21" max="21"/>
    <col hidden="1" width="6" customWidth="1" min="22" max="22"/>
  </cols>
  <sheetData>
    <row r="1" ht="34" customHeight="1">
      <c r="A1" s="10" t="inlineStr">
        <is>
          <t>№</t>
        </is>
      </c>
      <c r="B1" s="10" t="inlineStr">
        <is>
          <t>Компания</t>
        </is>
      </c>
      <c r="C1" s="10" t="inlineStr">
        <is>
          <t>Этап</t>
        </is>
      </c>
      <c r="D1" s="10" t="inlineStr">
        <is>
          <t>Менеджер</t>
        </is>
      </c>
      <c r="E1" s="10" t="inlineStr">
        <is>
          <t>Следующий контакт</t>
        </is>
      </c>
      <c r="F1" s="10" t="inlineStr">
        <is>
          <t>Срок</t>
        </is>
      </c>
      <c r="G1" s="10" t="inlineStr">
        <is>
          <t>Заметка</t>
        </is>
      </c>
      <c r="H1" s="10" t="inlineStr">
        <is>
          <t>Телефон</t>
        </is>
      </c>
      <c r="I1" s="10" t="inlineStr">
        <is>
          <t>Написали</t>
        </is>
      </c>
      <c r="J1" s="10" t="inlineStr">
        <is>
          <t>ранг</t>
        </is>
      </c>
      <c r="K1" s="10" t="inlineStr">
        <is>
          <t>Написать</t>
        </is>
      </c>
      <c r="L1" s="10" t="inlineStr">
        <is>
          <t>Чат</t>
        </is>
      </c>
      <c r="M1" s="10" t="inlineStr">
        <is>
          <t>Город</t>
        </is>
      </c>
      <c r="N1" s="10" t="inlineStr">
        <is>
          <t>Рейтинг</t>
        </is>
      </c>
      <c r="O1" s="10" t="inlineStr">
        <is>
          <t>Отзывов</t>
        </is>
      </c>
      <c r="P1" s="10" t="inlineStr">
        <is>
          <t>Сайт</t>
        </is>
      </c>
      <c r="Q1" s="10" t="inlineStr">
        <is>
          <t>Пометки</t>
        </is>
      </c>
      <c r="R1" s="10" t="inlineStr">
        <is>
          <t>Пачка</t>
        </is>
      </c>
      <c r="S1" s="10" t="inlineStr">
        <is>
          <t>Регион</t>
        </is>
      </c>
      <c r="T1" s="10" t="inlineStr">
        <is>
          <t>Текст первого сообщения</t>
        </is>
      </c>
      <c r="U1" s="10" t="inlineStr">
        <is>
          <t>карточка</t>
        </is>
      </c>
      <c r="V1" s="10" t="inlineStr">
        <is>
          <t>дело</t>
        </is>
      </c>
    </row>
    <row r="2" ht="24" customHeight="1">
      <c r="A2" s="38" t="n">
        <v>1</v>
      </c>
      <c r="B2" s="32" t="inlineStr">
        <is>
          <t>Комфорт сервис</t>
        </is>
      </c>
      <c r="C2" s="49" t="inlineStr">
        <is>
          <t>Очередь</t>
        </is>
      </c>
      <c r="D2" s="49" t="n"/>
      <c r="E2" s="50" t="n"/>
      <c r="F2" s="51">
        <f>IF(OR(C2="",C2="Очередь",C2="Клиент",C2="Отказ",C2="Не писать"),"",IF(E2="",IF(AND(C2="Отправлено",I2&lt;&gt;"",TODAY()-INT(I2)&gt;=3),"молчит "&amp;(TODAY()-INT(I2))&amp;" дн.",IF(OR(C2="Перезвонить",C2="Созвон"),"укажи дату","")),IF(INT(E2)&lt;TODAY(),"просрочено",IF(INT(E2)=TODAY(),"сегодня",IF(INT(E2)=TODAY()+1,"завтра",TEXT(E2,"dd.mm"))))))</f>
        <v/>
      </c>
      <c r="G2" s="52" t="n"/>
      <c r="H2" s="36" t="inlineStr">
        <is>
          <t>79952262199</t>
        </is>
      </c>
      <c r="I2" s="53" t="n"/>
      <c r="J2" s="38">
        <f>IFERROR(MATCH(C2,'Справка'!$A$12:$A$21,0),99)</f>
        <v/>
      </c>
      <c r="K2" s="39">
        <f>HYPERLINK("https://wa.me/"&amp;H2&amp;"?text="&amp;ENCODEURL(T2),"✉ Написать")</f>
        <v/>
      </c>
      <c r="L2" s="39">
        <f>HYPERLINK("https://wa.me/"&amp;H2,"Открыть чат")</f>
        <v/>
      </c>
      <c r="M2" s="38" t="inlineStr">
        <is>
          <t>Краснодар</t>
        </is>
      </c>
      <c r="N2" s="38" t="n">
        <v>4.9</v>
      </c>
      <c r="O2" s="38" t="n">
        <v>279</v>
      </c>
      <c r="P2" s="38" t="n"/>
      <c r="Q2" s="38" t="inlineStr">
        <is>
          <t>без сайта</t>
        </is>
      </c>
      <c r="R2" s="38" t="n">
        <v>1</v>
      </c>
      <c r="S2" s="38" t="inlineStr">
        <is>
          <t>Краснодарский край</t>
        </is>
      </c>
      <c r="T2" s="38" t="inlineStr">
        <is>
          <t>Здравствуйте! Искал в 2ГИС кровельные компании в Краснодаре и наткнулся на вас: отзывы хорошие, а сайта нет.
Могу за вечер собрать для «Комфорт сервис» сайт и показать. Платить не нужно, пока не понравится. Собрать?</t>
        </is>
      </c>
      <c r="U2" s="38">
        <f>B2&amp;IF(D2&lt;&gt;""," · "&amp;D2,"")&amp;IF(F2&lt;&gt;"",CHAR(10)&amp;F2,"")</f>
        <v/>
      </c>
      <c r="V2" s="38">
        <f>IF(OR(F2="просрочено",F2="сегодня",F2="укажи дату",LEFT(F2,6)="молчит"),1,0)</f>
        <v/>
      </c>
    </row>
    <row r="3" ht="24" customHeight="1">
      <c r="A3" s="38" t="n">
        <v>2</v>
      </c>
      <c r="B3" s="32" t="inlineStr">
        <is>
          <t>Мир кровли</t>
        </is>
      </c>
      <c r="C3" s="49" t="inlineStr">
        <is>
          <t>Очередь</t>
        </is>
      </c>
      <c r="D3" s="49" t="n"/>
      <c r="E3" s="50" t="n"/>
      <c r="F3" s="51">
        <f>IF(OR(C3="",C3="Очередь",C3="Клиент",C3="Отказ",C3="Не писать"),"",IF(E3="",IF(AND(C3="Отправлено",I3&lt;&gt;"",TODAY()-INT(I3)&gt;=3),"молчит "&amp;(TODAY()-INT(I3))&amp;" дн.",IF(OR(C3="Перезвонить",C3="Созвон"),"укажи дату","")),IF(INT(E3)&lt;TODAY(),"просрочено",IF(INT(E3)=TODAY(),"сегодня",IF(INT(E3)=TODAY()+1,"завтра",TEXT(E3,"dd.mm"))))))</f>
        <v/>
      </c>
      <c r="G3" s="52" t="n"/>
      <c r="H3" s="36" t="inlineStr">
        <is>
          <t>79184429434</t>
        </is>
      </c>
      <c r="I3" s="53" t="n"/>
      <c r="J3" s="38">
        <f>IFERROR(MATCH(C3,'Справка'!$A$12:$A$21,0),99)</f>
        <v/>
      </c>
      <c r="K3" s="39">
        <f>HYPERLINK("https://wa.me/"&amp;H3&amp;"?text="&amp;ENCODEURL(T3),"✉ Написать")</f>
        <v/>
      </c>
      <c r="L3" s="39">
        <f>HYPERLINK("https://wa.me/"&amp;H3,"Открыть чат")</f>
        <v/>
      </c>
      <c r="M3" s="38" t="inlineStr">
        <is>
          <t>Краснодар</t>
        </is>
      </c>
      <c r="N3" s="38" t="n">
        <v>5</v>
      </c>
      <c r="O3" s="38" t="n">
        <v>20</v>
      </c>
      <c r="P3" s="38" t="n"/>
      <c r="Q3" s="38" t="inlineStr">
        <is>
          <t>без сайта</t>
        </is>
      </c>
      <c r="R3" s="38" t="n">
        <v>1</v>
      </c>
      <c r="S3" s="38" t="inlineStr">
        <is>
          <t>Краснодарский край</t>
        </is>
      </c>
      <c r="T3" s="38" t="inlineStr">
        <is>
          <t>Здравствуйте! Смотрел в 2ГИС, кто делает кровлю в Краснодаре. У «Мир кровли» хорошие отзывы, но сайта в карточке я не нашёл.
Готов за вечер собрать сайт для «Мир кровли» и показать вам. Денег вперёд не беру. Собрать?</t>
        </is>
      </c>
      <c r="U3" s="38">
        <f>B3&amp;IF(D3&lt;&gt;""," · "&amp;D3,"")&amp;IF(F3&lt;&gt;"",CHAR(10)&amp;F3,"")</f>
        <v/>
      </c>
      <c r="V3" s="38">
        <f>IF(OR(F3="просрочено",F3="сегодня",F3="укажи дату",LEFT(F3,6)="молчит"),1,0)</f>
        <v/>
      </c>
    </row>
    <row r="4" ht="24" customHeight="1">
      <c r="A4" s="38" t="n">
        <v>3</v>
      </c>
      <c r="B4" s="32" t="inlineStr">
        <is>
          <t>Дом под ключ</t>
        </is>
      </c>
      <c r="C4" s="49" t="inlineStr">
        <is>
          <t>Очередь</t>
        </is>
      </c>
      <c r="D4" s="49" t="n"/>
      <c r="E4" s="50" t="n"/>
      <c r="F4" s="51">
        <f>IF(OR(C4="",C4="Очередь",C4="Клиент",C4="Отказ",C4="Не писать"),"",IF(E4="",IF(AND(C4="Отправлено",I4&lt;&gt;"",TODAY()-INT(I4)&gt;=3),"молчит "&amp;(TODAY()-INT(I4))&amp;" дн.",IF(OR(C4="Перезвонить",C4="Созвон"),"укажи дату","")),IF(INT(E4)&lt;TODAY(),"просрочено",IF(INT(E4)=TODAY(),"сегодня",IF(INT(E4)=TODAY()+1,"завтра",TEXT(E4,"dd.mm"))))))</f>
        <v/>
      </c>
      <c r="G4" s="52" t="n"/>
      <c r="H4" s="36" t="inlineStr">
        <is>
          <t>79180702263</t>
        </is>
      </c>
      <c r="I4" s="53" t="n"/>
      <c r="J4" s="38">
        <f>IFERROR(MATCH(C4,'Справка'!$A$12:$A$21,0),99)</f>
        <v/>
      </c>
      <c r="K4" s="39">
        <f>HYPERLINK("https://wa.me/"&amp;H4&amp;"?text="&amp;ENCODEURL(T4),"✉ Написать")</f>
        <v/>
      </c>
      <c r="L4" s="39">
        <f>HYPERLINK("https://wa.me/"&amp;H4,"Открыть чат")</f>
        <v/>
      </c>
      <c r="M4" s="38" t="inlineStr">
        <is>
          <t>Краснодар</t>
        </is>
      </c>
      <c r="N4" s="38" t="n">
        <v>4.9</v>
      </c>
      <c r="O4" s="38" t="n">
        <v>9</v>
      </c>
      <c r="P4" s="38" t="n"/>
      <c r="Q4" s="38" t="inlineStr">
        <is>
          <t>без сайта</t>
        </is>
      </c>
      <c r="R4" s="38" t="n">
        <v>1</v>
      </c>
      <c r="S4" s="38" t="inlineStr">
        <is>
          <t>Краснодарский край</t>
        </is>
      </c>
      <c r="T4" s="38" t="inlineStr">
        <is>
          <t>Здравствуйте! Нашёл вас в 2ГИС среди кровельных компаний в Краснодаре: оценки высокие, а сайта нет.
Могу собрать сайт под «Дом под ключ» за вечер и показать. Не понравится — ничего не должны. Сделать?</t>
        </is>
      </c>
      <c r="U4" s="38">
        <f>B4&amp;IF(D4&lt;&gt;""," · "&amp;D4,"")&amp;IF(F4&lt;&gt;"",CHAR(10)&amp;F4,"")</f>
        <v/>
      </c>
      <c r="V4" s="38">
        <f>IF(OR(F4="просрочено",F4="сегодня",F4="укажи дату",LEFT(F4,6)="молчит"),1,0)</f>
        <v/>
      </c>
    </row>
    <row r="5" ht="24" customHeight="1">
      <c r="A5" s="38" t="n">
        <v>4</v>
      </c>
      <c r="B5" s="32" t="inlineStr">
        <is>
          <t>Ван</t>
        </is>
      </c>
      <c r="C5" s="49" t="inlineStr">
        <is>
          <t>Созвон</t>
        </is>
      </c>
      <c r="D5" s="49" t="n"/>
      <c r="E5" s="50" t="n">
        <v>46301.70833333334</v>
      </c>
      <c r="F5" s="51">
        <f>IF(OR(C5="",C5="Очередь",C5="Клиент",C5="Отказ",C5="Не писать"),"",IF(E5="",IF(AND(C5="Отправлено",I5&lt;&gt;"",TODAY()-INT(I5)&gt;=3),"молчит "&amp;(TODAY()-INT(I5))&amp;" дн.",IF(OR(C5="Перезвонить",C5="Созвон"),"укажи дату","")),IF(INT(E5)&lt;TODAY(),"просрочено",IF(INT(E5)=TODAY(),"сегодня",IF(INT(E5)=TODAY()+1,"завтра",TEXT(E5,"dd.mm"))))))</f>
        <v/>
      </c>
      <c r="G5" s="52" t="inlineStr">
        <is>
          <t>сделал сайт + надо подготовить презу</t>
        </is>
      </c>
      <c r="H5" s="36" t="inlineStr">
        <is>
          <t>79180999091</t>
        </is>
      </c>
      <c r="I5" s="53" t="n">
        <v>46301</v>
      </c>
      <c r="J5" s="38">
        <f>IFERROR(MATCH(C5,'Справка'!$A$12:$A$21,0),99)</f>
        <v/>
      </c>
      <c r="K5" s="39">
        <f>HYPERLINK("https://wa.me/"&amp;H5&amp;"?text="&amp;ENCODEURL(T5),"✉ Написать")</f>
        <v/>
      </c>
      <c r="L5" s="39">
        <f>HYPERLINK("https://wa.me/"&amp;H5,"Открыть чат")</f>
        <v/>
      </c>
      <c r="M5" s="38" t="inlineStr">
        <is>
          <t>Краснодар</t>
        </is>
      </c>
      <c r="N5" s="38" t="n">
        <v>5</v>
      </c>
      <c r="O5" s="38" t="n">
        <v>7</v>
      </c>
      <c r="P5" s="38" t="n"/>
      <c r="Q5" s="38" t="inlineStr">
        <is>
          <t>без сайта</t>
        </is>
      </c>
      <c r="R5" s="38" t="n">
        <v>1</v>
      </c>
      <c r="S5" s="38" t="inlineStr">
        <is>
          <t>Краснодарский край</t>
        </is>
      </c>
      <c r="T5" s="38" t="inlineStr">
        <is>
          <t>Здравствуйте! Искал в 2ГИС кровельные компании в Краснодаре и наткнулся на вас: отзывы хорошие, а сайта нет.
Могу за вечер собрать для «Ван» сайт и показать. Платить не нужно, пока не понравится. Собрать?</t>
        </is>
      </c>
      <c r="U5" s="38">
        <f>B5&amp;IF(D5&lt;&gt;""," · "&amp;D5,"")&amp;IF(F5&lt;&gt;"",CHAR(10)&amp;F5,"")</f>
        <v/>
      </c>
      <c r="V5" s="38">
        <f>IF(OR(F5="просрочено",F5="сегодня",F5="укажи дату",LEFT(F5,6)="молчит"),1,0)</f>
        <v/>
      </c>
    </row>
    <row r="6" ht="24" customHeight="1">
      <c r="A6" s="38" t="n">
        <v>5</v>
      </c>
      <c r="B6" s="32" t="inlineStr">
        <is>
          <t>Вентгазнадзор</t>
        </is>
      </c>
      <c r="C6" s="49" t="inlineStr">
        <is>
          <t>Очередь</t>
        </is>
      </c>
      <c r="D6" s="49" t="n"/>
      <c r="E6" s="50" t="n"/>
      <c r="F6" s="51">
        <f>IF(OR(C6="",C6="Очередь",C6="Клиент",C6="Отказ",C6="Не писать"),"",IF(E6="",IF(AND(C6="Отправлено",I6&lt;&gt;"",TODAY()-INT(I6)&gt;=3),"молчит "&amp;(TODAY()-INT(I6))&amp;" дн.",IF(OR(C6="Перезвонить",C6="Созвон"),"укажи дату","")),IF(INT(E6)&lt;TODAY(),"просрочено",IF(INT(E6)=TODAY(),"сегодня",IF(INT(E6)=TODAY()+1,"завтра",TEXT(E6,"dd.mm"))))))</f>
        <v/>
      </c>
      <c r="G6" s="52" t="n"/>
      <c r="H6" s="36" t="inlineStr">
        <is>
          <t>79528773239</t>
        </is>
      </c>
      <c r="I6" s="53" t="n"/>
      <c r="J6" s="38">
        <f>IFERROR(MATCH(C6,'Справка'!$A$12:$A$21,0),99)</f>
        <v/>
      </c>
      <c r="K6" s="39">
        <f>HYPERLINK("https://wa.me/"&amp;H6&amp;"?text="&amp;ENCODEURL(T6),"✉ Написать")</f>
        <v/>
      </c>
      <c r="L6" s="39">
        <f>HYPERLINK("https://wa.me/"&amp;H6,"Открыть чат")</f>
        <v/>
      </c>
      <c r="M6" s="38" t="inlineStr">
        <is>
          <t>Краснодар</t>
        </is>
      </c>
      <c r="N6" s="38" t="n">
        <v>3.7</v>
      </c>
      <c r="O6" s="38" t="n">
        <v>3</v>
      </c>
      <c r="P6" s="38" t="n"/>
      <c r="Q6" s="38" t="inlineStr">
        <is>
          <t>без сайта</t>
        </is>
      </c>
      <c r="R6" s="38" t="n">
        <v>1</v>
      </c>
      <c r="S6" s="38" t="inlineStr">
        <is>
          <t>Краснодарский край</t>
        </is>
      </c>
      <c r="T6" s="38" t="inlineStr">
        <is>
          <t>Здравствуйте! Смотрел в 2ГИС, кто делает кровлю в Краснодаре, и нашёл «Вентгазнадзор». Сайта в карточке нет.
Готов за вечер собрать сайт для «Вентгазнадзор» и показать вам. Денег вперёд не беру. Собрать?</t>
        </is>
      </c>
      <c r="U6" s="38">
        <f>B6&amp;IF(D6&lt;&gt;""," · "&amp;D6,"")&amp;IF(F6&lt;&gt;"",CHAR(10)&amp;F6,"")</f>
        <v/>
      </c>
      <c r="V6" s="38">
        <f>IF(OR(F6="просрочено",F6="сегодня",F6="укажи дату",LEFT(F6,6)="молчит"),1,0)</f>
        <v/>
      </c>
    </row>
    <row r="7" ht="24" customHeight="1">
      <c r="A7" s="38" t="n">
        <v>6</v>
      </c>
      <c r="B7" s="32" t="inlineStr">
        <is>
          <t>Первый дом</t>
        </is>
      </c>
      <c r="C7" s="49" t="inlineStr">
        <is>
          <t>Очередь</t>
        </is>
      </c>
      <c r="D7" s="49" t="n"/>
      <c r="E7" s="50" t="n"/>
      <c r="F7" s="51">
        <f>IF(OR(C7="",C7="Очередь",C7="Клиент",C7="Отказ",C7="Не писать"),"",IF(E7="",IF(AND(C7="Отправлено",I7&lt;&gt;"",TODAY()-INT(I7)&gt;=3),"молчит "&amp;(TODAY()-INT(I7))&amp;" дн.",IF(OR(C7="Перезвонить",C7="Созвон"),"укажи дату","")),IF(INT(E7)&lt;TODAY(),"просрочено",IF(INT(E7)=TODAY(),"сегодня",IF(INT(E7)=TODAY()+1,"завтра",TEXT(E7,"dd.mm"))))))</f>
        <v/>
      </c>
      <c r="G7" s="52" t="n"/>
      <c r="H7" s="36" t="inlineStr">
        <is>
          <t>79182121617</t>
        </is>
      </c>
      <c r="I7" s="53" t="n"/>
      <c r="J7" s="38">
        <f>IFERROR(MATCH(C7,'Справка'!$A$12:$A$21,0),99)</f>
        <v/>
      </c>
      <c r="K7" s="39">
        <f>HYPERLINK("https://wa.me/"&amp;H7&amp;"?text="&amp;ENCODEURL(T7),"✉ Написать")</f>
        <v/>
      </c>
      <c r="L7" s="39">
        <f>HYPERLINK("https://wa.me/"&amp;H7,"Открыть чат")</f>
        <v/>
      </c>
      <c r="M7" s="38" t="inlineStr">
        <is>
          <t>Краснодар</t>
        </is>
      </c>
      <c r="N7" s="38" t="n">
        <v>5</v>
      </c>
      <c r="O7" s="38" t="n">
        <v>1</v>
      </c>
      <c r="P7" s="38" t="n"/>
      <c r="Q7" s="38" t="inlineStr">
        <is>
          <t>без сайта</t>
        </is>
      </c>
      <c r="R7" s="38" t="n">
        <v>1</v>
      </c>
      <c r="S7" s="38" t="inlineStr">
        <is>
          <t>Краснодарский край</t>
        </is>
      </c>
      <c r="T7" s="38" t="inlineStr">
        <is>
          <t>Здравствуйте! Нашёл вас в 2ГИС среди кровельных компаний в Краснодаре, а сайта в карточке не нашёл.
Могу собрать сайт под «Первый дом» за вечер и показать. Не понравится — ничего не должны. Сделать?</t>
        </is>
      </c>
      <c r="U7" s="38">
        <f>B7&amp;IF(D7&lt;&gt;""," · "&amp;D7,"")&amp;IF(F7&lt;&gt;"",CHAR(10)&amp;F7,"")</f>
        <v/>
      </c>
      <c r="V7" s="38">
        <f>IF(OR(F7="просрочено",F7="сегодня",F7="укажи дату",LEFT(F7,6)="молчит"),1,0)</f>
        <v/>
      </c>
    </row>
    <row r="8" ht="24" customHeight="1">
      <c r="A8" s="38" t="n">
        <v>7</v>
      </c>
      <c r="B8" s="32" t="inlineStr">
        <is>
          <t>Кровля для вас</t>
        </is>
      </c>
      <c r="C8" s="49" t="inlineStr">
        <is>
          <t>Очередь</t>
        </is>
      </c>
      <c r="D8" s="49" t="n"/>
      <c r="E8" s="50" t="n"/>
      <c r="F8" s="51">
        <f>IF(OR(C8="",C8="Очередь",C8="Клиент",C8="Отказ",C8="Не писать"),"",IF(E8="",IF(AND(C8="Отправлено",I8&lt;&gt;"",TODAY()-INT(I8)&gt;=3),"молчит "&amp;(TODAY()-INT(I8))&amp;" дн.",IF(OR(C8="Перезвонить",C8="Созвон"),"укажи дату","")),IF(INT(E8)&lt;TODAY(),"просрочено",IF(INT(E8)=TODAY(),"сегодня",IF(INT(E8)=TODAY()+1,"завтра",TEXT(E8,"dd.mm"))))))</f>
        <v/>
      </c>
      <c r="G8" s="52" t="n"/>
      <c r="H8" s="36" t="inlineStr">
        <is>
          <t>79604743388</t>
        </is>
      </c>
      <c r="I8" s="53" t="n"/>
      <c r="J8" s="38">
        <f>IFERROR(MATCH(C8,'Справка'!$A$12:$A$21,0),99)</f>
        <v/>
      </c>
      <c r="K8" s="39">
        <f>HYPERLINK("https://wa.me/"&amp;H8&amp;"?text="&amp;ENCODEURL(T8),"✉ Написать")</f>
        <v/>
      </c>
      <c r="L8" s="39">
        <f>HYPERLINK("https://wa.me/"&amp;H8,"Открыть чат")</f>
        <v/>
      </c>
      <c r="M8" s="38" t="inlineStr">
        <is>
          <t>Краснодар</t>
        </is>
      </c>
      <c r="N8" s="38" t="n">
        <v>1</v>
      </c>
      <c r="O8" s="38" t="n">
        <v>1</v>
      </c>
      <c r="P8" s="38" t="n"/>
      <c r="Q8" s="38" t="inlineStr">
        <is>
          <t>без сайта</t>
        </is>
      </c>
      <c r="R8" s="38" t="n">
        <v>1</v>
      </c>
      <c r="S8" s="38" t="inlineStr">
        <is>
          <t>Краснодарский край</t>
        </is>
      </c>
      <c r="T8" s="38" t="inlineStr">
        <is>
          <t>Здравствуйте! Искал в 2ГИС кровельные компании в Краснодаре и наткнулся на вас. Сайта в карточке не увидел.
Могу за вечер собрать для «Кровля для вас» сайт и показать. Платить не нужно, пока не понравится. Собрать?</t>
        </is>
      </c>
      <c r="U8" s="38">
        <f>B8&amp;IF(D8&lt;&gt;""," · "&amp;D8,"")&amp;IF(F8&lt;&gt;"",CHAR(10)&amp;F8,"")</f>
        <v/>
      </c>
      <c r="V8" s="38">
        <f>IF(OR(F8="просрочено",F8="сегодня",F8="укажи дату",LEFT(F8,6)="молчит"),1,0)</f>
        <v/>
      </c>
    </row>
    <row r="9" ht="24" customHeight="1">
      <c r="A9" s="38" t="n">
        <v>8</v>
      </c>
      <c r="B9" s="32" t="inlineStr">
        <is>
          <t>Монтажная компания</t>
        </is>
      </c>
      <c r="C9" s="49" t="inlineStr">
        <is>
          <t>Очередь</t>
        </is>
      </c>
      <c r="D9" s="49" t="n"/>
      <c r="E9" s="50" t="n"/>
      <c r="F9" s="51">
        <f>IF(OR(C9="",C9="Очередь",C9="Клиент",C9="Отказ",C9="Не писать"),"",IF(E9="",IF(AND(C9="Отправлено",I9&lt;&gt;"",TODAY()-INT(I9)&gt;=3),"молчит "&amp;(TODAY()-INT(I9))&amp;" дн.",IF(OR(C9="Перезвонить",C9="Созвон"),"укажи дату","")),IF(INT(E9)&lt;TODAY(),"просрочено",IF(INT(E9)=TODAY(),"сегодня",IF(INT(E9)=TODAY()+1,"завтра",TEXT(E9,"dd.mm"))))))</f>
        <v/>
      </c>
      <c r="G9" s="52" t="n"/>
      <c r="H9" s="36" t="inlineStr">
        <is>
          <t>79531181340</t>
        </is>
      </c>
      <c r="I9" s="53" t="n"/>
      <c r="J9" s="38">
        <f>IFERROR(MATCH(C9,'Справка'!$A$12:$A$21,0),99)</f>
        <v/>
      </c>
      <c r="K9" s="39">
        <f>HYPERLINK("https://wa.me/"&amp;H9&amp;"?text="&amp;ENCODEURL(T9),"✉ Написать")</f>
        <v/>
      </c>
      <c r="L9" s="39">
        <f>HYPERLINK("https://wa.me/"&amp;H9,"Открыть чат")</f>
        <v/>
      </c>
      <c r="M9" s="38" t="inlineStr">
        <is>
          <t>Краснодар</t>
        </is>
      </c>
      <c r="N9" s="38" t="n"/>
      <c r="O9" s="38" t="n"/>
      <c r="P9" s="38" t="n"/>
      <c r="Q9" s="38" t="inlineStr">
        <is>
          <t>без сайта</t>
        </is>
      </c>
      <c r="R9" s="38" t="n">
        <v>1</v>
      </c>
      <c r="S9" s="38" t="inlineStr">
        <is>
          <t>Краснодарский край</t>
        </is>
      </c>
      <c r="T9" s="38" t="inlineStr">
        <is>
          <t>Здравствуйте! Смотрел в 2ГИС, кто делает кровлю в Краснодаре, и нашёл «Монтажная компания». Сайта в карточке нет.
Готов за вечер собрать сайт для «Монтажная компания» и показать вам. Денег вперёд не беру. Собрать?</t>
        </is>
      </c>
      <c r="U9" s="38">
        <f>B9&amp;IF(D9&lt;&gt;""," · "&amp;D9,"")&amp;IF(F9&lt;&gt;"",CHAR(10)&amp;F9,"")</f>
        <v/>
      </c>
      <c r="V9" s="38">
        <f>IF(OR(F9="просрочено",F9="сегодня",F9="укажи дату",LEFT(F9,6)="молчит"),1,0)</f>
        <v/>
      </c>
    </row>
    <row r="10" ht="24" customHeight="1">
      <c r="A10" s="38" t="n">
        <v>9</v>
      </c>
      <c r="B10" s="32" t="inlineStr">
        <is>
          <t>Ремонт по карману</t>
        </is>
      </c>
      <c r="C10" s="49" t="inlineStr">
        <is>
          <t>Очередь</t>
        </is>
      </c>
      <c r="D10" s="49" t="n"/>
      <c r="E10" s="50" t="n"/>
      <c r="F10" s="51">
        <f>IF(OR(C10="",C10="Очередь",C10="Клиент",C10="Отказ",C10="Не писать"),"",IF(E10="",IF(AND(C10="Отправлено",I10&lt;&gt;"",TODAY()-INT(I10)&gt;=3),"молчит "&amp;(TODAY()-INT(I10))&amp;" дн.",IF(OR(C10="Перезвонить",C10="Созвон"),"укажи дату","")),IF(INT(E10)&lt;TODAY(),"просрочено",IF(INT(E10)=TODAY(),"сегодня",IF(INT(E10)=TODAY()+1,"завтра",TEXT(E10,"dd.mm"))))))</f>
        <v/>
      </c>
      <c r="G10" s="52" t="n"/>
      <c r="H10" s="36" t="inlineStr">
        <is>
          <t>79885222323</t>
        </is>
      </c>
      <c r="I10" s="53" t="n"/>
      <c r="J10" s="38">
        <f>IFERROR(MATCH(C10,'Справка'!$A$12:$A$21,0),99)</f>
        <v/>
      </c>
      <c r="K10" s="39">
        <f>HYPERLINK("https://wa.me/"&amp;H10&amp;"?text="&amp;ENCODEURL(T10),"✉ Написать")</f>
        <v/>
      </c>
      <c r="L10" s="39">
        <f>HYPERLINK("https://wa.me/"&amp;H10,"Открыть чат")</f>
        <v/>
      </c>
      <c r="M10" s="38" t="inlineStr">
        <is>
          <t>Краснодар</t>
        </is>
      </c>
      <c r="N10" s="38" t="n"/>
      <c r="O10" s="38" t="n"/>
      <c r="P10" s="38" t="n"/>
      <c r="Q10" s="38" t="inlineStr">
        <is>
          <t>без сайта</t>
        </is>
      </c>
      <c r="R10" s="38" t="n">
        <v>1</v>
      </c>
      <c r="S10" s="38" t="inlineStr">
        <is>
          <t>Краснодарский край</t>
        </is>
      </c>
      <c r="T10" s="38" t="inlineStr">
        <is>
          <t>Здравствуйте! Нашёл вас в 2ГИС среди кровельных компаний в Краснодаре, а сайта в карточке не нашёл.
Могу собрать сайт под «Ремонт по карману» за вечер и показать. Не понравится — ничего не должны. Сделать?</t>
        </is>
      </c>
      <c r="U10" s="38">
        <f>B10&amp;IF(D10&lt;&gt;""," · "&amp;D10,"")&amp;IF(F10&lt;&gt;"",CHAR(10)&amp;F10,"")</f>
        <v/>
      </c>
      <c r="V10" s="38">
        <f>IF(OR(F10="просрочено",F10="сегодня",F10="укажи дату",LEFT(F10,6)="молчит"),1,0)</f>
        <v/>
      </c>
    </row>
    <row r="11" ht="24" customHeight="1">
      <c r="A11" s="38" t="n">
        <v>10</v>
      </c>
      <c r="B11" s="32" t="inlineStr">
        <is>
          <t>Кс</t>
        </is>
      </c>
      <c r="C11" s="49" t="inlineStr">
        <is>
          <t>Очередь</t>
        </is>
      </c>
      <c r="D11" s="49" t="n"/>
      <c r="E11" s="50" t="n"/>
      <c r="F11" s="51">
        <f>IF(OR(C11="",C11="Очередь",C11="Клиент",C11="Отказ",C11="Не писать"),"",IF(E11="",IF(AND(C11="Отправлено",I11&lt;&gt;"",TODAY()-INT(I11)&gt;=3),"молчит "&amp;(TODAY()-INT(I11))&amp;" дн.",IF(OR(C11="Перезвонить",C11="Созвон"),"укажи дату","")),IF(INT(E11)&lt;TODAY(),"просрочено",IF(INT(E11)=TODAY(),"сегодня",IF(INT(E11)=TODAY()+1,"завтра",TEXT(E11,"dd.mm"))))))</f>
        <v/>
      </c>
      <c r="G11" s="52" t="n"/>
      <c r="H11" s="36" t="inlineStr">
        <is>
          <t>79002450555</t>
        </is>
      </c>
      <c r="I11" s="53" t="n"/>
      <c r="J11" s="38">
        <f>IFERROR(MATCH(C11,'Справка'!$A$12:$A$21,0),99)</f>
        <v/>
      </c>
      <c r="K11" s="39">
        <f>HYPERLINK("https://wa.me/"&amp;H11&amp;"?text="&amp;ENCODEURL(T11),"✉ Написать")</f>
        <v/>
      </c>
      <c r="L11" s="39">
        <f>HYPERLINK("https://wa.me/"&amp;H11,"Открыть чат")</f>
        <v/>
      </c>
      <c r="M11" s="38" t="inlineStr">
        <is>
          <t>Краснодар</t>
        </is>
      </c>
      <c r="N11" s="38" t="n"/>
      <c r="O11" s="38" t="n"/>
      <c r="P11" s="38" t="n"/>
      <c r="Q11" s="38" t="inlineStr">
        <is>
          <t>без сайта</t>
        </is>
      </c>
      <c r="R11" s="38" t="n">
        <v>1</v>
      </c>
      <c r="S11" s="38" t="inlineStr">
        <is>
          <t>Краснодарский край</t>
        </is>
      </c>
      <c r="T11" s="38" t="inlineStr">
        <is>
          <t>Здравствуйте! Искал в 2ГИС кровельные компании в Краснодаре и наткнулся на вас. Сайта в карточке не увидел.
Могу за вечер собрать для «Кс» сайт и показать. Платить не нужно, пока не понравится. Собрать?</t>
        </is>
      </c>
      <c r="U11" s="38">
        <f>B11&amp;IF(D11&lt;&gt;""," · "&amp;D11,"")&amp;IF(F11&lt;&gt;"",CHAR(10)&amp;F11,"")</f>
        <v/>
      </c>
      <c r="V11" s="38">
        <f>IF(OR(F11="просрочено",F11="сегодня",F11="укажи дату",LEFT(F11,6)="молчит"),1,0)</f>
        <v/>
      </c>
    </row>
    <row r="12" ht="24" customHeight="1">
      <c r="A12" s="38" t="n">
        <v>11</v>
      </c>
      <c r="B12" s="32" t="inlineStr">
        <is>
          <t>Автономия</t>
        </is>
      </c>
      <c r="C12" s="49" t="inlineStr">
        <is>
          <t>Очередь</t>
        </is>
      </c>
      <c r="D12" s="49" t="n"/>
      <c r="E12" s="50" t="n"/>
      <c r="F12" s="51">
        <f>IF(OR(C12="",C12="Очередь",C12="Клиент",C12="Отказ",C12="Не писать"),"",IF(E12="",IF(AND(C12="Отправлено",I12&lt;&gt;"",TODAY()-INT(I12)&gt;=3),"молчит "&amp;(TODAY()-INT(I12))&amp;" дн.",IF(OR(C12="Перезвонить",C12="Созвон"),"укажи дату","")),IF(INT(E12)&lt;TODAY(),"просрочено",IF(INT(E12)=TODAY(),"сегодня",IF(INT(E12)=TODAY()+1,"завтра",TEXT(E12,"dd.mm"))))))</f>
        <v/>
      </c>
      <c r="G12" s="52" t="n"/>
      <c r="H12" s="36" t="inlineStr">
        <is>
          <t>79284153444</t>
        </is>
      </c>
      <c r="I12" s="53" t="n"/>
      <c r="J12" s="38">
        <f>IFERROR(MATCH(C12,'Справка'!$A$12:$A$21,0),99)</f>
        <v/>
      </c>
      <c r="K12" s="39">
        <f>HYPERLINK("https://wa.me/"&amp;H12&amp;"?text="&amp;ENCODEURL(T12),"✉ Написать")</f>
        <v/>
      </c>
      <c r="L12" s="39">
        <f>HYPERLINK("https://wa.me/"&amp;H12,"Открыть чат")</f>
        <v/>
      </c>
      <c r="M12" s="38" t="inlineStr">
        <is>
          <t>Краснодар</t>
        </is>
      </c>
      <c r="N12" s="38" t="n"/>
      <c r="O12" s="38" t="n"/>
      <c r="P12" s="38" t="n"/>
      <c r="Q12" s="38" t="inlineStr">
        <is>
          <t>без сайта</t>
        </is>
      </c>
      <c r="R12" s="38" t="n">
        <v>1</v>
      </c>
      <c r="S12" s="38" t="inlineStr">
        <is>
          <t>Краснодарский край</t>
        </is>
      </c>
      <c r="T12" s="38" t="inlineStr">
        <is>
          <t>Здравствуйте! Смотрел в 2ГИС, кто делает кровлю в Краснодаре, и нашёл «Автономия». Сайта в карточке нет.
Готов за вечер собрать сайт для «Автономия» и показать вам. Денег вперёд не беру. Собрать?</t>
        </is>
      </c>
      <c r="U12" s="38">
        <f>B12&amp;IF(D12&lt;&gt;""," · "&amp;D12,"")&amp;IF(F12&lt;&gt;"",CHAR(10)&amp;F12,"")</f>
        <v/>
      </c>
      <c r="V12" s="38">
        <f>IF(OR(F12="просрочено",F12="сегодня",F12="укажи дату",LEFT(F12,6)="молчит"),1,0)</f>
        <v/>
      </c>
    </row>
    <row r="13" ht="24" customHeight="1">
      <c r="A13" s="38" t="n">
        <v>12</v>
      </c>
      <c r="B13" s="32" t="inlineStr">
        <is>
          <t>Жестяной цех</t>
        </is>
      </c>
      <c r="C13" s="49" t="inlineStr">
        <is>
          <t>Очередь</t>
        </is>
      </c>
      <c r="D13" s="49" t="n"/>
      <c r="E13" s="50" t="n"/>
      <c r="F13" s="51">
        <f>IF(OR(C13="",C13="Очередь",C13="Клиент",C13="Отказ",C13="Не писать"),"",IF(E13="",IF(AND(C13="Отправлено",I13&lt;&gt;"",TODAY()-INT(I13)&gt;=3),"молчит "&amp;(TODAY()-INT(I13))&amp;" дн.",IF(OR(C13="Перезвонить",C13="Созвон"),"укажи дату","")),IF(INT(E13)&lt;TODAY(),"просрочено",IF(INT(E13)=TODAY(),"сегодня",IF(INT(E13)=TODAY()+1,"завтра",TEXT(E13,"dd.mm"))))))</f>
        <v/>
      </c>
      <c r="G13" s="52" t="n"/>
      <c r="H13" s="36" t="inlineStr">
        <is>
          <t>79034495732</t>
        </is>
      </c>
      <c r="I13" s="53" t="n"/>
      <c r="J13" s="38">
        <f>IFERROR(MATCH(C13,'Справка'!$A$12:$A$21,0),99)</f>
        <v/>
      </c>
      <c r="K13" s="39">
        <f>HYPERLINK("https://wa.me/"&amp;H13&amp;"?text="&amp;ENCODEURL(T13),"✉ Написать")</f>
        <v/>
      </c>
      <c r="L13" s="39">
        <f>HYPERLINK("https://wa.me/"&amp;H13,"Открыть чат")</f>
        <v/>
      </c>
      <c r="M13" s="38" t="inlineStr">
        <is>
          <t>пгт Яблоновский</t>
        </is>
      </c>
      <c r="N13" s="38" t="n"/>
      <c r="O13" s="38" t="n"/>
      <c r="P13" s="38" t="n"/>
      <c r="Q13" s="38" t="inlineStr">
        <is>
          <t>без сайта</t>
        </is>
      </c>
      <c r="R13" s="38" t="n">
        <v>1</v>
      </c>
      <c r="S13" s="38" t="inlineStr">
        <is>
          <t>Краснодарский край</t>
        </is>
      </c>
      <c r="T13" s="38" t="inlineStr">
        <is>
          <t>Здравствуйте! Нашёл вас в 2ГИС среди кровельных компаний в Яблоновском, а сайта в карточке не нашёл.
Могу собрать сайт под «Жестяной цех» за вечер и показать. Не понравится — ничего не должны. Сделать?</t>
        </is>
      </c>
      <c r="U13" s="38">
        <f>B13&amp;IF(D13&lt;&gt;""," · "&amp;D13,"")&amp;IF(F13&lt;&gt;"",CHAR(10)&amp;F13,"")</f>
        <v/>
      </c>
      <c r="V13" s="38">
        <f>IF(OR(F13="просрочено",F13="сегодня",F13="укажи дату",LEFT(F13,6)="молчит"),1,0)</f>
        <v/>
      </c>
    </row>
    <row r="14" ht="24" customHeight="1">
      <c r="A14" s="38" t="n">
        <v>13</v>
      </c>
      <c r="B14" s="32" t="inlineStr">
        <is>
          <t>Юнисила-Юг</t>
        </is>
      </c>
      <c r="C14" s="49" t="inlineStr">
        <is>
          <t>Очередь</t>
        </is>
      </c>
      <c r="D14" s="49" t="n"/>
      <c r="E14" s="50" t="n"/>
      <c r="F14" s="51">
        <f>IF(OR(C14="",C14="Очередь",C14="Клиент",C14="Отказ",C14="Не писать"),"",IF(E14="",IF(AND(C14="Отправлено",I14&lt;&gt;"",TODAY()-INT(I14)&gt;=3),"молчит "&amp;(TODAY()-INT(I14))&amp;" дн.",IF(OR(C14="Перезвонить",C14="Созвон"),"укажи дату","")),IF(INT(E14)&lt;TODAY(),"просрочено",IF(INT(E14)=TODAY(),"сегодня",IF(INT(E14)=TODAY()+1,"завтра",TEXT(E14,"dd.mm"))))))</f>
        <v/>
      </c>
      <c r="G14" s="52" t="n"/>
      <c r="H14" s="36" t="inlineStr">
        <is>
          <t>79898078818</t>
        </is>
      </c>
      <c r="I14" s="53" t="n"/>
      <c r="J14" s="38">
        <f>IFERROR(MATCH(C14,'Справка'!$A$12:$A$21,0),99)</f>
        <v/>
      </c>
      <c r="K14" s="39">
        <f>HYPERLINK("https://wa.me/"&amp;H14&amp;"?text="&amp;ENCODEURL(T14),"✉ Написать")</f>
        <v/>
      </c>
      <c r="L14" s="39">
        <f>HYPERLINK("https://wa.me/"&amp;H14,"Открыть чат")</f>
        <v/>
      </c>
      <c r="M14" s="38" t="inlineStr">
        <is>
          <t>Краснодар</t>
        </is>
      </c>
      <c r="N14" s="38" t="n"/>
      <c r="O14" s="38" t="n"/>
      <c r="P14" s="38" t="n"/>
      <c r="Q14" s="38" t="inlineStr">
        <is>
          <t>без сайта</t>
        </is>
      </c>
      <c r="R14" s="38" t="n">
        <v>1</v>
      </c>
      <c r="S14" s="38" t="inlineStr">
        <is>
          <t>Краснодарский край</t>
        </is>
      </c>
      <c r="T14" s="38" t="inlineStr">
        <is>
          <t>Здравствуйте! Искал в 2ГИС кровельные компании в Краснодаре и наткнулся на вас. Сайта в карточке не увидел.
Могу за вечер собрать для «Юнисила-Юг» сайт и показать. Платить не нужно, пока не понравится. Собрать?</t>
        </is>
      </c>
      <c r="U14" s="38">
        <f>B14&amp;IF(D14&lt;&gt;""," · "&amp;D14,"")&amp;IF(F14&lt;&gt;"",CHAR(10)&amp;F14,"")</f>
        <v/>
      </c>
      <c r="V14" s="38">
        <f>IF(OR(F14="просрочено",F14="сегодня",F14="укажи дату",LEFT(F14,6)="молчит"),1,0)</f>
        <v/>
      </c>
    </row>
    <row r="15" ht="24" customHeight="1">
      <c r="A15" s="38" t="n">
        <v>14</v>
      </c>
      <c r="B15" s="32" t="inlineStr">
        <is>
          <t>Кровмонтажстрой</t>
        </is>
      </c>
      <c r="C15" s="49" t="inlineStr">
        <is>
          <t>Очередь</t>
        </is>
      </c>
      <c r="D15" s="49" t="n"/>
      <c r="E15" s="50" t="n"/>
      <c r="F15" s="51">
        <f>IF(OR(C15="",C15="Очередь",C15="Клиент",C15="Отказ",C15="Не писать"),"",IF(E15="",IF(AND(C15="Отправлено",I15&lt;&gt;"",TODAY()-INT(I15)&gt;=3),"молчит "&amp;(TODAY()-INT(I15))&amp;" дн.",IF(OR(C15="Перезвонить",C15="Созвон"),"укажи дату","")),IF(INT(E15)&lt;TODAY(),"просрочено",IF(INT(E15)=TODAY(),"сегодня",IF(INT(E15)=TODAY()+1,"завтра",TEXT(E15,"dd.mm"))))))</f>
        <v/>
      </c>
      <c r="G15" s="52" t="n"/>
      <c r="H15" s="36" t="inlineStr">
        <is>
          <t>79298320555</t>
        </is>
      </c>
      <c r="I15" s="53" t="n"/>
      <c r="J15" s="38">
        <f>IFERROR(MATCH(C15,'Справка'!$A$12:$A$21,0),99)</f>
        <v/>
      </c>
      <c r="K15" s="39">
        <f>HYPERLINK("https://wa.me/"&amp;H15&amp;"?text="&amp;ENCODEURL(T15),"✉ Написать")</f>
        <v/>
      </c>
      <c r="L15" s="39">
        <f>HYPERLINK("https://wa.me/"&amp;H15,"Открыть чат")</f>
        <v/>
      </c>
      <c r="M15" s="38" t="inlineStr">
        <is>
          <t>Краснодар</t>
        </is>
      </c>
      <c r="N15" s="38" t="n"/>
      <c r="O15" s="38" t="n"/>
      <c r="P15" s="38" t="n"/>
      <c r="Q15" s="38" t="inlineStr">
        <is>
          <t>без сайта</t>
        </is>
      </c>
      <c r="R15" s="38" t="n">
        <v>1</v>
      </c>
      <c r="S15" s="38" t="inlineStr">
        <is>
          <t>Краснодарский край</t>
        </is>
      </c>
      <c r="T15" s="38" t="inlineStr">
        <is>
          <t>Здравствуйте! Смотрел в 2ГИС, кто делает кровлю в Краснодаре, и нашёл «Кровмонтажстрой». Сайта в карточке нет.
Готов за вечер собрать сайт для «Кровмонтажстрой» и показать вам. Денег вперёд не беру. Собрать?</t>
        </is>
      </c>
      <c r="U15" s="38">
        <f>B15&amp;IF(D15&lt;&gt;""," · "&amp;D15,"")&amp;IF(F15&lt;&gt;"",CHAR(10)&amp;F15,"")</f>
        <v/>
      </c>
      <c r="V15" s="38">
        <f>IF(OR(F15="просрочено",F15="сегодня",F15="укажи дату",LEFT(F15,6)="молчит"),1,0)</f>
        <v/>
      </c>
    </row>
    <row r="16" ht="24" customHeight="1">
      <c r="A16" s="38" t="n">
        <v>15</v>
      </c>
      <c r="B16" s="32" t="inlineStr">
        <is>
          <t>Строительно пожарная компания</t>
        </is>
      </c>
      <c r="C16" s="49" t="inlineStr">
        <is>
          <t>Очередь</t>
        </is>
      </c>
      <c r="D16" s="49" t="n"/>
      <c r="E16" s="50" t="n"/>
      <c r="F16" s="51">
        <f>IF(OR(C16="",C16="Очередь",C16="Клиент",C16="Отказ",C16="Не писать"),"",IF(E16="",IF(AND(C16="Отправлено",I16&lt;&gt;"",TODAY()-INT(I16)&gt;=3),"молчит "&amp;(TODAY()-INT(I16))&amp;" дн.",IF(OR(C16="Перезвонить",C16="Созвон"),"укажи дату","")),IF(INT(E16)&lt;TODAY(),"просрочено",IF(INT(E16)=TODAY(),"сегодня",IF(INT(E16)=TODAY()+1,"завтра",TEXT(E16,"dd.mm"))))))</f>
        <v/>
      </c>
      <c r="G16" s="52" t="n"/>
      <c r="H16" s="36" t="inlineStr">
        <is>
          <t>79180857658</t>
        </is>
      </c>
      <c r="I16" s="53" t="n"/>
      <c r="J16" s="38">
        <f>IFERROR(MATCH(C16,'Справка'!$A$12:$A$21,0),99)</f>
        <v/>
      </c>
      <c r="K16" s="39">
        <f>HYPERLINK("https://wa.me/"&amp;H16&amp;"?text="&amp;ENCODEURL(T16),"✉ Написать")</f>
        <v/>
      </c>
      <c r="L16" s="39">
        <f>HYPERLINK("https://wa.me/"&amp;H16,"Открыть чат")</f>
        <v/>
      </c>
      <c r="M16" s="38" t="inlineStr">
        <is>
          <t>Краснодар</t>
        </is>
      </c>
      <c r="N16" s="38" t="n"/>
      <c r="O16" s="38" t="n"/>
      <c r="P16" s="38" t="n"/>
      <c r="Q16" s="38" t="inlineStr">
        <is>
          <t>без сайта</t>
        </is>
      </c>
      <c r="R16" s="38" t="n">
        <v>1</v>
      </c>
      <c r="S16" s="38" t="inlineStr">
        <is>
          <t>Краснодарский край</t>
        </is>
      </c>
      <c r="T16" s="38" t="inlineStr">
        <is>
          <t>Здравствуйте! Нашёл вас в 2ГИС среди кровельных компаний в Краснодаре, а сайта в карточке не нашёл.
Могу собрать сайт под «Строительно пожарная компания» за вечер и показать. Не понравится — ничего не должны. Сделать?</t>
        </is>
      </c>
      <c r="U16" s="38">
        <f>B16&amp;IF(D16&lt;&gt;""," · "&amp;D16,"")&amp;IF(F16&lt;&gt;"",CHAR(10)&amp;F16,"")</f>
        <v/>
      </c>
      <c r="V16" s="38">
        <f>IF(OR(F16="просрочено",F16="сегодня",F16="укажи дату",LEFT(F16,6)="молчит"),1,0)</f>
        <v/>
      </c>
    </row>
    <row r="17" ht="24" customHeight="1">
      <c r="A17" s="38" t="n">
        <v>16</v>
      </c>
      <c r="B17" s="32" t="inlineStr">
        <is>
          <t>КаспийСтрой-Юг</t>
        </is>
      </c>
      <c r="C17" s="49" t="inlineStr">
        <is>
          <t>Очередь</t>
        </is>
      </c>
      <c r="D17" s="49" t="n"/>
      <c r="E17" s="50" t="n"/>
      <c r="F17" s="51">
        <f>IF(OR(C17="",C17="Очередь",C17="Клиент",C17="Отказ",C17="Не писать"),"",IF(E17="",IF(AND(C17="Отправлено",I17&lt;&gt;"",TODAY()-INT(I17)&gt;=3),"молчит "&amp;(TODAY()-INT(I17))&amp;" дн.",IF(OR(C17="Перезвонить",C17="Созвон"),"укажи дату","")),IF(INT(E17)&lt;TODAY(),"просрочено",IF(INT(E17)=TODAY(),"сегодня",IF(INT(E17)=TODAY()+1,"завтра",TEXT(E17,"dd.mm"))))))</f>
        <v/>
      </c>
      <c r="G17" s="52" t="n"/>
      <c r="H17" s="36" t="inlineStr">
        <is>
          <t>79885596464</t>
        </is>
      </c>
      <c r="I17" s="53" t="n"/>
      <c r="J17" s="38">
        <f>IFERROR(MATCH(C17,'Справка'!$A$12:$A$21,0),99)</f>
        <v/>
      </c>
      <c r="K17" s="39">
        <f>HYPERLINK("https://wa.me/"&amp;H17&amp;"?text="&amp;ENCODEURL(T17),"✉ Написать")</f>
        <v/>
      </c>
      <c r="L17" s="39">
        <f>HYPERLINK("https://wa.me/"&amp;H17,"Открыть чат")</f>
        <v/>
      </c>
      <c r="M17" s="38" t="inlineStr">
        <is>
          <t>Краснодар</t>
        </is>
      </c>
      <c r="N17" s="38" t="n"/>
      <c r="O17" s="38" t="n"/>
      <c r="P17" s="38" t="n"/>
      <c r="Q17" s="38" t="inlineStr">
        <is>
          <t>без сайта</t>
        </is>
      </c>
      <c r="R17" s="38" t="n">
        <v>1</v>
      </c>
      <c r="S17" s="38" t="inlineStr">
        <is>
          <t>Краснодарский край</t>
        </is>
      </c>
      <c r="T17" s="38" t="inlineStr">
        <is>
          <t>Здравствуйте! Искал в 2ГИС кровельные компании в Краснодаре и наткнулся на вас. Сайта в карточке не увидел.
Могу за вечер собрать для «КаспийСтрой-Юг» сайт и показать. Платить не нужно, пока не понравится. Собрать?</t>
        </is>
      </c>
      <c r="U17" s="38">
        <f>B17&amp;IF(D17&lt;&gt;""," · "&amp;D17,"")&amp;IF(F17&lt;&gt;"",CHAR(10)&amp;F17,"")</f>
        <v/>
      </c>
      <c r="V17" s="38">
        <f>IF(OR(F17="просрочено",F17="сегодня",F17="укажи дату",LEFT(F17,6)="молчит"),1,0)</f>
        <v/>
      </c>
    </row>
    <row r="18" ht="24" customHeight="1">
      <c r="A18" s="38" t="n">
        <v>17</v>
      </c>
      <c r="B18" s="32" t="inlineStr">
        <is>
          <t>Крепстрой</t>
        </is>
      </c>
      <c r="C18" s="49" t="inlineStr">
        <is>
          <t>Очередь</t>
        </is>
      </c>
      <c r="D18" s="49" t="n"/>
      <c r="E18" s="50" t="n"/>
      <c r="F18" s="51">
        <f>IF(OR(C18="",C18="Очередь",C18="Клиент",C18="Отказ",C18="Не писать"),"",IF(E18="",IF(AND(C18="Отправлено",I18&lt;&gt;"",TODAY()-INT(I18)&gt;=3),"молчит "&amp;(TODAY()-INT(I18))&amp;" дн.",IF(OR(C18="Перезвонить",C18="Созвон"),"укажи дату","")),IF(INT(E18)&lt;TODAY(),"просрочено",IF(INT(E18)=TODAY(),"сегодня",IF(INT(E18)=TODAY()+1,"завтра",TEXT(E18,"dd.mm"))))))</f>
        <v/>
      </c>
      <c r="G18" s="52" t="n"/>
      <c r="H18" s="36" t="inlineStr">
        <is>
          <t>79965322817</t>
        </is>
      </c>
      <c r="I18" s="53" t="n"/>
      <c r="J18" s="38">
        <f>IFERROR(MATCH(C18,'Справка'!$A$12:$A$21,0),99)</f>
        <v/>
      </c>
      <c r="K18" s="39">
        <f>HYPERLINK("https://wa.me/"&amp;H18&amp;"?text="&amp;ENCODEURL(T18),"✉ Написать")</f>
        <v/>
      </c>
      <c r="L18" s="39">
        <f>HYPERLINK("https://wa.me/"&amp;H18,"Открыть чат")</f>
        <v/>
      </c>
      <c r="M18" s="38" t="inlineStr">
        <is>
          <t>ст-ца Новотитаровская</t>
        </is>
      </c>
      <c r="N18" s="38" t="n"/>
      <c r="O18" s="38" t="n"/>
      <c r="P18" s="38" t="n"/>
      <c r="Q18" s="38" t="inlineStr">
        <is>
          <t>без сайта</t>
        </is>
      </c>
      <c r="R18" s="38" t="n">
        <v>1</v>
      </c>
      <c r="S18" s="38" t="inlineStr">
        <is>
          <t>Краснодарский край</t>
        </is>
      </c>
      <c r="T18" s="38" t="inlineStr">
        <is>
          <t>Здравствуйте! Смотрел в 2ГИС, кто делает кровлю в Новотитаровской, и нашёл «Крепстрой». Сайта в карточке нет.
Готов за вечер собрать сайт для «Крепстрой» и показать вам. Денег вперёд не беру. Собрать?</t>
        </is>
      </c>
      <c r="U18" s="38">
        <f>B18&amp;IF(D18&lt;&gt;""," · "&amp;D18,"")&amp;IF(F18&lt;&gt;"",CHAR(10)&amp;F18,"")</f>
        <v/>
      </c>
      <c r="V18" s="38">
        <f>IF(OR(F18="просрочено",F18="сегодня",F18="укажи дату",LEFT(F18,6)="молчит"),1,0)</f>
        <v/>
      </c>
    </row>
    <row r="19" ht="24" customHeight="1">
      <c r="A19" s="38" t="n">
        <v>18</v>
      </c>
      <c r="B19" s="32" t="inlineStr">
        <is>
          <t>Фараон</t>
        </is>
      </c>
      <c r="C19" s="49" t="inlineStr">
        <is>
          <t>Очередь</t>
        </is>
      </c>
      <c r="D19" s="49" t="n"/>
      <c r="E19" s="50" t="n"/>
      <c r="F19" s="51">
        <f>IF(OR(C19="",C19="Очередь",C19="Клиент",C19="Отказ",C19="Не писать"),"",IF(E19="",IF(AND(C19="Отправлено",I19&lt;&gt;"",TODAY()-INT(I19)&gt;=3),"молчит "&amp;(TODAY()-INT(I19))&amp;" дн.",IF(OR(C19="Перезвонить",C19="Созвон"),"укажи дату","")),IF(INT(E19)&lt;TODAY(),"просрочено",IF(INT(E19)=TODAY(),"сегодня",IF(INT(E19)=TODAY()+1,"завтра",TEXT(E19,"dd.mm"))))))</f>
        <v/>
      </c>
      <c r="G19" s="52" t="n"/>
      <c r="H19" s="36" t="inlineStr">
        <is>
          <t>79696603030</t>
        </is>
      </c>
      <c r="I19" s="53" t="n"/>
      <c r="J19" s="38">
        <f>IFERROR(MATCH(C19,'Справка'!$A$12:$A$21,0),99)</f>
        <v/>
      </c>
      <c r="K19" s="39">
        <f>HYPERLINK("https://wa.me/"&amp;H19&amp;"?text="&amp;ENCODEURL(T19),"✉ Написать")</f>
        <v/>
      </c>
      <c r="L19" s="39">
        <f>HYPERLINK("https://wa.me/"&amp;H19,"Открыть чат")</f>
        <v/>
      </c>
      <c r="M19" s="38" t="inlineStr">
        <is>
          <t>Краснодар</t>
        </is>
      </c>
      <c r="N19" s="38" t="n">
        <v>5</v>
      </c>
      <c r="O19" s="38" t="n">
        <v>3</v>
      </c>
      <c r="P19" s="38" t="n"/>
      <c r="Q19" s="38" t="inlineStr">
        <is>
          <t>без сайта, WhatsApp не подтверждён</t>
        </is>
      </c>
      <c r="R19" s="38" t="n">
        <v>1</v>
      </c>
      <c r="S19" s="38" t="inlineStr">
        <is>
          <t>Краснодарский край</t>
        </is>
      </c>
      <c r="T19" s="38" t="inlineStr">
        <is>
          <t>Здравствуйте! Нашёл вас в 2ГИС среди кровельных компаний в Краснодаре: оценки высокие, а сайта нет.
Могу собрать сайт под «Фараон» за вечер и показать. Не понравится — ничего не должны. Сделать?</t>
        </is>
      </c>
      <c r="U19" s="38">
        <f>B19&amp;IF(D19&lt;&gt;""," · "&amp;D19,"")&amp;IF(F19&lt;&gt;"",CHAR(10)&amp;F19,"")</f>
        <v/>
      </c>
      <c r="V19" s="38">
        <f>IF(OR(F19="просрочено",F19="сегодня",F19="укажи дату",LEFT(F19,6)="молчит"),1,0)</f>
        <v/>
      </c>
    </row>
    <row r="20" ht="24" customHeight="1">
      <c r="A20" s="38" t="n">
        <v>19</v>
      </c>
      <c r="B20" s="32" t="inlineStr">
        <is>
          <t>СК Белый ключ</t>
        </is>
      </c>
      <c r="C20" s="49" t="inlineStr">
        <is>
          <t>Очередь</t>
        </is>
      </c>
      <c r="D20" s="49" t="n"/>
      <c r="E20" s="50" t="n"/>
      <c r="F20" s="51">
        <f>IF(OR(C20="",C20="Очередь",C20="Клиент",C20="Отказ",C20="Не писать"),"",IF(E20="",IF(AND(C20="Отправлено",I20&lt;&gt;"",TODAY()-INT(I20)&gt;=3),"молчит "&amp;(TODAY()-INT(I20))&amp;" дн.",IF(OR(C20="Перезвонить",C20="Созвон"),"укажи дату","")),IF(INT(E20)&lt;TODAY(),"просрочено",IF(INT(E20)=TODAY(),"сегодня",IF(INT(E20)=TODAY()+1,"завтра",TEXT(E20,"dd.mm"))))))</f>
        <v/>
      </c>
      <c r="G20" s="52" t="n"/>
      <c r="H20" s="36" t="inlineStr">
        <is>
          <t>79186850609</t>
        </is>
      </c>
      <c r="I20" s="53" t="n"/>
      <c r="J20" s="38">
        <f>IFERROR(MATCH(C20,'Справка'!$A$12:$A$21,0),99)</f>
        <v/>
      </c>
      <c r="K20" s="39">
        <f>HYPERLINK("https://wa.me/"&amp;H20&amp;"?text="&amp;ENCODEURL(T20),"✉ Написать")</f>
        <v/>
      </c>
      <c r="L20" s="39">
        <f>HYPERLINK("https://wa.me/"&amp;H20,"Открыть чат")</f>
        <v/>
      </c>
      <c r="M20" s="38" t="inlineStr">
        <is>
          <t>Краснодар</t>
        </is>
      </c>
      <c r="N20" s="38" t="n">
        <v>4</v>
      </c>
      <c r="O20" s="38" t="n">
        <v>2</v>
      </c>
      <c r="P20" s="38" t="n"/>
      <c r="Q20" s="38" t="inlineStr">
        <is>
          <t>без сайта, WhatsApp не подтверждён</t>
        </is>
      </c>
      <c r="R20" s="38" t="n">
        <v>1</v>
      </c>
      <c r="S20" s="38" t="inlineStr">
        <is>
          <t>Краснодарский край</t>
        </is>
      </c>
      <c r="T20" s="38" t="inlineStr">
        <is>
          <t>Здравствуйте! Искал в 2ГИС кровельные компании в Краснодаре и наткнулся на вас. Сайта в карточке не увидел.
Могу за вечер собрать для «СК Белый ключ» сайт и показать. Платить не нужно, пока не понравится. Собрать?</t>
        </is>
      </c>
      <c r="U20" s="38">
        <f>B20&amp;IF(D20&lt;&gt;""," · "&amp;D20,"")&amp;IF(F20&lt;&gt;"",CHAR(10)&amp;F20,"")</f>
        <v/>
      </c>
      <c r="V20" s="38">
        <f>IF(OR(F20="просрочено",F20="сегодня",F20="укажи дату",LEFT(F20,6)="молчит"),1,0)</f>
        <v/>
      </c>
    </row>
    <row r="21" ht="24" customHeight="1">
      <c r="A21" s="38" t="n">
        <v>20</v>
      </c>
      <c r="B21" s="32" t="inlineStr">
        <is>
          <t>СтройДом</t>
        </is>
      </c>
      <c r="C21" s="49" t="inlineStr">
        <is>
          <t>Очередь</t>
        </is>
      </c>
      <c r="D21" s="49" t="n"/>
      <c r="E21" s="50" t="n"/>
      <c r="F21" s="51">
        <f>IF(OR(C21="",C21="Очередь",C21="Клиент",C21="Отказ",C21="Не писать"),"",IF(E21="",IF(AND(C21="Отправлено",I21&lt;&gt;"",TODAY()-INT(I21)&gt;=3),"молчит "&amp;(TODAY()-INT(I21))&amp;" дн.",IF(OR(C21="Перезвонить",C21="Созвон"),"укажи дату","")),IF(INT(E21)&lt;TODAY(),"просрочено",IF(INT(E21)=TODAY(),"сегодня",IF(INT(E21)=TODAY()+1,"завтра",TEXT(E21,"dd.mm"))))))</f>
        <v/>
      </c>
      <c r="G21" s="52" t="n"/>
      <c r="H21" s="36" t="inlineStr">
        <is>
          <t>79054043088</t>
        </is>
      </c>
      <c r="I21" s="53" t="n"/>
      <c r="J21" s="38">
        <f>IFERROR(MATCH(C21,'Справка'!$A$12:$A$21,0),99)</f>
        <v/>
      </c>
      <c r="K21" s="39">
        <f>HYPERLINK("https://wa.me/"&amp;H21&amp;"?text="&amp;ENCODEURL(T21),"✉ Написать")</f>
        <v/>
      </c>
      <c r="L21" s="39">
        <f>HYPERLINK("https://wa.me/"&amp;H21,"Открыть чат")</f>
        <v/>
      </c>
      <c r="M21" s="38" t="inlineStr">
        <is>
          <t>Краснодар</t>
        </is>
      </c>
      <c r="N21" s="38" t="n">
        <v>5</v>
      </c>
      <c r="O21" s="38" t="n">
        <v>1</v>
      </c>
      <c r="P21" s="38" t="n"/>
      <c r="Q21" s="38" t="inlineStr">
        <is>
          <t>без сайта, WhatsApp не подтверждён</t>
        </is>
      </c>
      <c r="R21" s="38" t="n">
        <v>1</v>
      </c>
      <c r="S21" s="38" t="inlineStr">
        <is>
          <t>Краснодарский край</t>
        </is>
      </c>
      <c r="T21" s="38" t="inlineStr">
        <is>
          <t>Здравствуйте! Смотрел в 2ГИС, кто делает кровлю в Краснодаре, и нашёл «СтройДом». Сайта в карточке нет.
Готов за вечер собрать сайт для «СтройДом» и показать вам. Денег вперёд не беру. Собрать?</t>
        </is>
      </c>
      <c r="U21" s="38">
        <f>B21&amp;IF(D21&lt;&gt;""," · "&amp;D21,"")&amp;IF(F21&lt;&gt;"",CHAR(10)&amp;F21,"")</f>
        <v/>
      </c>
      <c r="V21" s="38">
        <f>IF(OR(F21="просрочено",F21="сегодня",F21="укажи дату",LEFT(F21,6)="молчит"),1,0)</f>
        <v/>
      </c>
    </row>
    <row r="22" ht="24" customHeight="1">
      <c r="A22" s="38" t="n">
        <v>21</v>
      </c>
      <c r="B22" s="32" t="inlineStr">
        <is>
          <t>Строительная компания</t>
        </is>
      </c>
      <c r="C22" s="49" t="inlineStr">
        <is>
          <t>Очередь</t>
        </is>
      </c>
      <c r="D22" s="49" t="n"/>
      <c r="E22" s="50" t="n"/>
      <c r="F22" s="51">
        <f>IF(OR(C22="",C22="Очередь",C22="Клиент",C22="Отказ",C22="Не писать"),"",IF(E22="",IF(AND(C22="Отправлено",I22&lt;&gt;"",TODAY()-INT(I22)&gt;=3),"молчит "&amp;(TODAY()-INT(I22))&amp;" дн.",IF(OR(C22="Перезвонить",C22="Созвон"),"укажи дату","")),IF(INT(E22)&lt;TODAY(),"просрочено",IF(INT(E22)=TODAY(),"сегодня",IF(INT(E22)=TODAY()+1,"завтра",TEXT(E22,"dd.mm"))))))</f>
        <v/>
      </c>
      <c r="G22" s="52" t="n"/>
      <c r="H22" s="36" t="inlineStr">
        <is>
          <t>79282038053</t>
        </is>
      </c>
      <c r="I22" s="53" t="n"/>
      <c r="J22" s="38">
        <f>IFERROR(MATCH(C22,'Справка'!$A$12:$A$21,0),99)</f>
        <v/>
      </c>
      <c r="K22" s="39">
        <f>HYPERLINK("https://wa.me/"&amp;H22&amp;"?text="&amp;ENCODEURL(T22),"✉ Написать")</f>
        <v/>
      </c>
      <c r="L22" s="39">
        <f>HYPERLINK("https://wa.me/"&amp;H22,"Открыть чат")</f>
        <v/>
      </c>
      <c r="M22" s="38" t="inlineStr">
        <is>
          <t>Краснодар</t>
        </is>
      </c>
      <c r="N22" s="38" t="n"/>
      <c r="O22" s="38" t="n"/>
      <c r="P22" s="38" t="n"/>
      <c r="Q22" s="38" t="inlineStr">
        <is>
          <t>без сайта, WhatsApp не подтверждён</t>
        </is>
      </c>
      <c r="R22" s="38" t="n">
        <v>1</v>
      </c>
      <c r="S22" s="38" t="inlineStr">
        <is>
          <t>Краснодарский край</t>
        </is>
      </c>
      <c r="T22" s="38" t="inlineStr">
        <is>
          <t>Здравствуйте! Нашёл вас в 2ГИС среди кровельных компаний в Краснодаре, а сайта в карточке не нашёл.
Могу собрать сайт под «Строительная компания» за вечер и показать. Не понравится — ничего не должны. Сделать?</t>
        </is>
      </c>
      <c r="U22" s="38">
        <f>B22&amp;IF(D22&lt;&gt;""," · "&amp;D22,"")&amp;IF(F22&lt;&gt;"",CHAR(10)&amp;F22,"")</f>
        <v/>
      </c>
      <c r="V22" s="38">
        <f>IF(OR(F22="просрочено",F22="сегодня",F22="укажи дату",LEFT(F22,6)="молчит"),1,0)</f>
        <v/>
      </c>
    </row>
    <row r="23" ht="24" customHeight="1">
      <c r="A23" s="38" t="n">
        <v>22</v>
      </c>
      <c r="B23" s="32" t="inlineStr">
        <is>
          <t>КровМонтаж</t>
        </is>
      </c>
      <c r="C23" s="49" t="inlineStr">
        <is>
          <t>Очередь</t>
        </is>
      </c>
      <c r="D23" s="49" t="n"/>
      <c r="E23" s="50" t="n"/>
      <c r="F23" s="51">
        <f>IF(OR(C23="",C23="Очередь",C23="Клиент",C23="Отказ",C23="Не писать"),"",IF(E23="",IF(AND(C23="Отправлено",I23&lt;&gt;"",TODAY()-INT(I23)&gt;=3),"молчит "&amp;(TODAY()-INT(I23))&amp;" дн.",IF(OR(C23="Перезвонить",C23="Созвон"),"укажи дату","")),IF(INT(E23)&lt;TODAY(),"просрочено",IF(INT(E23)=TODAY(),"сегодня",IF(INT(E23)=TODAY()+1,"завтра",TEXT(E23,"dd.mm"))))))</f>
        <v/>
      </c>
      <c r="G23" s="52" t="n"/>
      <c r="H23" s="36" t="inlineStr">
        <is>
          <t>79136297117</t>
        </is>
      </c>
      <c r="I23" s="53" t="n"/>
      <c r="J23" s="38">
        <f>IFERROR(MATCH(C23,'Справка'!$A$12:$A$21,0),99)</f>
        <v/>
      </c>
      <c r="K23" s="39">
        <f>HYPERLINK("https://wa.me/"&amp;H23&amp;"?text="&amp;ENCODEURL(T23),"✉ Написать")</f>
        <v/>
      </c>
      <c r="L23" s="39">
        <f>HYPERLINK("https://wa.me/"&amp;H23,"Открыть чат")</f>
        <v/>
      </c>
      <c r="M23" s="38" t="inlineStr">
        <is>
          <t>Краснодар</t>
        </is>
      </c>
      <c r="N23" s="38" t="n"/>
      <c r="O23" s="38" t="n"/>
      <c r="P23" s="38" t="n"/>
      <c r="Q23" s="38" t="inlineStr">
        <is>
          <t>без сайта, WhatsApp не подтверждён</t>
        </is>
      </c>
      <c r="R23" s="38" t="n">
        <v>1</v>
      </c>
      <c r="S23" s="38" t="inlineStr">
        <is>
          <t>Краснодарский край</t>
        </is>
      </c>
      <c r="T23" s="38" t="inlineStr">
        <is>
          <t>Здравствуйте! Искал в 2ГИС кровельные компании в Краснодаре и наткнулся на вас. Сайта в карточке не увидел.
Могу за вечер собрать для «КровМонтаж» сайт и показать. Платить не нужно, пока не понравится. Собрать?</t>
        </is>
      </c>
      <c r="U23" s="38">
        <f>B23&amp;IF(D23&lt;&gt;""," · "&amp;D23,"")&amp;IF(F23&lt;&gt;"",CHAR(10)&amp;F23,"")</f>
        <v/>
      </c>
      <c r="V23" s="38">
        <f>IF(OR(F23="просрочено",F23="сегодня",F23="укажи дату",LEFT(F23,6)="молчит"),1,0)</f>
        <v/>
      </c>
    </row>
    <row r="24" ht="24" customHeight="1">
      <c r="A24" s="38" t="n">
        <v>23</v>
      </c>
      <c r="B24" s="32" t="inlineStr">
        <is>
          <t>Компания по кровельным работам</t>
        </is>
      </c>
      <c r="C24" s="49" t="inlineStr">
        <is>
          <t>Очередь</t>
        </is>
      </c>
      <c r="D24" s="49" t="n"/>
      <c r="E24" s="50" t="n"/>
      <c r="F24" s="51">
        <f>IF(OR(C24="",C24="Очередь",C24="Клиент",C24="Отказ",C24="Не писать"),"",IF(E24="",IF(AND(C24="Отправлено",I24&lt;&gt;"",TODAY()-INT(I24)&gt;=3),"молчит "&amp;(TODAY()-INT(I24))&amp;" дн.",IF(OR(C24="Перезвонить",C24="Созвон"),"укажи дату","")),IF(INT(E24)&lt;TODAY(),"просрочено",IF(INT(E24)=TODAY(),"сегодня",IF(INT(E24)=TODAY()+1,"завтра",TEXT(E24,"dd.mm"))))))</f>
        <v/>
      </c>
      <c r="G24" s="52" t="n"/>
      <c r="H24" s="36" t="inlineStr">
        <is>
          <t>79183312345</t>
        </is>
      </c>
      <c r="I24" s="53" t="n"/>
      <c r="J24" s="38">
        <f>IFERROR(MATCH(C24,'Справка'!$A$12:$A$21,0),99)</f>
        <v/>
      </c>
      <c r="K24" s="39">
        <f>HYPERLINK("https://wa.me/"&amp;H24&amp;"?text="&amp;ENCODEURL(T24),"✉ Написать")</f>
        <v/>
      </c>
      <c r="L24" s="39">
        <f>HYPERLINK("https://wa.me/"&amp;H24,"Открыть чат")</f>
        <v/>
      </c>
      <c r="M24" s="38" t="inlineStr">
        <is>
          <t>Краснодар</t>
        </is>
      </c>
      <c r="N24" s="38" t="n"/>
      <c r="O24" s="38" t="n"/>
      <c r="P24" s="38" t="n"/>
      <c r="Q24" s="38" t="inlineStr">
        <is>
          <t>без сайта, WhatsApp не подтверждён</t>
        </is>
      </c>
      <c r="R24" s="38" t="n">
        <v>1</v>
      </c>
      <c r="S24" s="38" t="inlineStr">
        <is>
          <t>Краснодарский край</t>
        </is>
      </c>
      <c r="T24" s="38" t="inlineStr">
        <is>
          <t>Здравствуйте! Смотрел в 2ГИС, кто делает кровлю в Краснодаре, и нашёл «Компания по кровельным работам». Сайта в карточке нет.
Готов за вечер собрать сайт для «Компания по кровельным работам» и показать вам. Денег вперёд не беру. Собрать?</t>
        </is>
      </c>
      <c r="U24" s="38">
        <f>B24&amp;IF(D24&lt;&gt;""," · "&amp;D24,"")&amp;IF(F24&lt;&gt;"",CHAR(10)&amp;F24,"")</f>
        <v/>
      </c>
      <c r="V24" s="38">
        <f>IF(OR(F24="просрочено",F24="сегодня",F24="укажи дату",LEFT(F24,6)="молчит"),1,0)</f>
        <v/>
      </c>
    </row>
    <row r="25" ht="24" customHeight="1">
      <c r="A25" s="38" t="n">
        <v>24</v>
      </c>
      <c r="B25" s="32" t="inlineStr">
        <is>
          <t>Фирма по услугам кровельных работ</t>
        </is>
      </c>
      <c r="C25" s="49" t="inlineStr">
        <is>
          <t>Очередь</t>
        </is>
      </c>
      <c r="D25" s="49" t="n"/>
      <c r="E25" s="50" t="n"/>
      <c r="F25" s="51">
        <f>IF(OR(C25="",C25="Очередь",C25="Клиент",C25="Отказ",C25="Не писать"),"",IF(E25="",IF(AND(C25="Отправлено",I25&lt;&gt;"",TODAY()-INT(I25)&gt;=3),"молчит "&amp;(TODAY()-INT(I25))&amp;" дн.",IF(OR(C25="Перезвонить",C25="Созвон"),"укажи дату","")),IF(INT(E25)&lt;TODAY(),"просрочено",IF(INT(E25)=TODAY(),"сегодня",IF(INT(E25)=TODAY()+1,"завтра",TEXT(E25,"dd.mm"))))))</f>
        <v/>
      </c>
      <c r="G25" s="52" t="n"/>
      <c r="H25" s="36" t="inlineStr">
        <is>
          <t>79183839805</t>
        </is>
      </c>
      <c r="I25" s="53" t="n"/>
      <c r="J25" s="38">
        <f>IFERROR(MATCH(C25,'Справка'!$A$12:$A$21,0),99)</f>
        <v/>
      </c>
      <c r="K25" s="39">
        <f>HYPERLINK("https://wa.me/"&amp;H25&amp;"?text="&amp;ENCODEURL(T25),"✉ Написать")</f>
        <v/>
      </c>
      <c r="L25" s="39">
        <f>HYPERLINK("https://wa.me/"&amp;H25,"Открыть чат")</f>
        <v/>
      </c>
      <c r="M25" s="38" t="inlineStr">
        <is>
          <t>Краснодар</t>
        </is>
      </c>
      <c r="N25" s="38" t="n"/>
      <c r="O25" s="38" t="n"/>
      <c r="P25" s="38" t="n"/>
      <c r="Q25" s="38" t="inlineStr">
        <is>
          <t>без сайта, WhatsApp не подтверждён</t>
        </is>
      </c>
      <c r="R25" s="38" t="n">
        <v>1</v>
      </c>
      <c r="S25" s="38" t="inlineStr">
        <is>
          <t>Краснодарский край</t>
        </is>
      </c>
      <c r="T25" s="38" t="inlineStr">
        <is>
          <t>Здравствуйте! Нашёл вас в 2ГИС среди кровельных компаний в Краснодаре, а сайта в карточке не нашёл.
Могу собрать сайт под «Фирма по услугам кровельных работ» за вечер и показать. Не понравится — ничего не должны. Сделать?</t>
        </is>
      </c>
      <c r="U25" s="38">
        <f>B25&amp;IF(D25&lt;&gt;""," · "&amp;D25,"")&amp;IF(F25&lt;&gt;"",CHAR(10)&amp;F25,"")</f>
        <v/>
      </c>
      <c r="V25" s="38">
        <f>IF(OR(F25="просрочено",F25="сегодня",F25="укажи дату",LEFT(F25,6)="молчит"),1,0)</f>
        <v/>
      </c>
    </row>
    <row r="26" ht="24" customHeight="1">
      <c r="A26" s="38" t="n">
        <v>25</v>
      </c>
      <c r="B26" s="32" t="inlineStr">
        <is>
          <t>Кровельная компания</t>
        </is>
      </c>
      <c r="C26" s="49" t="inlineStr">
        <is>
          <t>Очередь</t>
        </is>
      </c>
      <c r="D26" s="49" t="n"/>
      <c r="E26" s="50" t="n"/>
      <c r="F26" s="51">
        <f>IF(OR(C26="",C26="Очередь",C26="Клиент",C26="Отказ",C26="Не писать"),"",IF(E26="",IF(AND(C26="Отправлено",I26&lt;&gt;"",TODAY()-INT(I26)&gt;=3),"молчит "&amp;(TODAY()-INT(I26))&amp;" дн.",IF(OR(C26="Перезвонить",C26="Созвон"),"укажи дату","")),IF(INT(E26)&lt;TODAY(),"просрочено",IF(INT(E26)=TODAY(),"сегодня",IF(INT(E26)=TODAY()+1,"завтра",TEXT(E26,"dd.mm"))))))</f>
        <v/>
      </c>
      <c r="G26" s="52" t="n"/>
      <c r="H26" s="36" t="inlineStr">
        <is>
          <t>79094605113</t>
        </is>
      </c>
      <c r="I26" s="53" t="n"/>
      <c r="J26" s="38">
        <f>IFERROR(MATCH(C26,'Справка'!$A$12:$A$21,0),99)</f>
        <v/>
      </c>
      <c r="K26" s="39">
        <f>HYPERLINK("https://wa.me/"&amp;H26&amp;"?text="&amp;ENCODEURL(T26),"✉ Написать")</f>
        <v/>
      </c>
      <c r="L26" s="39">
        <f>HYPERLINK("https://wa.me/"&amp;H26,"Открыть чат")</f>
        <v/>
      </c>
      <c r="M26" s="38" t="inlineStr">
        <is>
          <t>Краснодар</t>
        </is>
      </c>
      <c r="N26" s="38" t="n"/>
      <c r="O26" s="38" t="n"/>
      <c r="P26" s="38" t="n"/>
      <c r="Q26" s="38" t="inlineStr">
        <is>
          <t>без сайта, WhatsApp не подтверждён</t>
        </is>
      </c>
      <c r="R26" s="38" t="n">
        <v>1</v>
      </c>
      <c r="S26" s="38" t="inlineStr">
        <is>
          <t>Краснодарский край</t>
        </is>
      </c>
      <c r="T26" s="38" t="inlineStr">
        <is>
          <t>Здравствуйте! Искал в 2ГИС кровельные компании в Краснодаре и наткнулся на вас. Сайта в карточке не увидел.
Могу за вечер собрать для «Кровельная компания» сайт и показать. Платить не нужно, пока не понравится. Собрать?</t>
        </is>
      </c>
      <c r="U26" s="38">
        <f>B26&amp;IF(D26&lt;&gt;""," · "&amp;D26,"")&amp;IF(F26&lt;&gt;"",CHAR(10)&amp;F26,"")</f>
        <v/>
      </c>
      <c r="V26" s="38">
        <f>IF(OR(F26="просрочено",F26="сегодня",F26="укажи дату",LEFT(F26,6)="молчит"),1,0)</f>
        <v/>
      </c>
    </row>
    <row r="27" ht="24" customHeight="1">
      <c r="A27" s="38" t="n">
        <v>26</v>
      </c>
      <c r="B27" s="32" t="inlineStr">
        <is>
          <t>Компания кровельных работ</t>
        </is>
      </c>
      <c r="C27" s="49" t="inlineStr">
        <is>
          <t>Очередь</t>
        </is>
      </c>
      <c r="D27" s="49" t="n"/>
      <c r="E27" s="50" t="n"/>
      <c r="F27" s="51">
        <f>IF(OR(C27="",C27="Очередь",C27="Клиент",C27="Отказ",C27="Не писать"),"",IF(E27="",IF(AND(C27="Отправлено",I27&lt;&gt;"",TODAY()-INT(I27)&gt;=3),"молчит "&amp;(TODAY()-INT(I27))&amp;" дн.",IF(OR(C27="Перезвонить",C27="Созвон"),"укажи дату","")),IF(INT(E27)&lt;TODAY(),"просрочено",IF(INT(E27)=TODAY(),"сегодня",IF(INT(E27)=TODAY()+1,"завтра",TEXT(E27,"dd.mm"))))))</f>
        <v/>
      </c>
      <c r="G27" s="52" t="n"/>
      <c r="H27" s="36" t="inlineStr">
        <is>
          <t>79034094281</t>
        </is>
      </c>
      <c r="I27" s="53" t="n"/>
      <c r="J27" s="38">
        <f>IFERROR(MATCH(C27,'Справка'!$A$12:$A$21,0),99)</f>
        <v/>
      </c>
      <c r="K27" s="39">
        <f>HYPERLINK("https://wa.me/"&amp;H27&amp;"?text="&amp;ENCODEURL(T27),"✉ Написать")</f>
        <v/>
      </c>
      <c r="L27" s="39">
        <f>HYPERLINK("https://wa.me/"&amp;H27,"Открыть чат")</f>
        <v/>
      </c>
      <c r="M27" s="38" t="inlineStr">
        <is>
          <t>Краснодар</t>
        </is>
      </c>
      <c r="N27" s="38" t="n"/>
      <c r="O27" s="38" t="n"/>
      <c r="P27" s="38" t="n"/>
      <c r="Q27" s="38" t="inlineStr">
        <is>
          <t>без сайта, WhatsApp не подтверждён</t>
        </is>
      </c>
      <c r="R27" s="38" t="n">
        <v>1</v>
      </c>
      <c r="S27" s="38" t="inlineStr">
        <is>
          <t>Краснодарский край</t>
        </is>
      </c>
      <c r="T27" s="38" t="inlineStr">
        <is>
          <t>Здравствуйте! Смотрел в 2ГИС, кто делает кровлю в Краснодаре, и нашёл «Компания кровельных работ». Сайта в карточке нет.
Готов за вечер собрать сайт для «Компания кровельных работ» и показать вам. Денег вперёд не беру. Собрать?</t>
        </is>
      </c>
      <c r="U27" s="38">
        <f>B27&amp;IF(D27&lt;&gt;""," · "&amp;D27,"")&amp;IF(F27&lt;&gt;"",CHAR(10)&amp;F27,"")</f>
        <v/>
      </c>
      <c r="V27" s="38">
        <f>IF(OR(F27="просрочено",F27="сегодня",F27="укажи дату",LEFT(F27,6)="молчит"),1,0)</f>
        <v/>
      </c>
    </row>
    <row r="28" ht="24" customHeight="1">
      <c r="A28" s="38" t="n">
        <v>27</v>
      </c>
      <c r="B28" s="32" t="inlineStr">
        <is>
          <t>Фирма по ремонту кровли</t>
        </is>
      </c>
      <c r="C28" s="49" t="inlineStr">
        <is>
          <t>Очередь</t>
        </is>
      </c>
      <c r="D28" s="49" t="n"/>
      <c r="E28" s="50" t="n"/>
      <c r="F28" s="51">
        <f>IF(OR(C28="",C28="Очередь",C28="Клиент",C28="Отказ",C28="Не писать"),"",IF(E28="",IF(AND(C28="Отправлено",I28&lt;&gt;"",TODAY()-INT(I28)&gt;=3),"молчит "&amp;(TODAY()-INT(I28))&amp;" дн.",IF(OR(C28="Перезвонить",C28="Созвон"),"укажи дату","")),IF(INT(E28)&lt;TODAY(),"просрочено",IF(INT(E28)=TODAY(),"сегодня",IF(INT(E28)=TODAY()+1,"завтра",TEXT(E28,"dd.mm"))))))</f>
        <v/>
      </c>
      <c r="G28" s="52" t="n"/>
      <c r="H28" s="36" t="inlineStr">
        <is>
          <t>79184942546</t>
        </is>
      </c>
      <c r="I28" s="53" t="n"/>
      <c r="J28" s="38">
        <f>IFERROR(MATCH(C28,'Справка'!$A$12:$A$21,0),99)</f>
        <v/>
      </c>
      <c r="K28" s="39">
        <f>HYPERLINK("https://wa.me/"&amp;H28&amp;"?text="&amp;ENCODEURL(T28),"✉ Написать")</f>
        <v/>
      </c>
      <c r="L28" s="39">
        <f>HYPERLINK("https://wa.me/"&amp;H28,"Открыть чат")</f>
        <v/>
      </c>
      <c r="M28" s="38" t="inlineStr">
        <is>
          <t>Краснодар</t>
        </is>
      </c>
      <c r="N28" s="38" t="n"/>
      <c r="O28" s="38" t="n"/>
      <c r="P28" s="38" t="n"/>
      <c r="Q28" s="38" t="inlineStr">
        <is>
          <t>без сайта, WhatsApp не подтверждён</t>
        </is>
      </c>
      <c r="R28" s="38" t="n">
        <v>1</v>
      </c>
      <c r="S28" s="38" t="inlineStr">
        <is>
          <t>Краснодарский край</t>
        </is>
      </c>
      <c r="T28" s="38" t="inlineStr">
        <is>
          <t>Здравствуйте! Нашёл вас в 2ГИС среди кровельных компаний в Краснодаре, а сайта в карточке не нашёл.
Могу собрать сайт под «Фирма по ремонту кровли» за вечер и показать. Не понравится — ничего не должны. Сделать?</t>
        </is>
      </c>
      <c r="U28" s="38">
        <f>B28&amp;IF(D28&lt;&gt;""," · "&amp;D28,"")&amp;IF(F28&lt;&gt;"",CHAR(10)&amp;F28,"")</f>
        <v/>
      </c>
      <c r="V28" s="38">
        <f>IF(OR(F28="просрочено",F28="сегодня",F28="укажи дату",LEFT(F28,6)="молчит"),1,0)</f>
        <v/>
      </c>
    </row>
    <row r="29" ht="24" customHeight="1">
      <c r="A29" s="38" t="n">
        <v>28</v>
      </c>
      <c r="B29" s="32" t="inlineStr">
        <is>
          <t>Компания по кровельным работам</t>
        </is>
      </c>
      <c r="C29" s="49" t="inlineStr">
        <is>
          <t>Очередь</t>
        </is>
      </c>
      <c r="D29" s="49" t="n"/>
      <c r="E29" s="50" t="n"/>
      <c r="F29" s="51">
        <f>IF(OR(C29="",C29="Очередь",C29="Клиент",C29="Отказ",C29="Не писать"),"",IF(E29="",IF(AND(C29="Отправлено",I29&lt;&gt;"",TODAY()-INT(I29)&gt;=3),"молчит "&amp;(TODAY()-INT(I29))&amp;" дн.",IF(OR(C29="Перезвонить",C29="Созвон"),"укажи дату","")),IF(INT(E29)&lt;TODAY(),"просрочено",IF(INT(E29)=TODAY(),"сегодня",IF(INT(E29)=TODAY()+1,"завтра",TEXT(E29,"dd.mm"))))))</f>
        <v/>
      </c>
      <c r="G29" s="52" t="n"/>
      <c r="H29" s="36" t="inlineStr">
        <is>
          <t>79307835680</t>
        </is>
      </c>
      <c r="I29" s="53" t="n"/>
      <c r="J29" s="38">
        <f>IFERROR(MATCH(C29,'Справка'!$A$12:$A$21,0),99)</f>
        <v/>
      </c>
      <c r="K29" s="39">
        <f>HYPERLINK("https://wa.me/"&amp;H29&amp;"?text="&amp;ENCODEURL(T29),"✉ Написать")</f>
        <v/>
      </c>
      <c r="L29" s="39">
        <f>HYPERLINK("https://wa.me/"&amp;H29,"Открыть чат")</f>
        <v/>
      </c>
      <c r="M29" s="38" t="inlineStr">
        <is>
          <t>Краснодар</t>
        </is>
      </c>
      <c r="N29" s="38" t="n"/>
      <c r="O29" s="38" t="n"/>
      <c r="P29" s="38" t="n"/>
      <c r="Q29" s="38" t="inlineStr">
        <is>
          <t>без сайта, WhatsApp не подтверждён</t>
        </is>
      </c>
      <c r="R29" s="38" t="n">
        <v>1</v>
      </c>
      <c r="S29" s="38" t="inlineStr">
        <is>
          <t>Краснодарский край</t>
        </is>
      </c>
      <c r="T29" s="38" t="inlineStr">
        <is>
          <t>Здравствуйте! Искал в 2ГИС кровельные компании в Краснодаре и наткнулся на вас. Сайта в карточке не увидел.
Могу за вечер собрать для «Компания по кровельным работам» сайт и показать. Платить не нужно, пока не понравится. Собрать?</t>
        </is>
      </c>
      <c r="U29" s="38">
        <f>B29&amp;IF(D29&lt;&gt;""," · "&amp;D29,"")&amp;IF(F29&lt;&gt;"",CHAR(10)&amp;F29,"")</f>
        <v/>
      </c>
      <c r="V29" s="38">
        <f>IF(OR(F29="просрочено",F29="сегодня",F29="укажи дату",LEFT(F29,6)="молчит"),1,0)</f>
        <v/>
      </c>
    </row>
    <row r="30" ht="24" customHeight="1">
      <c r="A30" s="38" t="n">
        <v>29</v>
      </c>
      <c r="B30" s="32" t="inlineStr">
        <is>
          <t>Выездная строительно-отделочная компания</t>
        </is>
      </c>
      <c r="C30" s="49" t="inlineStr">
        <is>
          <t>Очередь</t>
        </is>
      </c>
      <c r="D30" s="49" t="n"/>
      <c r="E30" s="50" t="n"/>
      <c r="F30" s="51">
        <f>IF(OR(C30="",C30="Очередь",C30="Клиент",C30="Отказ",C30="Не писать"),"",IF(E30="",IF(AND(C30="Отправлено",I30&lt;&gt;"",TODAY()-INT(I30)&gt;=3),"молчит "&amp;(TODAY()-INT(I30))&amp;" дн.",IF(OR(C30="Перезвонить",C30="Созвон"),"укажи дату","")),IF(INT(E30)&lt;TODAY(),"просрочено",IF(INT(E30)=TODAY(),"сегодня",IF(INT(E30)=TODAY()+1,"завтра",TEXT(E30,"dd.mm"))))))</f>
        <v/>
      </c>
      <c r="G30" s="52" t="n"/>
      <c r="H30" s="36" t="inlineStr">
        <is>
          <t>79282311953</t>
        </is>
      </c>
      <c r="I30" s="53" t="n"/>
      <c r="J30" s="38">
        <f>IFERROR(MATCH(C30,'Справка'!$A$12:$A$21,0),99)</f>
        <v/>
      </c>
      <c r="K30" s="39">
        <f>HYPERLINK("https://wa.me/"&amp;H30&amp;"?text="&amp;ENCODEURL(T30),"✉ Написать")</f>
        <v/>
      </c>
      <c r="L30" s="39">
        <f>HYPERLINK("https://wa.me/"&amp;H30,"Открыть чат")</f>
        <v/>
      </c>
      <c r="M30" s="38" t="inlineStr">
        <is>
          <t>Краснодар</t>
        </is>
      </c>
      <c r="N30" s="38" t="n"/>
      <c r="O30" s="38" t="n"/>
      <c r="P30" s="38" t="n"/>
      <c r="Q30" s="38" t="inlineStr">
        <is>
          <t>без сайта, WhatsApp не подтверждён</t>
        </is>
      </c>
      <c r="R30" s="38" t="n">
        <v>1</v>
      </c>
      <c r="S30" s="38" t="inlineStr">
        <is>
          <t>Краснодарский край</t>
        </is>
      </c>
      <c r="T30" s="38" t="inlineStr">
        <is>
          <t>Здравствуйте! Смотрел в 2ГИС, кто делает кровлю в Краснодаре, и нашёл «Выездная строительно-отделочная компания». Сайта в карточке нет.
Готов за вечер собрать сайт для «Выездная строительно-отделочная компания» и показать вам. Денег вперёд не беру. Собрать?</t>
        </is>
      </c>
      <c r="U30" s="38">
        <f>B30&amp;IF(D30&lt;&gt;""," · "&amp;D30,"")&amp;IF(F30&lt;&gt;"",CHAR(10)&amp;F30,"")</f>
        <v/>
      </c>
      <c r="V30" s="38">
        <f>IF(OR(F30="просрочено",F30="сегодня",F30="укажи дату",LEFT(F30,6)="молчит"),1,0)</f>
        <v/>
      </c>
    </row>
    <row r="31" ht="24" customHeight="1">
      <c r="A31" s="38" t="n">
        <v>30</v>
      </c>
      <c r="B31" s="32" t="inlineStr">
        <is>
          <t>Строй-Комфорт</t>
        </is>
      </c>
      <c r="C31" s="49" t="inlineStr">
        <is>
          <t>Очередь</t>
        </is>
      </c>
      <c r="D31" s="49" t="n"/>
      <c r="E31" s="50" t="n"/>
      <c r="F31" s="51">
        <f>IF(OR(C31="",C31="Очередь",C31="Клиент",C31="Отказ",C31="Не писать"),"",IF(E31="",IF(AND(C31="Отправлено",I31&lt;&gt;"",TODAY()-INT(I31)&gt;=3),"молчит "&amp;(TODAY()-INT(I31))&amp;" дн.",IF(OR(C31="Перезвонить",C31="Созвон"),"укажи дату","")),IF(INT(E31)&lt;TODAY(),"просрочено",IF(INT(E31)=TODAY(),"сегодня",IF(INT(E31)=TODAY()+1,"завтра",TEXT(E31,"dd.mm"))))))</f>
        <v/>
      </c>
      <c r="G31" s="52" t="n"/>
      <c r="H31" s="36" t="inlineStr">
        <is>
          <t>79384261313</t>
        </is>
      </c>
      <c r="I31" s="53" t="n"/>
      <c r="J31" s="38">
        <f>IFERROR(MATCH(C31,'Справка'!$A$12:$A$21,0),99)</f>
        <v/>
      </c>
      <c r="K31" s="39">
        <f>HYPERLINK("https://wa.me/"&amp;H31&amp;"?text="&amp;ENCODEURL(T31),"✉ Написать")</f>
        <v/>
      </c>
      <c r="L31" s="39">
        <f>HYPERLINK("https://wa.me/"&amp;H31,"Открыть чат")</f>
        <v/>
      </c>
      <c r="M31" s="38" t="inlineStr">
        <is>
          <t>ст-ца Елизаветинская</t>
        </is>
      </c>
      <c r="N31" s="38" t="n">
        <v>5</v>
      </c>
      <c r="O31" s="38" t="n">
        <v>24</v>
      </c>
      <c r="P31" s="38" t="inlineStr">
        <is>
          <t>ск23.рф</t>
        </is>
      </c>
      <c r="Q31" s="38" t="inlineStr">
        <is>
          <t>есть сайт: сначала впиши в текст, что на нём не так</t>
        </is>
      </c>
      <c r="R31" s="38" t="n">
        <v>1</v>
      </c>
      <c r="S31" s="38" t="inlineStr">
        <is>
          <t>Краснодарский край</t>
        </is>
      </c>
      <c r="T31" s="38" t="inlineStr">
        <is>
          <t>Здравствуйте! Смотрел в 2ГИС кровельные компании в Елизаветинской, зашёл на ваш сайт с телефона: [ЧТО НЕ ТАК НА САЙТЕ].
Могу за вечер собрать вариант под «Строй-Комфорт», где это исправлено, и показать. Собрать?</t>
        </is>
      </c>
      <c r="U31" s="38">
        <f>B31&amp;IF(D31&lt;&gt;""," · "&amp;D31,"")&amp;IF(F31&lt;&gt;"",CHAR(10)&amp;F31,"")</f>
        <v/>
      </c>
      <c r="V31" s="38">
        <f>IF(OR(F31="просрочено",F31="сегодня",F31="укажи дату",LEFT(F31,6)="молчит"),1,0)</f>
        <v/>
      </c>
    </row>
    <row r="32" ht="24" customHeight="1">
      <c r="A32" s="38" t="n">
        <v>31</v>
      </c>
      <c r="B32" s="32" t="inlineStr">
        <is>
          <t>Domont</t>
        </is>
      </c>
      <c r="C32" s="49" t="inlineStr">
        <is>
          <t>Очередь</t>
        </is>
      </c>
      <c r="D32" s="49" t="n"/>
      <c r="E32" s="50" t="n"/>
      <c r="F32" s="51">
        <f>IF(OR(C32="",C32="Очередь",C32="Клиент",C32="Отказ",C32="Не писать"),"",IF(E32="",IF(AND(C32="Отправлено",I32&lt;&gt;"",TODAY()-INT(I32)&gt;=3),"молчит "&amp;(TODAY()-INT(I32))&amp;" дн.",IF(OR(C32="Перезвонить",C32="Созвон"),"укажи дату","")),IF(INT(E32)&lt;TODAY(),"просрочено",IF(INT(E32)=TODAY(),"сегодня",IF(INT(E32)=TODAY()+1,"завтра",TEXT(E32,"dd.mm"))))))</f>
        <v/>
      </c>
      <c r="G32" s="52" t="n"/>
      <c r="H32" s="36" t="inlineStr">
        <is>
          <t>79883882220</t>
        </is>
      </c>
      <c r="I32" s="53" t="n"/>
      <c r="J32" s="38">
        <f>IFERROR(MATCH(C32,'Справка'!$A$12:$A$21,0),99)</f>
        <v/>
      </c>
      <c r="K32" s="39">
        <f>HYPERLINK("https://wa.me/"&amp;H32&amp;"?text="&amp;ENCODEURL(T32),"✉ Написать")</f>
        <v/>
      </c>
      <c r="L32" s="39">
        <f>HYPERLINK("https://wa.me/"&amp;H32,"Открыть чат")</f>
        <v/>
      </c>
      <c r="M32" s="38" t="inlineStr">
        <is>
          <t>Краснодар</t>
        </is>
      </c>
      <c r="N32" s="38" t="n">
        <v>4.7</v>
      </c>
      <c r="O32" s="38" t="n">
        <v>19</v>
      </c>
      <c r="P32" s="38" t="inlineStr">
        <is>
          <t>domontru.ru</t>
        </is>
      </c>
      <c r="Q32" s="38" t="inlineStr">
        <is>
          <t>есть сайт: сначала впиши в текст, что на нём не так</t>
        </is>
      </c>
      <c r="R32" s="38" t="n">
        <v>1</v>
      </c>
      <c r="S32" s="38" t="inlineStr">
        <is>
          <t>Краснодарский край</t>
        </is>
      </c>
      <c r="T32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«Domont», где это исправлено, и показать. Собрать?</t>
        </is>
      </c>
      <c r="U32" s="38">
        <f>B32&amp;IF(D32&lt;&gt;""," · "&amp;D32,"")&amp;IF(F32&lt;&gt;"",CHAR(10)&amp;F32,"")</f>
        <v/>
      </c>
      <c r="V32" s="38">
        <f>IF(OR(F32="просрочено",F32="сегодня",F32="укажи дату",LEFT(F32,6)="молчит"),1,0)</f>
        <v/>
      </c>
    </row>
    <row r="33" ht="24" customHeight="1">
      <c r="A33" s="38" t="n">
        <v>32</v>
      </c>
      <c r="B33" s="32" t="inlineStr">
        <is>
          <t>Кровельный цех</t>
        </is>
      </c>
      <c r="C33" s="49" t="inlineStr">
        <is>
          <t>Очередь</t>
        </is>
      </c>
      <c r="D33" s="49" t="n"/>
      <c r="E33" s="50" t="n"/>
      <c r="F33" s="51">
        <f>IF(OR(C33="",C33="Очередь",C33="Клиент",C33="Отказ",C33="Не писать"),"",IF(E33="",IF(AND(C33="Отправлено",I33&lt;&gt;"",TODAY()-INT(I33)&gt;=3),"молчит "&amp;(TODAY()-INT(I33))&amp;" дн.",IF(OR(C33="Перезвонить",C33="Созвон"),"укажи дату","")),IF(INT(E33)&lt;TODAY(),"просрочено",IF(INT(E33)=TODAY(),"сегодня",IF(INT(E33)=TODAY()+1,"завтра",TEXT(E33,"dd.mm"))))))</f>
        <v/>
      </c>
      <c r="G33" s="52" t="n"/>
      <c r="H33" s="36" t="inlineStr">
        <is>
          <t>79676624699</t>
        </is>
      </c>
      <c r="I33" s="53" t="n"/>
      <c r="J33" s="38">
        <f>IFERROR(MATCH(C33,'Справка'!$A$12:$A$21,0),99)</f>
        <v/>
      </c>
      <c r="K33" s="39">
        <f>HYPERLINK("https://wa.me/"&amp;H33&amp;"?text="&amp;ENCODEURL(T33),"✉ Написать")</f>
        <v/>
      </c>
      <c r="L33" s="39">
        <f>HYPERLINK("https://wa.me/"&amp;H33,"Открыть чат")</f>
        <v/>
      </c>
      <c r="M33" s="38" t="inlineStr">
        <is>
          <t>Краснодар</t>
        </is>
      </c>
      <c r="N33" s="38" t="n">
        <v>5</v>
      </c>
      <c r="O33" s="38" t="n">
        <v>19</v>
      </c>
      <c r="P33" s="38" t="inlineStr">
        <is>
          <t>master-krovla.ru</t>
        </is>
      </c>
      <c r="Q33" s="38" t="inlineStr">
        <is>
          <t>есть сайт: сначала впиши в текст, что на нём не так</t>
        </is>
      </c>
      <c r="R33" s="38" t="n">
        <v>1</v>
      </c>
      <c r="S33" s="38" t="inlineStr">
        <is>
          <t>Краснодарский край</t>
        </is>
      </c>
      <c r="T33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«Кровельный цех», где это исправлено, и показать. Собрать?</t>
        </is>
      </c>
      <c r="U33" s="38">
        <f>B33&amp;IF(D33&lt;&gt;""," · "&amp;D33,"")&amp;IF(F33&lt;&gt;"",CHAR(10)&amp;F33,"")</f>
        <v/>
      </c>
      <c r="V33" s="38">
        <f>IF(OR(F33="просрочено",F33="сегодня",F33="укажи дату",LEFT(F33,6)="молчит"),1,0)</f>
        <v/>
      </c>
    </row>
    <row r="34" ht="24" customHeight="1">
      <c r="A34" s="38" t="n">
        <v>33</v>
      </c>
      <c r="B34" s="32" t="inlineStr">
        <is>
          <t>Мастилит</t>
        </is>
      </c>
      <c r="C34" s="49" t="inlineStr">
        <is>
          <t>Очередь</t>
        </is>
      </c>
      <c r="D34" s="49" t="n"/>
      <c r="E34" s="50" t="n"/>
      <c r="F34" s="51">
        <f>IF(OR(C34="",C34="Очередь",C34="Клиент",C34="Отказ",C34="Не писать"),"",IF(E34="",IF(AND(C34="Отправлено",I34&lt;&gt;"",TODAY()-INT(I34)&gt;=3),"молчит "&amp;(TODAY()-INT(I34))&amp;" дн.",IF(OR(C34="Перезвонить",C34="Созвон"),"укажи дату","")),IF(INT(E34)&lt;TODAY(),"просрочено",IF(INT(E34)=TODAY(),"сегодня",IF(INT(E34)=TODAY()+1,"завтра",TEXT(E34,"dd.mm"))))))</f>
        <v/>
      </c>
      <c r="G34" s="52" t="n"/>
      <c r="H34" s="36" t="inlineStr">
        <is>
          <t>79628513538</t>
        </is>
      </c>
      <c r="I34" s="53" t="n"/>
      <c r="J34" s="38">
        <f>IFERROR(MATCH(C34,'Справка'!$A$12:$A$21,0),99)</f>
        <v/>
      </c>
      <c r="K34" s="39">
        <f>HYPERLINK("https://wa.me/"&amp;H34&amp;"?text="&amp;ENCODEURL(T34),"✉ Написать")</f>
        <v/>
      </c>
      <c r="L34" s="39">
        <f>HYPERLINK("https://wa.me/"&amp;H34,"Открыть чат")</f>
        <v/>
      </c>
      <c r="M34" s="38" t="inlineStr">
        <is>
          <t>Краснодар</t>
        </is>
      </c>
      <c r="N34" s="38" t="n">
        <v>5</v>
      </c>
      <c r="O34" s="38" t="n">
        <v>17</v>
      </c>
      <c r="P34" s="38" t="inlineStr">
        <is>
          <t>mastilit.ru</t>
        </is>
      </c>
      <c r="Q34" s="38" t="inlineStr">
        <is>
          <t>есть сайт: сначала впиши в текст, что на нём не так</t>
        </is>
      </c>
      <c r="R34" s="38" t="n">
        <v>1</v>
      </c>
      <c r="S34" s="38" t="inlineStr">
        <is>
          <t>Краснодарский край</t>
        </is>
      </c>
      <c r="T34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«Мастилит», где это исправлено, и показать. Собрать?</t>
        </is>
      </c>
      <c r="U34" s="38">
        <f>B34&amp;IF(D34&lt;&gt;""," · "&amp;D34,"")&amp;IF(F34&lt;&gt;"",CHAR(10)&amp;F34,"")</f>
        <v/>
      </c>
      <c r="V34" s="38">
        <f>IF(OR(F34="просрочено",F34="сегодня",F34="укажи дату",LEFT(F34,6)="молчит"),1,0)</f>
        <v/>
      </c>
    </row>
    <row r="35" ht="24" customHeight="1">
      <c r="A35" s="38" t="n">
        <v>34</v>
      </c>
      <c r="B35" s="32" t="inlineStr">
        <is>
          <t>СтройСит</t>
        </is>
      </c>
      <c r="C35" s="49" t="inlineStr">
        <is>
          <t>Очередь</t>
        </is>
      </c>
      <c r="D35" s="49" t="n"/>
      <c r="E35" s="50" t="n"/>
      <c r="F35" s="51">
        <f>IF(OR(C35="",C35="Очередь",C35="Клиент",C35="Отказ",C35="Не писать"),"",IF(E35="",IF(AND(C35="Отправлено",I35&lt;&gt;"",TODAY()-INT(I35)&gt;=3),"молчит "&amp;(TODAY()-INT(I35))&amp;" дн.",IF(OR(C35="Перезвонить",C35="Созвон"),"укажи дату","")),IF(INT(E35)&lt;TODAY(),"просрочено",IF(INT(E35)=TODAY(),"сегодня",IF(INT(E35)=TODAY()+1,"завтра",TEXT(E35,"dd.mm"))))))</f>
        <v/>
      </c>
      <c r="G35" s="52" t="n"/>
      <c r="H35" s="36" t="inlineStr">
        <is>
          <t>79892201420</t>
        </is>
      </c>
      <c r="I35" s="53" t="n"/>
      <c r="J35" s="38">
        <f>IFERROR(MATCH(C35,'Справка'!$A$12:$A$21,0),99)</f>
        <v/>
      </c>
      <c r="K35" s="39">
        <f>HYPERLINK("https://wa.me/"&amp;H35&amp;"?text="&amp;ENCODEURL(T35),"✉ Написать")</f>
        <v/>
      </c>
      <c r="L35" s="39">
        <f>HYPERLINK("https://wa.me/"&amp;H35,"Открыть чат")</f>
        <v/>
      </c>
      <c r="M35" s="38" t="inlineStr">
        <is>
          <t>Краснодар</t>
        </is>
      </c>
      <c r="N35" s="38" t="n">
        <v>5</v>
      </c>
      <c r="O35" s="38" t="n">
        <v>14</v>
      </c>
      <c r="P35" s="38" t="inlineStr">
        <is>
          <t>stroysit.ru</t>
        </is>
      </c>
      <c r="Q35" s="38" t="inlineStr">
        <is>
          <t>есть сайт: сначала впиши в текст, что на нём не так</t>
        </is>
      </c>
      <c r="R35" s="38" t="n">
        <v>1</v>
      </c>
      <c r="S35" s="38" t="inlineStr">
        <is>
          <t>Краснодарский край</t>
        </is>
      </c>
      <c r="T35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«СтройСит», где это исправлено, и показать. Собрать?</t>
        </is>
      </c>
      <c r="U35" s="38">
        <f>B35&amp;IF(D35&lt;&gt;""," · "&amp;D35,"")&amp;IF(F35&lt;&gt;"",CHAR(10)&amp;F35,"")</f>
        <v/>
      </c>
      <c r="V35" s="38">
        <f>IF(OR(F35="просрочено",F35="сегодня",F35="укажи дату",LEFT(F35,6)="молчит"),1,0)</f>
        <v/>
      </c>
    </row>
    <row r="36" ht="24" customHeight="1">
      <c r="A36" s="38" t="n">
        <v>35</v>
      </c>
      <c r="B36" s="32" t="inlineStr">
        <is>
          <t>DomThermos</t>
        </is>
      </c>
      <c r="C36" s="49" t="inlineStr">
        <is>
          <t>Очередь</t>
        </is>
      </c>
      <c r="D36" s="49" t="n"/>
      <c r="E36" s="50" t="n"/>
      <c r="F36" s="51">
        <f>IF(OR(C36="",C36="Очередь",C36="Клиент",C36="Отказ",C36="Не писать"),"",IF(E36="",IF(AND(C36="Отправлено",I36&lt;&gt;"",TODAY()-INT(I36)&gt;=3),"молчит "&amp;(TODAY()-INT(I36))&amp;" дн.",IF(OR(C36="Перезвонить",C36="Созвон"),"укажи дату","")),IF(INT(E36)&lt;TODAY(),"просрочено",IF(INT(E36)=TODAY(),"сегодня",IF(INT(E36)=TODAY()+1,"завтра",TEXT(E36,"dd.mm"))))))</f>
        <v/>
      </c>
      <c r="G36" s="52" t="n"/>
      <c r="H36" s="36" t="inlineStr">
        <is>
          <t>79283326452</t>
        </is>
      </c>
      <c r="I36" s="53" t="n"/>
      <c r="J36" s="38">
        <f>IFERROR(MATCH(C36,'Справка'!$A$12:$A$21,0),99)</f>
        <v/>
      </c>
      <c r="K36" s="39">
        <f>HYPERLINK("https://wa.me/"&amp;H36&amp;"?text="&amp;ENCODEURL(T36),"✉ Написать")</f>
        <v/>
      </c>
      <c r="L36" s="39">
        <f>HYPERLINK("https://wa.me/"&amp;H36,"Открыть чат")</f>
        <v/>
      </c>
      <c r="M36" s="38" t="inlineStr">
        <is>
          <t>Краснодар</t>
        </is>
      </c>
      <c r="N36" s="38" t="n">
        <v>4.9</v>
      </c>
      <c r="O36" s="38" t="n">
        <v>11</v>
      </c>
      <c r="P36" s="38" t="inlineStr">
        <is>
          <t>domthermos.ru</t>
        </is>
      </c>
      <c r="Q36" s="38" t="inlineStr">
        <is>
          <t>есть сайт: сначала впиши в текст, что на нём не так</t>
        </is>
      </c>
      <c r="R36" s="38" t="n">
        <v>1</v>
      </c>
      <c r="S36" s="38" t="inlineStr">
        <is>
          <t>Краснодарский край</t>
        </is>
      </c>
      <c r="T36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«DomThermos», где это исправлено, и показать. Собрать?</t>
        </is>
      </c>
      <c r="U36" s="38">
        <f>B36&amp;IF(D36&lt;&gt;""," · "&amp;D36,"")&amp;IF(F36&lt;&gt;"",CHAR(10)&amp;F36,"")</f>
        <v/>
      </c>
      <c r="V36" s="38">
        <f>IF(OR(F36="просрочено",F36="сегодня",F36="укажи дату",LEFT(F36,6)="молчит"),1,0)</f>
        <v/>
      </c>
    </row>
    <row r="37" ht="24" customHeight="1">
      <c r="A37" s="38" t="n">
        <v>36</v>
      </c>
      <c r="B37" s="32" t="inlineStr">
        <is>
          <t>МирСтрой</t>
        </is>
      </c>
      <c r="C37" s="49" t="inlineStr">
        <is>
          <t>Очередь</t>
        </is>
      </c>
      <c r="D37" s="49" t="n"/>
      <c r="E37" s="50" t="n"/>
      <c r="F37" s="51">
        <f>IF(OR(C37="",C37="Очередь",C37="Клиент",C37="Отказ",C37="Не писать"),"",IF(E37="",IF(AND(C37="Отправлено",I37&lt;&gt;"",TODAY()-INT(I37)&gt;=3),"молчит "&amp;(TODAY()-INT(I37))&amp;" дн.",IF(OR(C37="Перезвонить",C37="Созвон"),"укажи дату","")),IF(INT(E37)&lt;TODAY(),"просрочено",IF(INT(E37)=TODAY(),"сегодня",IF(INT(E37)=TODAY()+1,"завтра",TEXT(E37,"dd.mm"))))))</f>
        <v/>
      </c>
      <c r="G37" s="52" t="n"/>
      <c r="H37" s="36" t="inlineStr">
        <is>
          <t>79933208200</t>
        </is>
      </c>
      <c r="I37" s="53" t="n"/>
      <c r="J37" s="38">
        <f>IFERROR(MATCH(C37,'Справка'!$A$12:$A$21,0),99)</f>
        <v/>
      </c>
      <c r="K37" s="39">
        <f>HYPERLINK("https://wa.me/"&amp;H37&amp;"?text="&amp;ENCODEURL(T37),"✉ Написать")</f>
        <v/>
      </c>
      <c r="L37" s="39">
        <f>HYPERLINK("https://wa.me/"&amp;H37,"Открыть чат")</f>
        <v/>
      </c>
      <c r="M37" s="38" t="inlineStr">
        <is>
          <t>Краснодар</t>
        </is>
      </c>
      <c r="N37" s="38" t="n">
        <v>5</v>
      </c>
      <c r="O37" s="38" t="n">
        <v>8</v>
      </c>
      <c r="P37" s="38" t="inlineStr">
        <is>
          <t>mirstroyrus.ru</t>
        </is>
      </c>
      <c r="Q37" s="38" t="inlineStr">
        <is>
          <t>есть сайт: сначала впиши в текст, что на нём не так</t>
        </is>
      </c>
      <c r="R37" s="38" t="n">
        <v>1</v>
      </c>
      <c r="S37" s="38" t="inlineStr">
        <is>
          <t>Краснодарский край</t>
        </is>
      </c>
      <c r="T37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«МирСтрой», где это исправлено, и показать. Собрать?</t>
        </is>
      </c>
      <c r="U37" s="38">
        <f>B37&amp;IF(D37&lt;&gt;""," · "&amp;D37,"")&amp;IF(F37&lt;&gt;"",CHAR(10)&amp;F37,"")</f>
        <v/>
      </c>
      <c r="V37" s="38">
        <f>IF(OR(F37="просрочено",F37="сегодня",F37="укажи дату",LEFT(F37,6)="молчит"),1,0)</f>
        <v/>
      </c>
    </row>
    <row r="38" ht="24" customHeight="1">
      <c r="A38" s="38" t="n">
        <v>37</v>
      </c>
      <c r="B38" s="32" t="inlineStr">
        <is>
          <t>Кубанькровля</t>
        </is>
      </c>
      <c r="C38" s="49" t="inlineStr">
        <is>
          <t>Очередь</t>
        </is>
      </c>
      <c r="D38" s="49" t="n"/>
      <c r="E38" s="50" t="n"/>
      <c r="F38" s="51">
        <f>IF(OR(C38="",C38="Очередь",C38="Клиент",C38="Отказ",C38="Не писать"),"",IF(E38="",IF(AND(C38="Отправлено",I38&lt;&gt;"",TODAY()-INT(I38)&gt;=3),"молчит "&amp;(TODAY()-INT(I38))&amp;" дн.",IF(OR(C38="Перезвонить",C38="Созвон"),"укажи дату","")),IF(INT(E38)&lt;TODAY(),"просрочено",IF(INT(E38)=TODAY(),"сегодня",IF(INT(E38)=TODAY()+1,"завтра",TEXT(E38,"dd.mm"))))))</f>
        <v/>
      </c>
      <c r="G38" s="52" t="n"/>
      <c r="H38" s="36" t="inlineStr">
        <is>
          <t>79528631434</t>
        </is>
      </c>
      <c r="I38" s="53" t="n"/>
      <c r="J38" s="38">
        <f>IFERROR(MATCH(C38,'Справка'!$A$12:$A$21,0),99)</f>
        <v/>
      </c>
      <c r="K38" s="39">
        <f>HYPERLINK("https://wa.me/"&amp;H38&amp;"?text="&amp;ENCODEURL(T38),"✉ Написать")</f>
        <v/>
      </c>
      <c r="L38" s="39">
        <f>HYPERLINK("https://wa.me/"&amp;H38,"Открыть чат")</f>
        <v/>
      </c>
      <c r="M38" s="38" t="inlineStr">
        <is>
          <t>Краснодар</t>
        </is>
      </c>
      <c r="N38" s="38" t="n">
        <v>5</v>
      </c>
      <c r="O38" s="38" t="n">
        <v>3</v>
      </c>
      <c r="P38" s="38" t="inlineStr">
        <is>
          <t>кубанькровля.рф</t>
        </is>
      </c>
      <c r="Q38" s="38" t="inlineStr">
        <is>
          <t>есть сайт: сначала впиши в текст, что на нём не так</t>
        </is>
      </c>
      <c r="R38" s="38" t="n">
        <v>1</v>
      </c>
      <c r="S38" s="38" t="inlineStr">
        <is>
          <t>Краснодарский край</t>
        </is>
      </c>
      <c r="T38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«Кубанькровля», где это исправлено, и показать. Собрать?</t>
        </is>
      </c>
      <c r="U38" s="38">
        <f>B38&amp;IF(D38&lt;&gt;""," · "&amp;D38,"")&amp;IF(F38&lt;&gt;"",CHAR(10)&amp;F38,"")</f>
        <v/>
      </c>
      <c r="V38" s="38">
        <f>IF(OR(F38="просрочено",F38="сегодня",F38="укажи дату",LEFT(F38,6)="молчит"),1,0)</f>
        <v/>
      </c>
    </row>
    <row r="39" ht="24" customHeight="1">
      <c r="A39" s="38" t="n">
        <v>38</v>
      </c>
      <c r="B39" s="32" t="inlineStr">
        <is>
          <t>Краснодарская монтажная компания</t>
        </is>
      </c>
      <c r="C39" s="49" t="inlineStr">
        <is>
          <t>Очередь</t>
        </is>
      </c>
      <c r="D39" s="49" t="n"/>
      <c r="E39" s="50" t="n"/>
      <c r="F39" s="51">
        <f>IF(OR(C39="",C39="Очередь",C39="Клиент",C39="Отказ",C39="Не писать"),"",IF(E39="",IF(AND(C39="Отправлено",I39&lt;&gt;"",TODAY()-INT(I39)&gt;=3),"молчит "&amp;(TODAY()-INT(I39))&amp;" дн.",IF(OR(C39="Перезвонить",C39="Созвон"),"укажи дату","")),IF(INT(E39)&lt;TODAY(),"просрочено",IF(INT(E39)=TODAY(),"сегодня",IF(INT(E39)=TODAY()+1,"завтра",TEXT(E39,"dd.mm"))))))</f>
        <v/>
      </c>
      <c r="G39" s="52" t="n"/>
      <c r="H39" s="36" t="inlineStr">
        <is>
          <t>79180095377</t>
        </is>
      </c>
      <c r="I39" s="53" t="n"/>
      <c r="J39" s="38">
        <f>IFERROR(MATCH(C39,'Справка'!$A$12:$A$21,0),99)</f>
        <v/>
      </c>
      <c r="K39" s="39">
        <f>HYPERLINK("https://wa.me/"&amp;H39&amp;"?text="&amp;ENCODEURL(T39),"✉ Написать")</f>
        <v/>
      </c>
      <c r="L39" s="39">
        <f>HYPERLINK("https://wa.me/"&amp;H39,"Открыть чат")</f>
        <v/>
      </c>
      <c r="M39" s="38" t="inlineStr">
        <is>
          <t>Краснодар</t>
        </is>
      </c>
      <c r="N39" s="38" t="n">
        <v>5</v>
      </c>
      <c r="O39" s="38" t="n">
        <v>2</v>
      </c>
      <c r="P39" s="38" t="inlineStr">
        <is>
          <t>кмк23.рф</t>
        </is>
      </c>
      <c r="Q39" s="38" t="inlineStr">
        <is>
          <t>есть сайт: сначала впиши в текст, что на нём не так</t>
        </is>
      </c>
      <c r="R39" s="38" t="n">
        <v>1</v>
      </c>
      <c r="S39" s="38" t="inlineStr">
        <is>
          <t>Краснодарский край</t>
        </is>
      </c>
      <c r="T39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«Краснодарская монтажная компания», где это исправлено, и показать. Собрать?</t>
        </is>
      </c>
      <c r="U39" s="38">
        <f>B39&amp;IF(D39&lt;&gt;""," · "&amp;D39,"")&amp;IF(F39&lt;&gt;"",CHAR(10)&amp;F39,"")</f>
        <v/>
      </c>
      <c r="V39" s="38">
        <f>IF(OR(F39="просрочено",F39="сегодня",F39="укажи дату",LEFT(F39,6)="молчит"),1,0)</f>
        <v/>
      </c>
    </row>
    <row r="40" ht="24" customHeight="1">
      <c r="A40" s="38" t="n">
        <v>39</v>
      </c>
      <c r="B40" s="32" t="inlineStr">
        <is>
          <t>Лучший город</t>
        </is>
      </c>
      <c r="C40" s="49" t="inlineStr">
        <is>
          <t>Очередь</t>
        </is>
      </c>
      <c r="D40" s="49" t="n"/>
      <c r="E40" s="50" t="n"/>
      <c r="F40" s="51">
        <f>IF(OR(C40="",C40="Очередь",C40="Клиент",C40="Отказ",C40="Не писать"),"",IF(E40="",IF(AND(C40="Отправлено",I40&lt;&gt;"",TODAY()-INT(I40)&gt;=3),"молчит "&amp;(TODAY()-INT(I40))&amp;" дн.",IF(OR(C40="Перезвонить",C40="Созвон"),"укажи дату","")),IF(INT(E40)&lt;TODAY(),"просрочено",IF(INT(E40)=TODAY(),"сегодня",IF(INT(E40)=TODAY()+1,"завтра",TEXT(E40,"dd.mm"))))))</f>
        <v/>
      </c>
      <c r="G40" s="52" t="n"/>
      <c r="H40" s="36" t="inlineStr">
        <is>
          <t>79323212579</t>
        </is>
      </c>
      <c r="I40" s="53" t="n"/>
      <c r="J40" s="38">
        <f>IFERROR(MATCH(C40,'Справка'!$A$12:$A$21,0),99)</f>
        <v/>
      </c>
      <c r="K40" s="39">
        <f>HYPERLINK("https://wa.me/"&amp;H40&amp;"?text="&amp;ENCODEURL(T40),"✉ Написать")</f>
        <v/>
      </c>
      <c r="L40" s="39">
        <f>HYPERLINK("https://wa.me/"&amp;H40,"Открыть чат")</f>
        <v/>
      </c>
      <c r="M40" s="38" t="inlineStr">
        <is>
          <t>Краснодар</t>
        </is>
      </c>
      <c r="N40" s="38" t="n">
        <v>5</v>
      </c>
      <c r="O40" s="38" t="n">
        <v>1</v>
      </c>
      <c r="P40" s="38" t="inlineStr">
        <is>
          <t>psklg-dom.ru</t>
        </is>
      </c>
      <c r="Q40" s="38" t="inlineStr">
        <is>
          <t>есть сайт: сначала впиши в текст, что на нём не так</t>
        </is>
      </c>
      <c r="R40" s="38" t="n">
        <v>1</v>
      </c>
      <c r="S40" s="38" t="inlineStr">
        <is>
          <t>Краснодарский край</t>
        </is>
      </c>
      <c r="T40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«Лучший город», где это исправлено, и показать. Собрать?</t>
        </is>
      </c>
      <c r="U40" s="38">
        <f>B40&amp;IF(D40&lt;&gt;""," · "&amp;D40,"")&amp;IF(F40&lt;&gt;"",CHAR(10)&amp;F40,"")</f>
        <v/>
      </c>
      <c r="V40" s="38">
        <f>IF(OR(F40="просрочено",F40="сегодня",F40="укажи дату",LEFT(F40,6)="молчит"),1,0)</f>
        <v/>
      </c>
    </row>
    <row r="41" ht="24" customHeight="1">
      <c r="A41" s="38" t="n">
        <v>40</v>
      </c>
      <c r="B41" s="32" t="inlineStr">
        <is>
          <t>Компания по кровельным работам</t>
        </is>
      </c>
      <c r="C41" s="49" t="inlineStr">
        <is>
          <t>Очередь</t>
        </is>
      </c>
      <c r="D41" s="49" t="n"/>
      <c r="E41" s="50" t="n"/>
      <c r="F41" s="51">
        <f>IF(OR(C41="",C41="Очередь",C41="Клиент",C41="Отказ",C41="Не писать"),"",IF(E41="",IF(AND(C41="Отправлено",I41&lt;&gt;"",TODAY()-INT(I41)&gt;=3),"молчит "&amp;(TODAY()-INT(I41))&amp;" дн.",IF(OR(C41="Перезвонить",C41="Созвон"),"укажи дату","")),IF(INT(E41)&lt;TODAY(),"просрочено",IF(INT(E41)=TODAY(),"сегодня",IF(INT(E41)=TODAY()+1,"завтра",TEXT(E41,"dd.mm"))))))</f>
        <v/>
      </c>
      <c r="G41" s="52" t="n"/>
      <c r="H41" s="36" t="inlineStr">
        <is>
          <t>79528378003</t>
        </is>
      </c>
      <c r="I41" s="53" t="n"/>
      <c r="J41" s="38">
        <f>IFERROR(MATCH(C41,'Справка'!$A$12:$A$21,0),99)</f>
        <v/>
      </c>
      <c r="K41" s="39">
        <f>HYPERLINK("https://wa.me/"&amp;H41&amp;"?text="&amp;ENCODEURL(T41),"✉ Написать")</f>
        <v/>
      </c>
      <c r="L41" s="39">
        <f>HYPERLINK("https://wa.me/"&amp;H41,"Открыть чат")</f>
        <v/>
      </c>
      <c r="M41" s="38" t="inlineStr">
        <is>
          <t>Краснодар</t>
        </is>
      </c>
      <c r="N41" s="38" t="n">
        <v>5</v>
      </c>
      <c r="O41" s="38" t="n">
        <v>1</v>
      </c>
      <c r="P41" s="38" t="inlineStr">
        <is>
          <t>kit-rk.ru</t>
        </is>
      </c>
      <c r="Q41" s="38" t="inlineStr">
        <is>
          <t>есть сайт: сначала впиши в текст, что на нём не так</t>
        </is>
      </c>
      <c r="R41" s="38" t="n">
        <v>1</v>
      </c>
      <c r="S41" s="38" t="inlineStr">
        <is>
          <t>Краснодарский край</t>
        </is>
      </c>
      <c r="T41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«Компания по кровельным работам», где это исправлено, и показать. Собрать?</t>
        </is>
      </c>
      <c r="U41" s="38">
        <f>B41&amp;IF(D41&lt;&gt;""," · "&amp;D41,"")&amp;IF(F41&lt;&gt;"",CHAR(10)&amp;F41,"")</f>
        <v/>
      </c>
      <c r="V41" s="38">
        <f>IF(OR(F41="просрочено",F41="сегодня",F41="укажи дату",LEFT(F41,6)="молчит"),1,0)</f>
        <v/>
      </c>
    </row>
    <row r="42" ht="24" customHeight="1">
      <c r="A42" s="38" t="n">
        <v>41</v>
      </c>
      <c r="B42" s="32" t="inlineStr">
        <is>
          <t>Я.МиС</t>
        </is>
      </c>
      <c r="C42" s="49" t="inlineStr">
        <is>
          <t>Очередь</t>
        </is>
      </c>
      <c r="D42" s="49" t="n"/>
      <c r="E42" s="50" t="n"/>
      <c r="F42" s="51">
        <f>IF(OR(C42="",C42="Очередь",C42="Клиент",C42="Отказ",C42="Не писать"),"",IF(E42="",IF(AND(C42="Отправлено",I42&lt;&gt;"",TODAY()-INT(I42)&gt;=3),"молчит "&amp;(TODAY()-INT(I42))&amp;" дн.",IF(OR(C42="Перезвонить",C42="Созвон"),"укажи дату","")),IF(INT(E42)&lt;TODAY(),"просрочено",IF(INT(E42)=TODAY(),"сегодня",IF(INT(E42)=TODAY()+1,"завтра",TEXT(E42,"dd.mm"))))))</f>
        <v/>
      </c>
      <c r="G42" s="52" t="n"/>
      <c r="H42" s="36" t="inlineStr">
        <is>
          <t>79649290666</t>
        </is>
      </c>
      <c r="I42" s="53" t="n"/>
      <c r="J42" s="38">
        <f>IFERROR(MATCH(C42,'Справка'!$A$12:$A$21,0),99)</f>
        <v/>
      </c>
      <c r="K42" s="39">
        <f>HYPERLINK("https://wa.me/"&amp;H42&amp;"?text="&amp;ENCODEURL(T42),"✉ Написать")</f>
        <v/>
      </c>
      <c r="L42" s="39">
        <f>HYPERLINK("https://wa.me/"&amp;H42,"Открыть чат")</f>
        <v/>
      </c>
      <c r="M42" s="38" t="inlineStr">
        <is>
          <t>Краснодар</t>
        </is>
      </c>
      <c r="N42" s="38" t="n"/>
      <c r="O42" s="38" t="n"/>
      <c r="P42" s="38" t="inlineStr">
        <is>
          <t>ямис23.рф</t>
        </is>
      </c>
      <c r="Q42" s="38" t="inlineStr">
        <is>
          <t>есть сайт: сначала впиши в текст, что на нём не так</t>
        </is>
      </c>
      <c r="R42" s="38" t="n">
        <v>1</v>
      </c>
      <c r="S42" s="38" t="inlineStr">
        <is>
          <t>Краснодарский край</t>
        </is>
      </c>
      <c r="T42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«Я.МиС», где это исправлено, и показать. Собрать?</t>
        </is>
      </c>
      <c r="U42" s="38">
        <f>B42&amp;IF(D42&lt;&gt;""," · "&amp;D42,"")&amp;IF(F42&lt;&gt;"",CHAR(10)&amp;F42,"")</f>
        <v/>
      </c>
      <c r="V42" s="38">
        <f>IF(OR(F42="просрочено",F42="сегодня",F42="укажи дату",LEFT(F42,6)="молчит"),1,0)</f>
        <v/>
      </c>
    </row>
    <row r="43" ht="24" customHeight="1">
      <c r="A43" s="38" t="n">
        <v>42</v>
      </c>
      <c r="B43" s="32" t="inlineStr">
        <is>
          <t>ВИП-Защита</t>
        </is>
      </c>
      <c r="C43" s="49" t="inlineStr">
        <is>
          <t>Очередь</t>
        </is>
      </c>
      <c r="D43" s="49" t="n"/>
      <c r="E43" s="50" t="n"/>
      <c r="F43" s="51">
        <f>IF(OR(C43="",C43="Очередь",C43="Клиент",C43="Отказ",C43="Не писать"),"",IF(E43="",IF(AND(C43="Отправлено",I43&lt;&gt;"",TODAY()-INT(I43)&gt;=3),"молчит "&amp;(TODAY()-INT(I43))&amp;" дн.",IF(OR(C43="Перезвонить",C43="Созвон"),"укажи дату","")),IF(INT(E43)&lt;TODAY(),"просрочено",IF(INT(E43)=TODAY(),"сегодня",IF(INT(E43)=TODAY()+1,"завтра",TEXT(E43,"dd.mm"))))))</f>
        <v/>
      </c>
      <c r="G43" s="52" t="n"/>
      <c r="H43" s="36" t="inlineStr">
        <is>
          <t>79183669547</t>
        </is>
      </c>
      <c r="I43" s="53" t="n"/>
      <c r="J43" s="38">
        <f>IFERROR(MATCH(C43,'Справка'!$A$12:$A$21,0),99)</f>
        <v/>
      </c>
      <c r="K43" s="39">
        <f>HYPERLINK("https://wa.me/"&amp;H43&amp;"?text="&amp;ENCODEURL(T43),"✉ Написать")</f>
        <v/>
      </c>
      <c r="L43" s="39">
        <f>HYPERLINK("https://wa.me/"&amp;H43,"Открыть чат")</f>
        <v/>
      </c>
      <c r="M43" s="38" t="inlineStr">
        <is>
          <t>Краснодар</t>
        </is>
      </c>
      <c r="N43" s="38" t="n"/>
      <c r="O43" s="38" t="n"/>
      <c r="P43" s="38" t="inlineStr">
        <is>
          <t>vip-zaschita.ru</t>
        </is>
      </c>
      <c r="Q43" s="38" t="inlineStr">
        <is>
          <t>есть сайт: сначала впиши в текст, что на нём не так</t>
        </is>
      </c>
      <c r="R43" s="38" t="n">
        <v>1</v>
      </c>
      <c r="S43" s="38" t="inlineStr">
        <is>
          <t>Краснодарский край</t>
        </is>
      </c>
      <c r="T43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«ВИП-Защита», где это исправлено, и показать. Собрать?</t>
        </is>
      </c>
      <c r="U43" s="38">
        <f>B43&amp;IF(D43&lt;&gt;""," · "&amp;D43,"")&amp;IF(F43&lt;&gt;"",CHAR(10)&amp;F43,"")</f>
        <v/>
      </c>
      <c r="V43" s="38">
        <f>IF(OR(F43="просрочено",F43="сегодня",F43="укажи дату",LEFT(F43,6)="молчит"),1,0)</f>
        <v/>
      </c>
    </row>
    <row r="44" ht="24" customHeight="1">
      <c r="A44" s="38" t="n">
        <v>43</v>
      </c>
      <c r="B44" s="32" t="inlineStr">
        <is>
          <t>Компания по строительству деревянных домов</t>
        </is>
      </c>
      <c r="C44" s="49" t="inlineStr">
        <is>
          <t>Очередь</t>
        </is>
      </c>
      <c r="D44" s="49" t="n"/>
      <c r="E44" s="50" t="n"/>
      <c r="F44" s="51">
        <f>IF(OR(C44="",C44="Очередь",C44="Клиент",C44="Отказ",C44="Не писать"),"",IF(E44="",IF(AND(C44="Отправлено",I44&lt;&gt;"",TODAY()-INT(I44)&gt;=3),"молчит "&amp;(TODAY()-INT(I44))&amp;" дн.",IF(OR(C44="Перезвонить",C44="Созвон"),"укажи дату","")),IF(INT(E44)&lt;TODAY(),"просрочено",IF(INT(E44)=TODAY(),"сегодня",IF(INT(E44)=TODAY()+1,"завтра",TEXT(E44,"dd.mm"))))))</f>
        <v/>
      </c>
      <c r="G44" s="52" t="n"/>
      <c r="H44" s="36" t="inlineStr">
        <is>
          <t>79186264455</t>
        </is>
      </c>
      <c r="I44" s="53" t="n"/>
      <c r="J44" s="38">
        <f>IFERROR(MATCH(C44,'Справка'!$A$12:$A$21,0),99)</f>
        <v/>
      </c>
      <c r="K44" s="39">
        <f>HYPERLINK("https://wa.me/"&amp;H44&amp;"?text="&amp;ENCODEURL(T44),"✉ Написать")</f>
        <v/>
      </c>
      <c r="L44" s="39">
        <f>HYPERLINK("https://wa.me/"&amp;H44,"Открыть чат")</f>
        <v/>
      </c>
      <c r="M44" s="38" t="inlineStr">
        <is>
          <t>Краснодар</t>
        </is>
      </c>
      <c r="N44" s="38" t="n"/>
      <c r="O44" s="38" t="n"/>
      <c r="P44" s="38" t="inlineStr">
        <is>
          <t>woodhome23.ru</t>
        </is>
      </c>
      <c r="Q44" s="38" t="inlineStr">
        <is>
          <t>есть сайт: сначала впиши в текст, что на нём не так</t>
        </is>
      </c>
      <c r="R44" s="38" t="n">
        <v>1</v>
      </c>
      <c r="S44" s="38" t="inlineStr">
        <is>
          <t>Краснодарский край</t>
        </is>
      </c>
      <c r="T44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«Компания по строительству деревянных домов», где это исправлено, и показать. Собрать?</t>
        </is>
      </c>
      <c r="U44" s="38">
        <f>B44&amp;IF(D44&lt;&gt;""," · "&amp;D44,"")&amp;IF(F44&lt;&gt;"",CHAR(10)&amp;F44,"")</f>
        <v/>
      </c>
      <c r="V44" s="38">
        <f>IF(OR(F44="просрочено",F44="сегодня",F44="укажи дату",LEFT(F44,6)="молчит"),1,0)</f>
        <v/>
      </c>
    </row>
    <row r="45" ht="24" customHeight="1">
      <c r="A45" s="38" t="n">
        <v>44</v>
      </c>
      <c r="B45" s="32" t="inlineStr">
        <is>
          <t>Выездная компания</t>
        </is>
      </c>
      <c r="C45" s="49" t="inlineStr">
        <is>
          <t>Очередь</t>
        </is>
      </c>
      <c r="D45" s="49" t="n"/>
      <c r="E45" s="50" t="n"/>
      <c r="F45" s="51">
        <f>IF(OR(C45="",C45="Очередь",C45="Клиент",C45="Отказ",C45="Не писать"),"",IF(E45="",IF(AND(C45="Отправлено",I45&lt;&gt;"",TODAY()-INT(I45)&gt;=3),"молчит "&amp;(TODAY()-INT(I45))&amp;" дн.",IF(OR(C45="Перезвонить",C45="Созвон"),"укажи дату","")),IF(INT(E45)&lt;TODAY(),"просрочено",IF(INT(E45)=TODAY(),"сегодня",IF(INT(E45)=TODAY()+1,"завтра",TEXT(E45,"dd.mm"))))))</f>
        <v/>
      </c>
      <c r="G45" s="52" t="n"/>
      <c r="H45" s="36" t="inlineStr">
        <is>
          <t>79788551968</t>
        </is>
      </c>
      <c r="I45" s="53" t="n"/>
      <c r="J45" s="38">
        <f>IFERROR(MATCH(C45,'Справка'!$A$12:$A$21,0),99)</f>
        <v/>
      </c>
      <c r="K45" s="39">
        <f>HYPERLINK("https://wa.me/"&amp;H45&amp;"?text="&amp;ENCODEURL(T45),"✉ Написать")</f>
        <v/>
      </c>
      <c r="L45" s="39">
        <f>HYPERLINK("https://wa.me/"&amp;H45,"Открыть чат")</f>
        <v/>
      </c>
      <c r="M45" s="38" t="inlineStr">
        <is>
          <t>Краснодар</t>
        </is>
      </c>
      <c r="N45" s="38" t="n"/>
      <c r="O45" s="38" t="n"/>
      <c r="P45" s="38" t="inlineStr">
        <is>
          <t>solidroof.ru</t>
        </is>
      </c>
      <c r="Q45" s="38" t="inlineStr">
        <is>
          <t>есть сайт: сначала впиши в текст, что на нём не так</t>
        </is>
      </c>
      <c r="R45" s="38" t="n">
        <v>1</v>
      </c>
      <c r="S45" s="38" t="inlineStr">
        <is>
          <t>Краснодарский край</t>
        </is>
      </c>
      <c r="T45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«Выездная компания», где это исправлено, и показать. Собрать?</t>
        </is>
      </c>
      <c r="U45" s="38">
        <f>B45&amp;IF(D45&lt;&gt;""," · "&amp;D45,"")&amp;IF(F45&lt;&gt;"",CHAR(10)&amp;F45,"")</f>
        <v/>
      </c>
      <c r="V45" s="38">
        <f>IF(OR(F45="просрочено",F45="сегодня",F45="укажи дату",LEFT(F45,6)="молчит"),1,0)</f>
        <v/>
      </c>
    </row>
    <row r="46" ht="24" customHeight="1">
      <c r="A46" s="38" t="n">
        <v>45</v>
      </c>
      <c r="B46" s="32" t="inlineStr">
        <is>
          <t>Уютный дом</t>
        </is>
      </c>
      <c r="C46" s="49" t="inlineStr">
        <is>
          <t>Очередь</t>
        </is>
      </c>
      <c r="D46" s="49" t="n"/>
      <c r="E46" s="50" t="n"/>
      <c r="F46" s="51">
        <f>IF(OR(C46="",C46="Очередь",C46="Клиент",C46="Отказ",C46="Не писать"),"",IF(E46="",IF(AND(C46="Отправлено",I46&lt;&gt;"",TODAY()-INT(I46)&gt;=3),"молчит "&amp;(TODAY()-INT(I46))&amp;" дн.",IF(OR(C46="Перезвонить",C46="Созвон"),"укажи дату","")),IF(INT(E46)&lt;TODAY(),"просрочено",IF(INT(E46)=TODAY(),"сегодня",IF(INT(E46)=TODAY()+1,"завтра",TEXT(E46,"dd.mm"))))))</f>
        <v/>
      </c>
      <c r="G46" s="52" t="n"/>
      <c r="H46" s="36" t="inlineStr">
        <is>
          <t>79286614097</t>
        </is>
      </c>
      <c r="I46" s="53" t="n"/>
      <c r="J46" s="38">
        <f>IFERROR(MATCH(C46,'Справка'!$A$12:$A$21,0),99)</f>
        <v/>
      </c>
      <c r="K46" s="39">
        <f>HYPERLINK("https://wa.me/"&amp;H46&amp;"?text="&amp;ENCODEURL(T46),"✉ Написать")</f>
        <v/>
      </c>
      <c r="L46" s="39">
        <f>HYPERLINK("https://wa.me/"&amp;H46,"Открыть чат")</f>
        <v/>
      </c>
      <c r="M46" s="38" t="inlineStr">
        <is>
          <t>Краснодар</t>
        </is>
      </c>
      <c r="N46" s="38" t="n"/>
      <c r="O46" s="38" t="n"/>
      <c r="P46" s="38" t="inlineStr">
        <is>
          <t>уютные-окна.рф</t>
        </is>
      </c>
      <c r="Q46" s="38" t="inlineStr">
        <is>
          <t>есть сайт: сначала впиши в текст, что на нём не так</t>
        </is>
      </c>
      <c r="R46" s="38" t="n">
        <v>1</v>
      </c>
      <c r="S46" s="38" t="inlineStr">
        <is>
          <t>Краснодарский край</t>
        </is>
      </c>
      <c r="T46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«Уютный дом», где это исправлено, и показать. Собрать?</t>
        </is>
      </c>
      <c r="U46" s="38">
        <f>B46&amp;IF(D46&lt;&gt;""," · "&amp;D46,"")&amp;IF(F46&lt;&gt;"",CHAR(10)&amp;F46,"")</f>
        <v/>
      </c>
      <c r="V46" s="38">
        <f>IF(OR(F46="просрочено",F46="сегодня",F46="укажи дату",LEFT(F46,6)="молчит"),1,0)</f>
        <v/>
      </c>
    </row>
    <row r="47" ht="24" customHeight="1">
      <c r="A47" s="38" t="n">
        <v>46</v>
      </c>
      <c r="B47" s="32" t="inlineStr">
        <is>
          <t>Продом</t>
        </is>
      </c>
      <c r="C47" s="49" t="inlineStr">
        <is>
          <t>Очередь</t>
        </is>
      </c>
      <c r="D47" s="49" t="n"/>
      <c r="E47" s="50" t="n"/>
      <c r="F47" s="51">
        <f>IF(OR(C47="",C47="Очередь",C47="Клиент",C47="Отказ",C47="Не писать"),"",IF(E47="",IF(AND(C47="Отправлено",I47&lt;&gt;"",TODAY()-INT(I47)&gt;=3),"молчит "&amp;(TODAY()-INT(I47))&amp;" дн.",IF(OR(C47="Перезвонить",C47="Созвон"),"укажи дату","")),IF(INT(E47)&lt;TODAY(),"просрочено",IF(INT(E47)=TODAY(),"сегодня",IF(INT(E47)=TODAY()+1,"завтра",TEXT(E47,"dd.mm"))))))</f>
        <v/>
      </c>
      <c r="G47" s="52" t="n"/>
      <c r="H47" s="36" t="inlineStr">
        <is>
          <t>79284644133</t>
        </is>
      </c>
      <c r="I47" s="53" t="n"/>
      <c r="J47" s="38">
        <f>IFERROR(MATCH(C47,'Справка'!$A$12:$A$21,0),99)</f>
        <v/>
      </c>
      <c r="K47" s="39">
        <f>HYPERLINK("https://wa.me/"&amp;H47&amp;"?text="&amp;ENCODEURL(T47),"✉ Написать")</f>
        <v/>
      </c>
      <c r="L47" s="39">
        <f>HYPERLINK("https://wa.me/"&amp;H47,"Открыть чат")</f>
        <v/>
      </c>
      <c r="M47" s="38" t="inlineStr">
        <is>
          <t>Краснодар</t>
        </is>
      </c>
      <c r="N47" s="38" t="n"/>
      <c r="O47" s="38" t="n"/>
      <c r="P47" s="38" t="inlineStr">
        <is>
          <t>rskprodom.ru</t>
        </is>
      </c>
      <c r="Q47" s="38" t="inlineStr">
        <is>
          <t>есть сайт: сначала впиши в текст, что на нём не так</t>
        </is>
      </c>
      <c r="R47" s="38" t="n">
        <v>1</v>
      </c>
      <c r="S47" s="38" t="inlineStr">
        <is>
          <t>Краснодарский край</t>
        </is>
      </c>
      <c r="T47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«Продом», где это исправлено, и показать. Собрать?</t>
        </is>
      </c>
      <c r="U47" s="38">
        <f>B47&amp;IF(D47&lt;&gt;""," · "&amp;D47,"")&amp;IF(F47&lt;&gt;"",CHAR(10)&amp;F47,"")</f>
        <v/>
      </c>
      <c r="V47" s="38">
        <f>IF(OR(F47="просрочено",F47="сегодня",F47="укажи дату",LEFT(F47,6)="молчит"),1,0)</f>
        <v/>
      </c>
    </row>
    <row r="48" ht="24" customHeight="1">
      <c r="A48" s="38" t="n">
        <v>47</v>
      </c>
      <c r="B48" s="32" t="inlineStr">
        <is>
          <t>Дом фасадов</t>
        </is>
      </c>
      <c r="C48" s="49" t="inlineStr">
        <is>
          <t>Очередь</t>
        </is>
      </c>
      <c r="D48" s="49" t="n"/>
      <c r="E48" s="50" t="n"/>
      <c r="F48" s="51">
        <f>IF(OR(C48="",C48="Очередь",C48="Клиент",C48="Отказ",C48="Не писать"),"",IF(E48="",IF(AND(C48="Отправлено",I48&lt;&gt;"",TODAY()-INT(I48)&gt;=3),"молчит "&amp;(TODAY()-INT(I48))&amp;" дн.",IF(OR(C48="Перезвонить",C48="Созвон"),"укажи дату","")),IF(INT(E48)&lt;TODAY(),"просрочено",IF(INT(E48)=TODAY(),"сегодня",IF(INT(E48)=TODAY()+1,"завтра",TEXT(E48,"dd.mm"))))))</f>
        <v/>
      </c>
      <c r="G48" s="52" t="n"/>
      <c r="H48" s="36" t="inlineStr">
        <is>
          <t>79384301900</t>
        </is>
      </c>
      <c r="I48" s="53" t="n"/>
      <c r="J48" s="38">
        <f>IFERROR(MATCH(C48,'Справка'!$A$12:$A$21,0),99)</f>
        <v/>
      </c>
      <c r="K48" s="39">
        <f>HYPERLINK("https://wa.me/"&amp;H48&amp;"?text="&amp;ENCODEURL(T48),"✉ Написать")</f>
        <v/>
      </c>
      <c r="L48" s="39">
        <f>HYPERLINK("https://wa.me/"&amp;H48,"Открыть чат")</f>
        <v/>
      </c>
      <c r="M48" s="38" t="inlineStr">
        <is>
          <t>Краснодар</t>
        </is>
      </c>
      <c r="N48" s="38" t="n"/>
      <c r="O48" s="38" t="n"/>
      <c r="P48" s="38" t="inlineStr">
        <is>
          <t>dom-fasadov.ru</t>
        </is>
      </c>
      <c r="Q48" s="38" t="inlineStr">
        <is>
          <t>есть сайт: сначала впиши в текст, что на нём не так</t>
        </is>
      </c>
      <c r="R48" s="38" t="n">
        <v>1</v>
      </c>
      <c r="S48" s="38" t="inlineStr">
        <is>
          <t>Краснодарский край</t>
        </is>
      </c>
      <c r="T48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«Дом фасадов», где это исправлено, и показать. Собрать?</t>
        </is>
      </c>
      <c r="U48" s="38">
        <f>B48&amp;IF(D48&lt;&gt;""," · "&amp;D48,"")&amp;IF(F48&lt;&gt;"",CHAR(10)&amp;F48,"")</f>
        <v/>
      </c>
      <c r="V48" s="38">
        <f>IF(OR(F48="просрочено",F48="сегодня",F48="укажи дату",LEFT(F48,6)="молчит"),1,0)</f>
        <v/>
      </c>
    </row>
    <row r="49" ht="24" customHeight="1">
      <c r="A49" s="38" t="n">
        <v>48</v>
      </c>
      <c r="B49" s="32" t="inlineStr">
        <is>
          <t>Кровмонтажстрой</t>
        </is>
      </c>
      <c r="C49" s="49" t="inlineStr">
        <is>
          <t>Очередь</t>
        </is>
      </c>
      <c r="D49" s="49" t="n"/>
      <c r="E49" s="50" t="n"/>
      <c r="F49" s="51">
        <f>IF(OR(C49="",C49="Очередь",C49="Клиент",C49="Отказ",C49="Не писать"),"",IF(E49="",IF(AND(C49="Отправлено",I49&lt;&gt;"",TODAY()-INT(I49)&gt;=3),"молчит "&amp;(TODAY()-INT(I49))&amp;" дн.",IF(OR(C49="Перезвонить",C49="Созвон"),"укажи дату","")),IF(INT(E49)&lt;TODAY(),"просрочено",IF(INT(E49)=TODAY(),"сегодня",IF(INT(E49)=TODAY()+1,"завтра",TEXT(E49,"dd.mm"))))))</f>
        <v/>
      </c>
      <c r="G49" s="52" t="n"/>
      <c r="H49" s="36" t="inlineStr">
        <is>
          <t>79189384535</t>
        </is>
      </c>
      <c r="I49" s="53" t="n"/>
      <c r="J49" s="38">
        <f>IFERROR(MATCH(C49,'Справка'!$A$12:$A$21,0),99)</f>
        <v/>
      </c>
      <c r="K49" s="39">
        <f>HYPERLINK("https://wa.me/"&amp;H49&amp;"?text="&amp;ENCODEURL(T49),"✉ Написать")</f>
        <v/>
      </c>
      <c r="L49" s="39">
        <f>HYPERLINK("https://wa.me/"&amp;H49,"Открыть чат")</f>
        <v/>
      </c>
      <c r="M49" s="38" t="inlineStr">
        <is>
          <t>Краснодар</t>
        </is>
      </c>
      <c r="N49" s="38" t="n"/>
      <c r="O49" s="38" t="n"/>
      <c r="P49" s="38" t="inlineStr">
        <is>
          <t>kms123.ru</t>
        </is>
      </c>
      <c r="Q49" s="38" t="inlineStr">
        <is>
          <t>есть сайт: сначала впиши в текст, что на нём не так</t>
        </is>
      </c>
      <c r="R49" s="38" t="n">
        <v>1</v>
      </c>
      <c r="S49" s="38" t="inlineStr">
        <is>
          <t>Краснодарский край</t>
        </is>
      </c>
      <c r="T49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«Кровмонтажстрой», где это исправлено, и показать. Собрать?</t>
        </is>
      </c>
      <c r="U49" s="38">
        <f>B49&amp;IF(D49&lt;&gt;""," · "&amp;D49,"")&amp;IF(F49&lt;&gt;"",CHAR(10)&amp;F49,"")</f>
        <v/>
      </c>
      <c r="V49" s="38">
        <f>IF(OR(F49="просрочено",F49="сегодня",F49="укажи дату",LEFT(F49,6)="молчит"),1,0)</f>
        <v/>
      </c>
    </row>
    <row r="50" ht="24" customHeight="1">
      <c r="A50" s="38" t="n">
        <v>49</v>
      </c>
      <c r="B50" s="32" t="inlineStr">
        <is>
          <t>Кристалл-трейд</t>
        </is>
      </c>
      <c r="C50" s="49" t="inlineStr">
        <is>
          <t>Очередь</t>
        </is>
      </c>
      <c r="D50" s="49" t="n"/>
      <c r="E50" s="50" t="n"/>
      <c r="F50" s="51">
        <f>IF(OR(C50="",C50="Очередь",C50="Клиент",C50="Отказ",C50="Не писать"),"",IF(E50="",IF(AND(C50="Отправлено",I50&lt;&gt;"",TODAY()-INT(I50)&gt;=3),"молчит "&amp;(TODAY()-INT(I50))&amp;" дн.",IF(OR(C50="Перезвонить",C50="Созвон"),"укажи дату","")),IF(INT(E50)&lt;TODAY(),"просрочено",IF(INT(E50)=TODAY(),"сегодня",IF(INT(E50)=TODAY()+1,"завтра",TEXT(E50,"dd.mm"))))))</f>
        <v/>
      </c>
      <c r="G50" s="52" t="n"/>
      <c r="H50" s="36" t="inlineStr">
        <is>
          <t>79126625255</t>
        </is>
      </c>
      <c r="I50" s="53" t="n"/>
      <c r="J50" s="38">
        <f>IFERROR(MATCH(C50,'Справка'!$A$12:$A$21,0),99)</f>
        <v/>
      </c>
      <c r="K50" s="39">
        <f>HYPERLINK("https://wa.me/"&amp;H50&amp;"?text="&amp;ENCODEURL(T50),"✉ Написать")</f>
        <v/>
      </c>
      <c r="L50" s="39">
        <f>HYPERLINK("https://wa.me/"&amp;H50,"Открыть чат")</f>
        <v/>
      </c>
      <c r="M50" s="38" t="inlineStr">
        <is>
          <t>Краснодар</t>
        </is>
      </c>
      <c r="N50" s="38" t="n"/>
      <c r="O50" s="38" t="n"/>
      <c r="P50" s="38" t="inlineStr">
        <is>
          <t>roofdefect.ru</t>
        </is>
      </c>
      <c r="Q50" s="38" t="inlineStr">
        <is>
          <t>есть сайт: сначала впиши в текст, что на нём не так</t>
        </is>
      </c>
      <c r="R50" s="38" t="n">
        <v>1</v>
      </c>
      <c r="S50" s="38" t="inlineStr">
        <is>
          <t>Краснодарский край</t>
        </is>
      </c>
      <c r="T50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«Кристалл-трейд», где это исправлено, и показать. Собрать?</t>
        </is>
      </c>
      <c r="U50" s="38">
        <f>B50&amp;IF(D50&lt;&gt;""," · "&amp;D50,"")&amp;IF(F50&lt;&gt;"",CHAR(10)&amp;F50,"")</f>
        <v/>
      </c>
      <c r="V50" s="38">
        <f>IF(OR(F50="просрочено",F50="сегодня",F50="укажи дату",LEFT(F50,6)="молчит"),1,0)</f>
        <v/>
      </c>
    </row>
    <row r="51" ht="24" customHeight="1">
      <c r="A51" s="38" t="n">
        <v>50</v>
      </c>
      <c r="B51" s="32" t="inlineStr">
        <is>
          <t>Строительные системы</t>
        </is>
      </c>
      <c r="C51" s="49" t="inlineStr">
        <is>
          <t>Очередь</t>
        </is>
      </c>
      <c r="D51" s="49" t="n"/>
      <c r="E51" s="50" t="n"/>
      <c r="F51" s="51">
        <f>IF(OR(C51="",C51="Очередь",C51="Клиент",C51="Отказ",C51="Не писать"),"",IF(E51="",IF(AND(C51="Отправлено",I51&lt;&gt;"",TODAY()-INT(I51)&gt;=3),"молчит "&amp;(TODAY()-INT(I51))&amp;" дн.",IF(OR(C51="Перезвонить",C51="Созвон"),"укажи дату","")),IF(INT(E51)&lt;TODAY(),"просрочено",IF(INT(E51)=TODAY(),"сегодня",IF(INT(E51)=TODAY()+1,"завтра",TEXT(E51,"dd.mm"))))))</f>
        <v/>
      </c>
      <c r="G51" s="52" t="n"/>
      <c r="H51" s="36" t="inlineStr">
        <is>
          <t>79892919777</t>
        </is>
      </c>
      <c r="I51" s="53" t="n"/>
      <c r="J51" s="38">
        <f>IFERROR(MATCH(C51,'Справка'!$A$12:$A$21,0),99)</f>
        <v/>
      </c>
      <c r="K51" s="39">
        <f>HYPERLINK("https://wa.me/"&amp;H51&amp;"?text="&amp;ENCODEURL(T51),"✉ Написать")</f>
        <v/>
      </c>
      <c r="L51" s="39">
        <f>HYPERLINK("https://wa.me/"&amp;H51,"Открыть чат")</f>
        <v/>
      </c>
      <c r="M51" s="38" t="inlineStr">
        <is>
          <t>Краснодар</t>
        </is>
      </c>
      <c r="N51" s="38" t="n"/>
      <c r="O51" s="38" t="n"/>
      <c r="P51" s="38" t="inlineStr">
        <is>
          <t>stroit-systems.ru</t>
        </is>
      </c>
      <c r="Q51" s="38" t="inlineStr">
        <is>
          <t>есть сайт: сначала впиши в текст, что на нём не так</t>
        </is>
      </c>
      <c r="R51" s="38" t="n">
        <v>1</v>
      </c>
      <c r="S51" s="38" t="inlineStr">
        <is>
          <t>Краснодарский край</t>
        </is>
      </c>
      <c r="T51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«Строительные системы», где это исправлено, и показать. Собрать?</t>
        </is>
      </c>
      <c r="U51" s="38">
        <f>B51&amp;IF(D51&lt;&gt;""," · "&amp;D51,"")&amp;IF(F51&lt;&gt;"",CHAR(10)&amp;F51,"")</f>
        <v/>
      </c>
      <c r="V51" s="38">
        <f>IF(OR(F51="просрочено",F51="сегодня",F51="укажи дату",LEFT(F51,6)="молчит"),1,0)</f>
        <v/>
      </c>
    </row>
    <row r="52" ht="24" customHeight="1">
      <c r="A52" s="38" t="n">
        <v>51</v>
      </c>
      <c r="B52" s="32" t="inlineStr">
        <is>
          <t>Правильный Выбор</t>
        </is>
      </c>
      <c r="C52" s="49" t="inlineStr">
        <is>
          <t>Очередь</t>
        </is>
      </c>
      <c r="D52" s="49" t="n"/>
      <c r="E52" s="50" t="n"/>
      <c r="F52" s="51">
        <f>IF(OR(C52="",C52="Очередь",C52="Клиент",C52="Отказ",C52="Не писать"),"",IF(E52="",IF(AND(C52="Отправлено",I52&lt;&gt;"",TODAY()-INT(I52)&gt;=3),"молчит "&amp;(TODAY()-INT(I52))&amp;" дн.",IF(OR(C52="Перезвонить",C52="Созвон"),"укажи дату","")),IF(INT(E52)&lt;TODAY(),"просрочено",IF(INT(E52)=TODAY(),"сегодня",IF(INT(E52)=TODAY()+1,"завтра",TEXT(E52,"dd.mm"))))))</f>
        <v/>
      </c>
      <c r="G52" s="52" t="n"/>
      <c r="H52" s="36" t="inlineStr">
        <is>
          <t>79384001999</t>
        </is>
      </c>
      <c r="I52" s="53" t="n"/>
      <c r="J52" s="38">
        <f>IFERROR(MATCH(C52,'Справка'!$A$12:$A$21,0),99)</f>
        <v/>
      </c>
      <c r="K52" s="39">
        <f>HYPERLINK("https://wa.me/"&amp;H52&amp;"?text="&amp;ENCODEURL(T52),"✉ Написать")</f>
        <v/>
      </c>
      <c r="L52" s="39">
        <f>HYPERLINK("https://wa.me/"&amp;H52,"Открыть чат")</f>
        <v/>
      </c>
      <c r="M52" s="38" t="inlineStr">
        <is>
          <t>Краснодар</t>
        </is>
      </c>
      <c r="N52" s="38" t="n"/>
      <c r="O52" s="38" t="n"/>
      <c r="P52" s="38" t="inlineStr">
        <is>
          <t>www.pravvybor23.ru</t>
        </is>
      </c>
      <c r="Q52" s="38" t="inlineStr">
        <is>
          <t>есть сайт: сначала впиши в текст, что на нём не так</t>
        </is>
      </c>
      <c r="R52" s="38" t="n">
        <v>1</v>
      </c>
      <c r="S52" s="38" t="inlineStr">
        <is>
          <t>Краснодарский край</t>
        </is>
      </c>
      <c r="T52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«Правильный Выбор», где это исправлено, и показать. Собрать?</t>
        </is>
      </c>
      <c r="U52" s="38">
        <f>B52&amp;IF(D52&lt;&gt;""," · "&amp;D52,"")&amp;IF(F52&lt;&gt;"",CHAR(10)&amp;F52,"")</f>
        <v/>
      </c>
      <c r="V52" s="38">
        <f>IF(OR(F52="просрочено",F52="сегодня",F52="укажи дату",LEFT(F52,6)="молчит"),1,0)</f>
        <v/>
      </c>
    </row>
    <row r="53" ht="24" customHeight="1">
      <c r="A53" s="38" t="n">
        <v>52</v>
      </c>
      <c r="B53" s="32" t="inlineStr">
        <is>
          <t>Альянс Про</t>
        </is>
      </c>
      <c r="C53" s="49" t="inlineStr">
        <is>
          <t>Очередь</t>
        </is>
      </c>
      <c r="D53" s="49" t="n"/>
      <c r="E53" s="50" t="n"/>
      <c r="F53" s="51">
        <f>IF(OR(C53="",C53="Очередь",C53="Клиент",C53="Отказ",C53="Не писать"),"",IF(E53="",IF(AND(C53="Отправлено",I53&lt;&gt;"",TODAY()-INT(I53)&gt;=3),"молчит "&amp;(TODAY()-INT(I53))&amp;" дн.",IF(OR(C53="Перезвонить",C53="Созвон"),"укажи дату","")),IF(INT(E53)&lt;TODAY(),"просрочено",IF(INT(E53)=TODAY(),"сегодня",IF(INT(E53)=TODAY()+1,"завтра",TEXT(E53,"dd.mm"))))))</f>
        <v/>
      </c>
      <c r="G53" s="52" t="n"/>
      <c r="H53" s="36" t="inlineStr">
        <is>
          <t>79034117047</t>
        </is>
      </c>
      <c r="I53" s="53" t="n"/>
      <c r="J53" s="38">
        <f>IFERROR(MATCH(C53,'Справка'!$A$12:$A$21,0),99)</f>
        <v/>
      </c>
      <c r="K53" s="39">
        <f>HYPERLINK("https://wa.me/"&amp;H53&amp;"?text="&amp;ENCODEURL(T53),"✉ Написать")</f>
        <v/>
      </c>
      <c r="L53" s="39">
        <f>HYPERLINK("https://wa.me/"&amp;H53,"Открыть чат")</f>
        <v/>
      </c>
      <c r="M53" s="38" t="inlineStr">
        <is>
          <t>Краснодар</t>
        </is>
      </c>
      <c r="N53" s="38" t="n"/>
      <c r="O53" s="38" t="n"/>
      <c r="P53" s="38" t="inlineStr">
        <is>
          <t>aprosib.ru</t>
        </is>
      </c>
      <c r="Q53" s="38" t="inlineStr">
        <is>
          <t>есть сайт: сначала впиши в текст, что на нём не так</t>
        </is>
      </c>
      <c r="R53" s="38" t="n">
        <v>1</v>
      </c>
      <c r="S53" s="38" t="inlineStr">
        <is>
          <t>Краснодарский край</t>
        </is>
      </c>
      <c r="T53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«Альянс Про», где это исправлено, и показать. Собрать?</t>
        </is>
      </c>
      <c r="U53" s="38">
        <f>B53&amp;IF(D53&lt;&gt;""," · "&amp;D53,"")&amp;IF(F53&lt;&gt;"",CHAR(10)&amp;F53,"")</f>
        <v/>
      </c>
      <c r="V53" s="38">
        <f>IF(OR(F53="просрочено",F53="сегодня",F53="укажи дату",LEFT(F53,6)="молчит"),1,0)</f>
        <v/>
      </c>
    </row>
    <row r="54" ht="24" customHeight="1">
      <c r="A54" s="38" t="n">
        <v>53</v>
      </c>
      <c r="B54" s="32" t="inlineStr">
        <is>
          <t>Монолит стандарт</t>
        </is>
      </c>
      <c r="C54" s="49" t="inlineStr">
        <is>
          <t>Очередь</t>
        </is>
      </c>
      <c r="D54" s="49" t="n"/>
      <c r="E54" s="50" t="n"/>
      <c r="F54" s="51">
        <f>IF(OR(C54="",C54="Очередь",C54="Клиент",C54="Отказ",C54="Не писать"),"",IF(E54="",IF(AND(C54="Отправлено",I54&lt;&gt;"",TODAY()-INT(I54)&gt;=3),"молчит "&amp;(TODAY()-INT(I54))&amp;" дн.",IF(OR(C54="Перезвонить",C54="Созвон"),"укажи дату","")),IF(INT(E54)&lt;TODAY(),"просрочено",IF(INT(E54)=TODAY(),"сегодня",IF(INT(E54)=TODAY()+1,"завтра",TEXT(E54,"dd.mm"))))))</f>
        <v/>
      </c>
      <c r="G54" s="52" t="n"/>
      <c r="H54" s="36" t="inlineStr">
        <is>
          <t>79892315284</t>
        </is>
      </c>
      <c r="I54" s="53" t="n"/>
      <c r="J54" s="38">
        <f>IFERROR(MATCH(C54,'Справка'!$A$12:$A$21,0),99)</f>
        <v/>
      </c>
      <c r="K54" s="39">
        <f>HYPERLINK("https://wa.me/"&amp;H54&amp;"?text="&amp;ENCODEURL(T54),"✉ Написать")</f>
        <v/>
      </c>
      <c r="L54" s="39">
        <f>HYPERLINK("https://wa.me/"&amp;H54,"Открыть чат")</f>
        <v/>
      </c>
      <c r="M54" s="38" t="inlineStr">
        <is>
          <t>пос. Южный</t>
        </is>
      </c>
      <c r="N54" s="38" t="n"/>
      <c r="O54" s="38" t="n"/>
      <c r="P54" s="38" t="inlineStr">
        <is>
          <t>стройуслуги23.рф</t>
        </is>
      </c>
      <c r="Q54" s="38" t="inlineStr">
        <is>
          <t>есть сайт: сначала впиши в текст, что на нём не так</t>
        </is>
      </c>
      <c r="R54" s="38" t="n">
        <v>1</v>
      </c>
      <c r="S54" s="38" t="inlineStr">
        <is>
          <t>Краснодарский край</t>
        </is>
      </c>
      <c r="T54" s="38" t="inlineStr">
        <is>
          <t>Здравствуйте! Смотрел в 2ГИС кровельные компании в посёлке Южном, зашёл на ваш сайт с телефона: [ЧТО НЕ ТАК НА САЙТЕ].
Могу за вечер собрать вариант под «Монолит стандарт», где это исправлено, и показать. Собрать?</t>
        </is>
      </c>
      <c r="U54" s="38">
        <f>B54&amp;IF(D54&lt;&gt;""," · "&amp;D54,"")&amp;IF(F54&lt;&gt;"",CHAR(10)&amp;F54,"")</f>
        <v/>
      </c>
      <c r="V54" s="38">
        <f>IF(OR(F54="просрочено",F54="сегодня",F54="укажи дату",LEFT(F54,6)="молчит"),1,0)</f>
        <v/>
      </c>
    </row>
    <row r="55" ht="24" customHeight="1">
      <c r="A55" s="38" t="n">
        <v>54</v>
      </c>
      <c r="B55" s="32" t="inlineStr">
        <is>
          <t>Константа</t>
        </is>
      </c>
      <c r="C55" s="49" t="inlineStr">
        <is>
          <t>Очередь</t>
        </is>
      </c>
      <c r="D55" s="49" t="n"/>
      <c r="E55" s="50" t="n"/>
      <c r="F55" s="51">
        <f>IF(OR(C55="",C55="Очередь",C55="Клиент",C55="Отказ",C55="Не писать"),"",IF(E55="",IF(AND(C55="Отправлено",I55&lt;&gt;"",TODAY()-INT(I55)&gt;=3),"молчит "&amp;(TODAY()-INT(I55))&amp;" дн.",IF(OR(C55="Перезвонить",C55="Созвон"),"укажи дату","")),IF(INT(E55)&lt;TODAY(),"просрочено",IF(INT(E55)=TODAY(),"сегодня",IF(INT(E55)=TODAY()+1,"завтра",TEXT(E55,"dd.mm"))))))</f>
        <v/>
      </c>
      <c r="G55" s="52" t="n"/>
      <c r="H55" s="36" t="inlineStr">
        <is>
          <t>79034127545</t>
        </is>
      </c>
      <c r="I55" s="53" t="n"/>
      <c r="J55" s="38">
        <f>IFERROR(MATCH(C55,'Справка'!$A$12:$A$21,0),99)</f>
        <v/>
      </c>
      <c r="K55" s="39">
        <f>HYPERLINK("https://wa.me/"&amp;H55&amp;"?text="&amp;ENCODEURL(T55),"✉ Написать")</f>
        <v/>
      </c>
      <c r="L55" s="39">
        <f>HYPERLINK("https://wa.me/"&amp;H55,"Открыть чат")</f>
        <v/>
      </c>
      <c r="M55" s="38" t="inlineStr">
        <is>
          <t>Краснодар</t>
        </is>
      </c>
      <c r="N55" s="38" t="n">
        <v>5</v>
      </c>
      <c r="O55" s="38" t="n">
        <v>6</v>
      </c>
      <c r="P55" s="38" t="inlineStr">
        <is>
          <t>krasnodar.rkkb.ru</t>
        </is>
      </c>
      <c r="Q55" s="38" t="inlineStr">
        <is>
          <t>есть сайт: сначала впиши в текст, что на нём не так</t>
        </is>
      </c>
      <c r="R55" s="38" t="n">
        <v>1</v>
      </c>
      <c r="S55" s="38" t="inlineStr">
        <is>
          <t>Краснодарский край</t>
        </is>
      </c>
      <c r="T55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«Константа», где это исправлено, и показать. Собрать?</t>
        </is>
      </c>
      <c r="U55" s="38">
        <f>B55&amp;IF(D55&lt;&gt;""," · "&amp;D55,"")&amp;IF(F55&lt;&gt;"",CHAR(10)&amp;F55,"")</f>
        <v/>
      </c>
      <c r="V55" s="38">
        <f>IF(OR(F55="просрочено",F55="сегодня",F55="укажи дату",LEFT(F55,6)="молчит"),1,0)</f>
        <v/>
      </c>
    </row>
    <row r="56" ht="24" customHeight="1">
      <c r="A56" s="38" t="n">
        <v>55</v>
      </c>
      <c r="B56" s="32" t="inlineStr">
        <is>
          <t>Альпатекс</t>
        </is>
      </c>
      <c r="C56" s="49" t="inlineStr">
        <is>
          <t>Очередь</t>
        </is>
      </c>
      <c r="D56" s="49" t="n"/>
      <c r="E56" s="50" t="n"/>
      <c r="F56" s="51">
        <f>IF(OR(C56="",C56="Очередь",C56="Клиент",C56="Отказ",C56="Не писать"),"",IF(E56="",IF(AND(C56="Отправлено",I56&lt;&gt;"",TODAY()-INT(I56)&gt;=3),"молчит "&amp;(TODAY()-INT(I56))&amp;" дн.",IF(OR(C56="Перезвонить",C56="Созвон"),"укажи дату","")),IF(INT(E56)&lt;TODAY(),"просрочено",IF(INT(E56)=TODAY(),"сегодня",IF(INT(E56)=TODAY()+1,"завтра",TEXT(E56,"dd.mm"))))))</f>
        <v/>
      </c>
      <c r="G56" s="52" t="n"/>
      <c r="H56" s="36" t="inlineStr">
        <is>
          <t>79233537553</t>
        </is>
      </c>
      <c r="I56" s="53" t="n"/>
      <c r="J56" s="38">
        <f>IFERROR(MATCH(C56,'Справка'!$A$12:$A$21,0),99)</f>
        <v/>
      </c>
      <c r="K56" s="39">
        <f>HYPERLINK("https://wa.me/"&amp;H56&amp;"?text="&amp;ENCODEURL(T56),"✉ Написать")</f>
        <v/>
      </c>
      <c r="L56" s="39">
        <f>HYPERLINK("https://wa.me/"&amp;H56,"Открыть чат")</f>
        <v/>
      </c>
      <c r="M56" s="38" t="inlineStr">
        <is>
          <t>Краснодар</t>
        </is>
      </c>
      <c r="N56" s="38" t="n">
        <v>4.6</v>
      </c>
      <c r="O56" s="38" t="n">
        <v>11</v>
      </c>
      <c r="P56" s="38" t="inlineStr">
        <is>
          <t>krasnodar.alpateks.ru</t>
        </is>
      </c>
      <c r="Q56" s="38" t="inlineStr">
        <is>
          <t>есть сайт: сначала впиши в текст, что на нём не так, WhatsApp не подтверждён</t>
        </is>
      </c>
      <c r="R56" s="38" t="n">
        <v>1</v>
      </c>
      <c r="S56" s="38" t="inlineStr">
        <is>
          <t>Краснодарский край</t>
        </is>
      </c>
      <c r="T56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«Альпатекс», где это исправлено, и показать. Собрать?</t>
        </is>
      </c>
      <c r="U56" s="38">
        <f>B56&amp;IF(D56&lt;&gt;""," · "&amp;D56,"")&amp;IF(F56&lt;&gt;"",CHAR(10)&amp;F56,"")</f>
        <v/>
      </c>
      <c r="V56" s="38">
        <f>IF(OR(F56="просрочено",F56="сегодня",F56="укажи дату",LEFT(F56,6)="молчит"),1,0)</f>
        <v/>
      </c>
    </row>
    <row r="57" ht="24" customHeight="1">
      <c r="A57" s="38" t="n">
        <v>56</v>
      </c>
      <c r="B57" s="32" t="inlineStr">
        <is>
          <t>Горизонты</t>
        </is>
      </c>
      <c r="C57" s="49" t="inlineStr">
        <is>
          <t>Очередь</t>
        </is>
      </c>
      <c r="D57" s="49" t="n"/>
      <c r="E57" s="50" t="n"/>
      <c r="F57" s="51">
        <f>IF(OR(C57="",C57="Очередь",C57="Клиент",C57="Отказ",C57="Не писать"),"",IF(E57="",IF(AND(C57="Отправлено",I57&lt;&gt;"",TODAY()-INT(I57)&gt;=3),"молчит "&amp;(TODAY()-INT(I57))&amp;" дн.",IF(OR(C57="Перезвонить",C57="Созвон"),"укажи дату","")),IF(INT(E57)&lt;TODAY(),"просрочено",IF(INT(E57)=TODAY(),"сегодня",IF(INT(E57)=TODAY()+1,"завтра",TEXT(E57,"dd.mm"))))))</f>
        <v/>
      </c>
      <c r="G57" s="52" t="n"/>
      <c r="H57" s="36" t="inlineStr">
        <is>
          <t>79298454508</t>
        </is>
      </c>
      <c r="I57" s="53" t="n"/>
      <c r="J57" s="38">
        <f>IFERROR(MATCH(C57,'Справка'!$A$12:$A$21,0),99)</f>
        <v/>
      </c>
      <c r="K57" s="39">
        <f>HYPERLINK("https://wa.me/"&amp;H57&amp;"?text="&amp;ENCODEURL(T57),"✉ Написать")</f>
        <v/>
      </c>
      <c r="L57" s="39">
        <f>HYPERLINK("https://wa.me/"&amp;H57,"Открыть чат")</f>
        <v/>
      </c>
      <c r="M57" s="38" t="inlineStr">
        <is>
          <t>Краснодар</t>
        </is>
      </c>
      <c r="N57" s="38" t="n">
        <v>5</v>
      </c>
      <c r="O57" s="38" t="n">
        <v>1</v>
      </c>
      <c r="P57" s="38" t="inlineStr">
        <is>
          <t>xn--c1aicvcclu5f.xn--p1ai/</t>
        </is>
      </c>
      <c r="Q57" s="38" t="inlineStr">
        <is>
          <t>есть сайт: сначала впиши в текст, что на нём не так, WhatsApp не подтверждён</t>
        </is>
      </c>
      <c r="R57" s="38" t="n">
        <v>1</v>
      </c>
      <c r="S57" s="38" t="inlineStr">
        <is>
          <t>Краснодарский край</t>
        </is>
      </c>
      <c r="T57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«Горизонты», где это исправлено, и показать. Собрать?</t>
        </is>
      </c>
      <c r="U57" s="38">
        <f>B57&amp;IF(D57&lt;&gt;""," · "&amp;D57,"")&amp;IF(F57&lt;&gt;"",CHAR(10)&amp;F57,"")</f>
        <v/>
      </c>
      <c r="V57" s="38">
        <f>IF(OR(F57="просрочено",F57="сегодня",F57="укажи дату",LEFT(F57,6)="молчит"),1,0)</f>
        <v/>
      </c>
    </row>
    <row r="58" ht="24" customHeight="1">
      <c r="A58" s="38" t="n">
        <v>57</v>
      </c>
      <c r="B58" s="32" t="inlineStr">
        <is>
          <t>Атм кровля</t>
        </is>
      </c>
      <c r="C58" s="49" t="inlineStr">
        <is>
          <t>Очередь</t>
        </is>
      </c>
      <c r="D58" s="49" t="n"/>
      <c r="E58" s="50" t="n"/>
      <c r="F58" s="51">
        <f>IF(OR(C58="",C58="Очередь",C58="Клиент",C58="Отказ",C58="Не писать"),"",IF(E58="",IF(AND(C58="Отправлено",I58&lt;&gt;"",TODAY()-INT(I58)&gt;=3),"молчит "&amp;(TODAY()-INT(I58))&amp;" дн.",IF(OR(C58="Перезвонить",C58="Созвон"),"укажи дату","")),IF(INT(E58)&lt;TODAY(),"просрочено",IF(INT(E58)=TODAY(),"сегодня",IF(INT(E58)=TODAY()+1,"завтра",TEXT(E58,"dd.mm"))))))</f>
        <v/>
      </c>
      <c r="G58" s="52" t="n"/>
      <c r="H58" s="36" t="inlineStr">
        <is>
          <t>79951970121</t>
        </is>
      </c>
      <c r="I58" s="53" t="n"/>
      <c r="J58" s="38">
        <f>IFERROR(MATCH(C58,'Справка'!$A$12:$A$21,0),99)</f>
        <v/>
      </c>
      <c r="K58" s="39">
        <f>HYPERLINK("https://wa.me/"&amp;H58&amp;"?text="&amp;ENCODEURL(T58),"✉ Написать")</f>
        <v/>
      </c>
      <c r="L58" s="39">
        <f>HYPERLINK("https://wa.me/"&amp;H58,"Открыть чат")</f>
        <v/>
      </c>
      <c r="M58" s="38" t="inlineStr">
        <is>
          <t>Краснодар</t>
        </is>
      </c>
      <c r="N58" s="38" t="n"/>
      <c r="O58" s="38" t="n"/>
      <c r="P58" s="38" t="inlineStr">
        <is>
          <t>атмкровля.рф</t>
        </is>
      </c>
      <c r="Q58" s="38" t="inlineStr">
        <is>
          <t>есть сайт: сначала впиши в текст, что на нём не так, WhatsApp не подтверждён</t>
        </is>
      </c>
      <c r="R58" s="38" t="n">
        <v>1</v>
      </c>
      <c r="S58" s="38" t="inlineStr">
        <is>
          <t>Краснодарский край</t>
        </is>
      </c>
      <c r="T58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«Атм кровля», где это исправлено, и показать. Собрать?</t>
        </is>
      </c>
      <c r="U58" s="38">
        <f>B58&amp;IF(D58&lt;&gt;""," · "&amp;D58,"")&amp;IF(F58&lt;&gt;"",CHAR(10)&amp;F58,"")</f>
        <v/>
      </c>
      <c r="V58" s="38">
        <f>IF(OR(F58="просрочено",F58="сегодня",F58="укажи дату",LEFT(F58,6)="молчит"),1,0)</f>
        <v/>
      </c>
    </row>
    <row r="59" ht="24" customHeight="1">
      <c r="A59" s="38" t="n">
        <v>58</v>
      </c>
      <c r="B59" s="32" t="inlineStr">
        <is>
          <t>СК-ЮГ</t>
        </is>
      </c>
      <c r="C59" s="49" t="inlineStr">
        <is>
          <t>Очередь</t>
        </is>
      </c>
      <c r="D59" s="49" t="n"/>
      <c r="E59" s="50" t="n"/>
      <c r="F59" s="51">
        <f>IF(OR(C59="",C59="Очередь",C59="Клиент",C59="Отказ",C59="Не писать"),"",IF(E59="",IF(AND(C59="Отправлено",I59&lt;&gt;"",TODAY()-INT(I59)&gt;=3),"молчит "&amp;(TODAY()-INT(I59))&amp;" дн.",IF(OR(C59="Перезвонить",C59="Созвон"),"укажи дату","")),IF(INT(E59)&lt;TODAY(),"просрочено",IF(INT(E59)=TODAY(),"сегодня",IF(INT(E59)=TODAY()+1,"завтра",TEXT(E59,"dd.mm"))))))</f>
        <v/>
      </c>
      <c r="G59" s="52" t="n"/>
      <c r="H59" s="36" t="inlineStr">
        <is>
          <t>79180015594</t>
        </is>
      </c>
      <c r="I59" s="53" t="n"/>
      <c r="J59" s="38">
        <f>IFERROR(MATCH(C59,'Справка'!$A$12:$A$21,0),99)</f>
        <v/>
      </c>
      <c r="K59" s="39">
        <f>HYPERLINK("https://wa.me/"&amp;H59&amp;"?text="&amp;ENCODEURL(T59),"✉ Написать")</f>
        <v/>
      </c>
      <c r="L59" s="39">
        <f>HYPERLINK("https://wa.me/"&amp;H59,"Открыть чат")</f>
        <v/>
      </c>
      <c r="M59" s="38" t="inlineStr">
        <is>
          <t>Краснодар</t>
        </is>
      </c>
      <c r="N59" s="38" t="n">
        <v>5</v>
      </c>
      <c r="O59" s="38" t="n">
        <v>158</v>
      </c>
      <c r="P59" s="38" t="inlineStr">
        <is>
          <t>sk-ug23.ru</t>
        </is>
      </c>
      <c r="Q59" s="38" t="inlineStr">
        <is>
          <t>есть сайт: сначала впиши в текст, что на нём не так</t>
        </is>
      </c>
      <c r="R59" s="38" t="n">
        <v>1</v>
      </c>
      <c r="S59" s="38" t="inlineStr">
        <is>
          <t>Краснодарский край</t>
        </is>
      </c>
      <c r="T59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«СК-ЮГ», где это исправлено, и показать. Собрать?</t>
        </is>
      </c>
      <c r="U59" s="38">
        <f>B59&amp;IF(D59&lt;&gt;""," · "&amp;D59,"")&amp;IF(F59&lt;&gt;"",CHAR(10)&amp;F59,"")</f>
        <v/>
      </c>
      <c r="V59" s="38">
        <f>IF(OR(F59="просрочено",F59="сегодня",F59="укажи дату",LEFT(F59,6)="молчит"),1,0)</f>
        <v/>
      </c>
    </row>
    <row r="60" ht="24" customHeight="1">
      <c r="A60" s="38" t="n">
        <v>59</v>
      </c>
      <c r="B60" s="32" t="inlineStr">
        <is>
          <t>Метриястрой</t>
        </is>
      </c>
      <c r="C60" s="49" t="inlineStr">
        <is>
          <t>Очередь</t>
        </is>
      </c>
      <c r="D60" s="49" t="n"/>
      <c r="E60" s="50" t="n"/>
      <c r="F60" s="51">
        <f>IF(OR(C60="",C60="Очередь",C60="Клиент",C60="Отказ",C60="Не писать"),"",IF(E60="",IF(AND(C60="Отправлено",I60&lt;&gt;"",TODAY()-INT(I60)&gt;=3),"молчит "&amp;(TODAY()-INT(I60))&amp;" дн.",IF(OR(C60="Перезвонить",C60="Созвон"),"укажи дату","")),IF(INT(E60)&lt;TODAY(),"просрочено",IF(INT(E60)=TODAY(),"сегодня",IF(INT(E60)=TODAY()+1,"завтра",TEXT(E60,"dd.mm"))))))</f>
        <v/>
      </c>
      <c r="G60" s="52" t="n"/>
      <c r="H60" s="36" t="inlineStr">
        <is>
          <t>79180778282</t>
        </is>
      </c>
      <c r="I60" s="53" t="n"/>
      <c r="J60" s="38">
        <f>IFERROR(MATCH(C60,'Справка'!$A$12:$A$21,0),99)</f>
        <v/>
      </c>
      <c r="K60" s="39">
        <f>HYPERLINK("https://wa.me/"&amp;H60&amp;"?text="&amp;ENCODEURL(T60),"✉ Написать")</f>
        <v/>
      </c>
      <c r="L60" s="39">
        <f>HYPERLINK("https://wa.me/"&amp;H60,"Открыть чат")</f>
        <v/>
      </c>
      <c r="M60" s="38" t="inlineStr">
        <is>
          <t>Краснодар</t>
        </is>
      </c>
      <c r="N60" s="38" t="n">
        <v>5</v>
      </c>
      <c r="O60" s="38" t="n">
        <v>46</v>
      </c>
      <c r="P60" s="38" t="inlineStr">
        <is>
          <t>метриястрой.рф</t>
        </is>
      </c>
      <c r="Q60" s="38" t="inlineStr">
        <is>
          <t>есть сайт: сначала впиши в текст, что на нём не так</t>
        </is>
      </c>
      <c r="R60" s="38" t="n">
        <v>1</v>
      </c>
      <c r="S60" s="38" t="inlineStr">
        <is>
          <t>Краснодарский край</t>
        </is>
      </c>
      <c r="T60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«Метриястрой», где это исправлено, и показать. Собрать?</t>
        </is>
      </c>
      <c r="U60" s="38">
        <f>B60&amp;IF(D60&lt;&gt;""," · "&amp;D60,"")&amp;IF(F60&lt;&gt;"",CHAR(10)&amp;F60,"")</f>
        <v/>
      </c>
      <c r="V60" s="38">
        <f>IF(OR(F60="просрочено",F60="сегодня",F60="укажи дату",LEFT(F60,6)="молчит"),1,0)</f>
        <v/>
      </c>
    </row>
    <row r="61" ht="24" customHeight="1">
      <c r="A61" s="38" t="n">
        <v>60</v>
      </c>
      <c r="B61" s="32" t="inlineStr">
        <is>
          <t>СтройСитиГруп</t>
        </is>
      </c>
      <c r="C61" s="49" t="inlineStr">
        <is>
          <t>Очередь</t>
        </is>
      </c>
      <c r="D61" s="49" t="n"/>
      <c r="E61" s="50" t="n"/>
      <c r="F61" s="51">
        <f>IF(OR(C61="",C61="Очередь",C61="Клиент",C61="Отказ",C61="Не писать"),"",IF(E61="",IF(AND(C61="Отправлено",I61&lt;&gt;"",TODAY()-INT(I61)&gt;=3),"молчит "&amp;(TODAY()-INT(I61))&amp;" дн.",IF(OR(C61="Перезвонить",C61="Созвон"),"укажи дату","")),IF(INT(E61)&lt;TODAY(),"просрочено",IF(INT(E61)=TODAY(),"сегодня",IF(INT(E61)=TODAY()+1,"завтра",TEXT(E61,"dd.mm"))))))</f>
        <v/>
      </c>
      <c r="G61" s="52" t="n"/>
      <c r="H61" s="36" t="inlineStr">
        <is>
          <t>79951821079</t>
        </is>
      </c>
      <c r="I61" s="53" t="n"/>
      <c r="J61" s="38">
        <f>IFERROR(MATCH(C61,'Справка'!$A$12:$A$21,0),99)</f>
        <v/>
      </c>
      <c r="K61" s="39">
        <f>HYPERLINK("https://wa.me/"&amp;H61&amp;"?text="&amp;ENCODEURL(T61),"✉ Написать")</f>
        <v/>
      </c>
      <c r="L61" s="39">
        <f>HYPERLINK("https://wa.me/"&amp;H61,"Открыть чат")</f>
        <v/>
      </c>
      <c r="M61" s="38" t="inlineStr">
        <is>
          <t>Краснодар</t>
        </is>
      </c>
      <c r="N61" s="38" t="n">
        <v>4.6</v>
      </c>
      <c r="O61" s="38" t="n">
        <v>38</v>
      </c>
      <c r="P61" s="38" t="inlineStr">
        <is>
          <t>remont-scg23.ru/remont-kvartir</t>
        </is>
      </c>
      <c r="Q61" s="38" t="inlineStr">
        <is>
          <t>есть сайт: сначала впиши в текст, что на нём не так</t>
        </is>
      </c>
      <c r="R61" s="38" t="n">
        <v>1</v>
      </c>
      <c r="S61" s="38" t="inlineStr">
        <is>
          <t>Краснодарский край</t>
        </is>
      </c>
      <c r="T61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«СтройСитиГруп», где это исправлено, и показать. Собрать?</t>
        </is>
      </c>
      <c r="U61" s="38">
        <f>B61&amp;IF(D61&lt;&gt;""," · "&amp;D61,"")&amp;IF(F61&lt;&gt;"",CHAR(10)&amp;F61,"")</f>
        <v/>
      </c>
      <c r="V61" s="38">
        <f>IF(OR(F61="просрочено",F61="сегодня",F61="укажи дату",LEFT(F61,6)="молчит"),1,0)</f>
        <v/>
      </c>
    </row>
    <row r="62" ht="24" customHeight="1">
      <c r="A62" s="38" t="n">
        <v>61</v>
      </c>
      <c r="B62" s="32" t="inlineStr">
        <is>
          <t>Лесобаза N1</t>
        </is>
      </c>
      <c r="C62" s="49" t="inlineStr">
        <is>
          <t>Очередь</t>
        </is>
      </c>
      <c r="D62" s="49" t="n"/>
      <c r="E62" s="50" t="n"/>
      <c r="F62" s="51">
        <f>IF(OR(C62="",C62="Очередь",C62="Клиент",C62="Отказ",C62="Не писать"),"",IF(E62="",IF(AND(C62="Отправлено",I62&lt;&gt;"",TODAY()-INT(I62)&gt;=3),"молчит "&amp;(TODAY()-INT(I62))&amp;" дн.",IF(OR(C62="Перезвонить",C62="Созвон"),"укажи дату","")),IF(INT(E62)&lt;TODAY(),"просрочено",IF(INT(E62)=TODAY(),"сегодня",IF(INT(E62)=TODAY()+1,"завтра",TEXT(E62,"dd.mm"))))))</f>
        <v/>
      </c>
      <c r="G62" s="52" t="n"/>
      <c r="H62" s="36" t="inlineStr">
        <is>
          <t>79055262221</t>
        </is>
      </c>
      <c r="I62" s="53" t="n"/>
      <c r="J62" s="38">
        <f>IFERROR(MATCH(C62,'Справка'!$A$12:$A$21,0),99)</f>
        <v/>
      </c>
      <c r="K62" s="39">
        <f>HYPERLINK("https://wa.me/"&amp;H62&amp;"?text="&amp;ENCODEURL(T62),"✉ Написать")</f>
        <v/>
      </c>
      <c r="L62" s="39">
        <f>HYPERLINK("https://wa.me/"&amp;H62,"Открыть чат")</f>
        <v/>
      </c>
      <c r="M62" s="38" t="inlineStr">
        <is>
          <t>аул Козет</t>
        </is>
      </c>
      <c r="N62" s="38" t="n">
        <v>5</v>
      </c>
      <c r="O62" s="38" t="n">
        <v>1</v>
      </c>
      <c r="P62" s="38" t="n"/>
      <c r="Q62" s="38" t="inlineStr">
        <is>
          <t>без сайта, похоже на магазин</t>
        </is>
      </c>
      <c r="R62" s="38" t="n">
        <v>1</v>
      </c>
      <c r="S62" s="38" t="inlineStr">
        <is>
          <t>Краснодарский край</t>
        </is>
      </c>
      <c r="T62" s="38" t="inlineStr">
        <is>
          <t>Здравствуйте! Искал в 2ГИС кровельные компании в Козете и наткнулся на вас. Сайта в карточке не увидел.
Могу за вечер собрать для «Лесобаза N1» сайт и показать. Платить не нужно, пока не понравится. Собрать?</t>
        </is>
      </c>
      <c r="U62" s="38">
        <f>B62&amp;IF(D62&lt;&gt;""," · "&amp;D62,"")&amp;IF(F62&lt;&gt;"",CHAR(10)&amp;F62,"")</f>
        <v/>
      </c>
      <c r="V62" s="38">
        <f>IF(OR(F62="просрочено",F62="сегодня",F62="укажи дату",LEFT(F62,6)="молчит"),1,0)</f>
        <v/>
      </c>
    </row>
    <row r="63" ht="24" customHeight="1">
      <c r="A63" s="38" t="n">
        <v>62</v>
      </c>
      <c r="B63" s="32" t="inlineStr">
        <is>
          <t>Тайфун Краснодар</t>
        </is>
      </c>
      <c r="C63" s="49" t="inlineStr">
        <is>
          <t>Очередь</t>
        </is>
      </c>
      <c r="D63" s="49" t="n"/>
      <c r="E63" s="50" t="n"/>
      <c r="F63" s="51">
        <f>IF(OR(C63="",C63="Очередь",C63="Клиент",C63="Отказ",C63="Не писать"),"",IF(E63="",IF(AND(C63="Отправлено",I63&lt;&gt;"",TODAY()-INT(I63)&gt;=3),"молчит "&amp;(TODAY()-INT(I63))&amp;" дн.",IF(OR(C63="Перезвонить",C63="Созвон"),"укажи дату","")),IF(INT(E63)&lt;TODAY(),"просрочено",IF(INT(E63)=TODAY(),"сегодня",IF(INT(E63)=TODAY()+1,"завтра",TEXT(E63,"dd.mm"))))))</f>
        <v/>
      </c>
      <c r="G63" s="52" t="n"/>
      <c r="H63" s="36" t="inlineStr">
        <is>
          <t>79528247982</t>
        </is>
      </c>
      <c r="I63" s="53" t="n"/>
      <c r="J63" s="38">
        <f>IFERROR(MATCH(C63,'Справка'!$A$12:$A$21,0),99)</f>
        <v/>
      </c>
      <c r="K63" s="39">
        <f>HYPERLINK("https://wa.me/"&amp;H63&amp;"?text="&amp;ENCODEURL(T63),"✉ Написать")</f>
        <v/>
      </c>
      <c r="L63" s="39">
        <f>HYPERLINK("https://wa.me/"&amp;H63,"Открыть чат")</f>
        <v/>
      </c>
      <c r="M63" s="38" t="inlineStr">
        <is>
          <t>Краснодар</t>
        </is>
      </c>
      <c r="N63" s="38" t="n">
        <v>5</v>
      </c>
      <c r="O63" s="38" t="n">
        <v>1</v>
      </c>
      <c r="P63" s="38" t="n"/>
      <c r="Q63" s="38" t="inlineStr">
        <is>
          <t>без сайта, похоже на магазин</t>
        </is>
      </c>
      <c r="R63" s="38" t="n">
        <v>1</v>
      </c>
      <c r="S63" s="38" t="inlineStr">
        <is>
          <t>Краснодарский край</t>
        </is>
      </c>
      <c r="T63" s="38" t="inlineStr">
        <is>
          <t>Здравствуйте! Смотрел в 2ГИС, кто делает кровлю в Краснодаре, и нашёл «Тайфун Краснодар». Сайта в карточке нет.
Готов за вечер собрать сайт для «Тайфун Краснодар» и показать вам. Денег вперёд не беру. Собрать?</t>
        </is>
      </c>
      <c r="U63" s="38">
        <f>B63&amp;IF(D63&lt;&gt;""," · "&amp;D63,"")&amp;IF(F63&lt;&gt;"",CHAR(10)&amp;F63,"")</f>
        <v/>
      </c>
      <c r="V63" s="38">
        <f>IF(OR(F63="просрочено",F63="сегодня",F63="укажи дату",LEFT(F63,6)="молчит"),1,0)</f>
        <v/>
      </c>
    </row>
    <row r="64" ht="24" customHeight="1">
      <c r="A64" s="38" t="n">
        <v>63</v>
      </c>
      <c r="B64" s="32" t="inlineStr">
        <is>
          <t>Кровля плюс</t>
        </is>
      </c>
      <c r="C64" s="49" t="inlineStr">
        <is>
          <t>Очередь</t>
        </is>
      </c>
      <c r="D64" s="49" t="n"/>
      <c r="E64" s="50" t="n"/>
      <c r="F64" s="51">
        <f>IF(OR(C64="",C64="Очередь",C64="Клиент",C64="Отказ",C64="Не писать"),"",IF(E64="",IF(AND(C64="Отправлено",I64&lt;&gt;"",TODAY()-INT(I64)&gt;=3),"молчит "&amp;(TODAY()-INT(I64))&amp;" дн.",IF(OR(C64="Перезвонить",C64="Созвон"),"укажи дату","")),IF(INT(E64)&lt;TODAY(),"просрочено",IF(INT(E64)=TODAY(),"сегодня",IF(INT(E64)=TODAY()+1,"завтра",TEXT(E64,"dd.mm"))))))</f>
        <v/>
      </c>
      <c r="G64" s="52" t="n"/>
      <c r="H64" s="36" t="inlineStr">
        <is>
          <t>79189781838</t>
        </is>
      </c>
      <c r="I64" s="53" t="n"/>
      <c r="J64" s="38">
        <f>IFERROR(MATCH(C64,'Справка'!$A$12:$A$21,0),99)</f>
        <v/>
      </c>
      <c r="K64" s="39">
        <f>HYPERLINK("https://wa.me/"&amp;H64&amp;"?text="&amp;ENCODEURL(T64),"✉ Написать")</f>
        <v/>
      </c>
      <c r="L64" s="39">
        <f>HYPERLINK("https://wa.me/"&amp;H64,"Открыть чат")</f>
        <v/>
      </c>
      <c r="M64" s="38" t="inlineStr">
        <is>
          <t>ст-ца Динская</t>
        </is>
      </c>
      <c r="N64" s="38" t="n"/>
      <c r="O64" s="38" t="n"/>
      <c r="P64" s="38" t="n"/>
      <c r="Q64" s="38" t="inlineStr">
        <is>
          <t>без сайта, похоже на магазин</t>
        </is>
      </c>
      <c r="R64" s="38" t="n">
        <v>1</v>
      </c>
      <c r="S64" s="38" t="inlineStr">
        <is>
          <t>Краснодарский край</t>
        </is>
      </c>
      <c r="T64" s="38" t="inlineStr">
        <is>
          <t>Здравствуйте! Нашёл вас в 2ГИС среди кровельных компаний в Динской, а сайта в карточке не нашёл.
Могу собрать сайт под «Кровля плюс» за вечер и показать. Не понравится — ничего не должны. Сделать?</t>
        </is>
      </c>
      <c r="U64" s="38">
        <f>B64&amp;IF(D64&lt;&gt;""," · "&amp;D64,"")&amp;IF(F64&lt;&gt;"",CHAR(10)&amp;F64,"")</f>
        <v/>
      </c>
      <c r="V64" s="38">
        <f>IF(OR(F64="просрочено",F64="сегодня",F64="укажи дату",LEFT(F64,6)="молчит"),1,0)</f>
        <v/>
      </c>
    </row>
    <row r="65" ht="24" customHeight="1">
      <c r="A65" s="38" t="n">
        <v>64</v>
      </c>
      <c r="B65" s="32" t="inlineStr">
        <is>
          <t>Мир кровли</t>
        </is>
      </c>
      <c r="C65" s="49" t="inlineStr">
        <is>
          <t>Очередь</t>
        </is>
      </c>
      <c r="D65" s="49" t="n"/>
      <c r="E65" s="50" t="n"/>
      <c r="F65" s="51">
        <f>IF(OR(C65="",C65="Очередь",C65="Клиент",C65="Отказ",C65="Не писать"),"",IF(E65="",IF(AND(C65="Отправлено",I65&lt;&gt;"",TODAY()-INT(I65)&gt;=3),"молчит "&amp;(TODAY()-INT(I65))&amp;" дн.",IF(OR(C65="Перезвонить",C65="Созвон"),"укажи дату","")),IF(INT(E65)&lt;TODAY(),"просрочено",IF(INT(E65)=TODAY(),"сегодня",IF(INT(E65)=TODAY()+1,"завтра",TEXT(E65,"dd.mm"))))))</f>
        <v/>
      </c>
      <c r="G65" s="52" t="n"/>
      <c r="H65" s="36" t="inlineStr">
        <is>
          <t>79604951262</t>
        </is>
      </c>
      <c r="I65" s="53" t="n"/>
      <c r="J65" s="38">
        <f>IFERROR(MATCH(C65,'Справка'!$A$12:$A$21,0),99)</f>
        <v/>
      </c>
      <c r="K65" s="39">
        <f>HYPERLINK("https://wa.me/"&amp;H65&amp;"?text="&amp;ENCODEURL(T65),"✉ Написать")</f>
        <v/>
      </c>
      <c r="L65" s="39">
        <f>HYPERLINK("https://wa.me/"&amp;H65,"Открыть чат")</f>
        <v/>
      </c>
      <c r="M65" s="38" t="inlineStr">
        <is>
          <t>ст-ца Динская</t>
        </is>
      </c>
      <c r="N65" s="38" t="n">
        <v>1.7</v>
      </c>
      <c r="O65" s="38" t="n">
        <v>6</v>
      </c>
      <c r="P65" s="38" t="n"/>
      <c r="Q65" s="38" t="inlineStr">
        <is>
          <t>без сайта, WhatsApp не подтверждён, похоже на магазин</t>
        </is>
      </c>
      <c r="R65" s="38" t="n">
        <v>1</v>
      </c>
      <c r="S65" s="38" t="inlineStr">
        <is>
          <t>Краснодарский край</t>
        </is>
      </c>
      <c r="T65" s="38" t="inlineStr">
        <is>
          <t>Здравствуйте! Искал в 2ГИС кровельные компании в Динской и наткнулся на вас. Сайта в карточке не увидел.
Могу за вечер собрать для «Мир кровли» сайт и показать. Платить не нужно, пока не понравится. Собрать?</t>
        </is>
      </c>
      <c r="U65" s="38">
        <f>B65&amp;IF(D65&lt;&gt;""," · "&amp;D65,"")&amp;IF(F65&lt;&gt;"",CHAR(10)&amp;F65,"")</f>
        <v/>
      </c>
      <c r="V65" s="38">
        <f>IF(OR(F65="просрочено",F65="сегодня",F65="укажи дату",LEFT(F65,6)="молчит"),1,0)</f>
        <v/>
      </c>
    </row>
    <row r="66" ht="24" customHeight="1">
      <c r="A66" s="38" t="n">
        <v>65</v>
      </c>
      <c r="B66" s="32" t="inlineStr">
        <is>
          <t>Термедэкс</t>
        </is>
      </c>
      <c r="C66" s="49" t="inlineStr">
        <is>
          <t>Очередь</t>
        </is>
      </c>
      <c r="D66" s="49" t="n"/>
      <c r="E66" s="50" t="n"/>
      <c r="F66" s="51">
        <f>IF(OR(C66="",C66="Очередь",C66="Клиент",C66="Отказ",C66="Не писать"),"",IF(E66="",IF(AND(C66="Отправлено",I66&lt;&gt;"",TODAY()-INT(I66)&gt;=3),"молчит "&amp;(TODAY()-INT(I66))&amp;" дн.",IF(OR(C66="Перезвонить",C66="Созвон"),"укажи дату","")),IF(INT(E66)&lt;TODAY(),"просрочено",IF(INT(E66)=TODAY(),"сегодня",IF(INT(E66)=TODAY()+1,"завтра",TEXT(E66,"dd.mm"))))))</f>
        <v/>
      </c>
      <c r="G66" s="52" t="n"/>
      <c r="H66" s="36" t="inlineStr">
        <is>
          <t>79180285011</t>
        </is>
      </c>
      <c r="I66" s="53" t="n"/>
      <c r="J66" s="38">
        <f>IFERROR(MATCH(C66,'Справка'!$A$12:$A$21,0),99)</f>
        <v/>
      </c>
      <c r="K66" s="39">
        <f>HYPERLINK("https://wa.me/"&amp;H66&amp;"?text="&amp;ENCODEURL(T66),"✉ Написать")</f>
        <v/>
      </c>
      <c r="L66" s="39">
        <f>HYPERLINK("https://wa.me/"&amp;H66,"Открыть чат")</f>
        <v/>
      </c>
      <c r="M66" s="38" t="inlineStr">
        <is>
          <t>Краснодар</t>
        </is>
      </c>
      <c r="N66" s="38" t="n"/>
      <c r="O66" s="38" t="n"/>
      <c r="P66" s="38" t="n"/>
      <c r="Q66" s="38" t="inlineStr">
        <is>
          <t>без сайта, WhatsApp не подтверждён, похоже на магазин</t>
        </is>
      </c>
      <c r="R66" s="38" t="n">
        <v>1</v>
      </c>
      <c r="S66" s="38" t="inlineStr">
        <is>
          <t>Краснодарский край</t>
        </is>
      </c>
      <c r="T66" s="38" t="inlineStr">
        <is>
          <t>Здравствуйте! Смотрел в 2ГИС, кто делает кровлю в Краснодаре, и нашёл «Термедэкс». Сайта в карточке нет.
Готов за вечер собрать сайт для «Термедэкс» и показать вам. Денег вперёд не беру. Собрать?</t>
        </is>
      </c>
      <c r="U66" s="38">
        <f>B66&amp;IF(D66&lt;&gt;""," · "&amp;D66,"")&amp;IF(F66&lt;&gt;"",CHAR(10)&amp;F66,"")</f>
        <v/>
      </c>
      <c r="V66" s="38">
        <f>IF(OR(F66="просрочено",F66="сегодня",F66="укажи дату",LEFT(F66,6)="молчит"),1,0)</f>
        <v/>
      </c>
    </row>
    <row r="67" ht="24" customHeight="1">
      <c r="A67" s="38" t="n">
        <v>66</v>
      </c>
      <c r="B67" s="32" t="inlineStr">
        <is>
          <t>Сибирские фасады</t>
        </is>
      </c>
      <c r="C67" s="49" t="inlineStr">
        <is>
          <t>Очередь</t>
        </is>
      </c>
      <c r="D67" s="49" t="n"/>
      <c r="E67" s="50" t="n"/>
      <c r="F67" s="51">
        <f>IF(OR(C67="",C67="Очередь",C67="Клиент",C67="Отказ",C67="Не писать"),"",IF(E67="",IF(AND(C67="Отправлено",I67&lt;&gt;"",TODAY()-INT(I67)&gt;=3),"молчит "&amp;(TODAY()-INT(I67))&amp;" дн.",IF(OR(C67="Перезвонить",C67="Созвон"),"укажи дату","")),IF(INT(E67)&lt;TODAY(),"просрочено",IF(INT(E67)=TODAY(),"сегодня",IF(INT(E67)=TODAY()+1,"завтра",TEXT(E67,"dd.mm"))))))</f>
        <v/>
      </c>
      <c r="G67" s="52" t="n"/>
      <c r="H67" s="36" t="inlineStr">
        <is>
          <t>79282837278</t>
        </is>
      </c>
      <c r="I67" s="53" t="n"/>
      <c r="J67" s="38">
        <f>IFERROR(MATCH(C67,'Справка'!$A$12:$A$21,0),99)</f>
        <v/>
      </c>
      <c r="K67" s="39">
        <f>HYPERLINK("https://wa.me/"&amp;H67&amp;"?text="&amp;ENCODEURL(T67),"✉ Написать")</f>
        <v/>
      </c>
      <c r="L67" s="39">
        <f>HYPERLINK("https://wa.me/"&amp;H67,"Открыть чат")</f>
        <v/>
      </c>
      <c r="M67" s="38" t="inlineStr">
        <is>
          <t>Краснодар</t>
        </is>
      </c>
      <c r="N67" s="38" t="n">
        <v>5</v>
      </c>
      <c r="O67" s="38" t="n">
        <v>3</v>
      </c>
      <c r="P67" s="38" t="inlineStr">
        <is>
          <t>sibir-fasad.ru</t>
        </is>
      </c>
      <c r="Q67" s="38" t="inlineStr">
        <is>
          <t>есть сайт: сначала впиши в текст, что на нём не так, похоже на магазин</t>
        </is>
      </c>
      <c r="R67" s="38" t="n">
        <v>1</v>
      </c>
      <c r="S67" s="38" t="inlineStr">
        <is>
          <t>Краснодарский край</t>
        </is>
      </c>
      <c r="T67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«Сибирские фасады», где это исправлено, и показать. Собрать?</t>
        </is>
      </c>
      <c r="U67" s="38">
        <f>B67&amp;IF(D67&lt;&gt;""," · "&amp;D67,"")&amp;IF(F67&lt;&gt;"",CHAR(10)&amp;F67,"")</f>
        <v/>
      </c>
      <c r="V67" s="38">
        <f>IF(OR(F67="просрочено",F67="сегодня",F67="укажи дату",LEFT(F67,6)="молчит"),1,0)</f>
        <v/>
      </c>
    </row>
    <row r="68" ht="24" customHeight="1">
      <c r="A68" s="38" t="n">
        <v>67</v>
      </c>
      <c r="B68" s="32" t="inlineStr">
        <is>
          <t>Стройкомплект</t>
        </is>
      </c>
      <c r="C68" s="49" t="inlineStr">
        <is>
          <t>Очередь</t>
        </is>
      </c>
      <c r="D68" s="49" t="n"/>
      <c r="E68" s="50" t="n"/>
      <c r="F68" s="51">
        <f>IF(OR(C68="",C68="Очередь",C68="Клиент",C68="Отказ",C68="Не писать"),"",IF(E68="",IF(AND(C68="Отправлено",I68&lt;&gt;"",TODAY()-INT(I68)&gt;=3),"молчит "&amp;(TODAY()-INT(I68))&amp;" дн.",IF(OR(C68="Перезвонить",C68="Созвон"),"укажи дату","")),IF(INT(E68)&lt;TODAY(),"просрочено",IF(INT(E68)=TODAY(),"сегодня",IF(INT(E68)=TODAY()+1,"завтра",TEXT(E68,"dd.mm"))))))</f>
        <v/>
      </c>
      <c r="G68" s="52" t="n"/>
      <c r="H68" s="36" t="inlineStr">
        <is>
          <t>79094586888</t>
        </is>
      </c>
      <c r="I68" s="53" t="n"/>
      <c r="J68" s="38">
        <f>IFERROR(MATCH(C68,'Справка'!$A$12:$A$21,0),99)</f>
        <v/>
      </c>
      <c r="K68" s="39">
        <f>HYPERLINK("https://wa.me/"&amp;H68&amp;"?text="&amp;ENCODEURL(T68),"✉ Написать")</f>
        <v/>
      </c>
      <c r="L68" s="39">
        <f>HYPERLINK("https://wa.me/"&amp;H68,"Открыть чат")</f>
        <v/>
      </c>
      <c r="M68" s="38" t="inlineStr">
        <is>
          <t>Краснодар</t>
        </is>
      </c>
      <c r="N68" s="38" t="n">
        <v>5</v>
      </c>
      <c r="O68" s="38" t="n">
        <v>3</v>
      </c>
      <c r="P68" s="38" t="inlineStr">
        <is>
          <t>strd.ru</t>
        </is>
      </c>
      <c r="Q68" s="38" t="inlineStr">
        <is>
          <t>есть сайт: сначала впиши в текст, что на нём не так, похоже на магазин</t>
        </is>
      </c>
      <c r="R68" s="38" t="n">
        <v>1</v>
      </c>
      <c r="S68" s="38" t="inlineStr">
        <is>
          <t>Краснодарский край</t>
        </is>
      </c>
      <c r="T68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«Стройкомплект», где это исправлено, и показать. Собрать?</t>
        </is>
      </c>
      <c r="U68" s="38">
        <f>B68&amp;IF(D68&lt;&gt;""," · "&amp;D68,"")&amp;IF(F68&lt;&gt;"",CHAR(10)&amp;F68,"")</f>
        <v/>
      </c>
      <c r="V68" s="38">
        <f>IF(OR(F68="просрочено",F68="сегодня",F68="укажи дату",LEFT(F68,6)="молчит"),1,0)</f>
        <v/>
      </c>
    </row>
    <row r="69" ht="24" customHeight="1">
      <c r="A69" s="38" t="n">
        <v>68</v>
      </c>
      <c r="B69" s="32" t="inlineStr">
        <is>
          <t>Металл Нк</t>
        </is>
      </c>
      <c r="C69" s="49" t="inlineStr">
        <is>
          <t>Очередь</t>
        </is>
      </c>
      <c r="D69" s="49" t="n"/>
      <c r="E69" s="50" t="n"/>
      <c r="F69" s="51">
        <f>IF(OR(C69="",C69="Очередь",C69="Клиент",C69="Отказ",C69="Не писать"),"",IF(E69="",IF(AND(C69="Отправлено",I69&lt;&gt;"",TODAY()-INT(I69)&gt;=3),"молчит "&amp;(TODAY()-INT(I69))&amp;" дн.",IF(OR(C69="Перезвонить",C69="Созвон"),"укажи дату","")),IF(INT(E69)&lt;TODAY(),"просрочено",IF(INT(E69)=TODAY(),"сегодня",IF(INT(E69)=TODAY()+1,"завтра",TEXT(E69,"dd.mm"))))))</f>
        <v/>
      </c>
      <c r="G69" s="52" t="n"/>
      <c r="H69" s="36" t="inlineStr">
        <is>
          <t>79183153338</t>
        </is>
      </c>
      <c r="I69" s="53" t="n"/>
      <c r="J69" s="38">
        <f>IFERROR(MATCH(C69,'Справка'!$A$12:$A$21,0),99)</f>
        <v/>
      </c>
      <c r="K69" s="39">
        <f>HYPERLINK("https://wa.me/"&amp;H69&amp;"?text="&amp;ENCODEURL(T69),"✉ Написать")</f>
        <v/>
      </c>
      <c r="L69" s="39">
        <f>HYPERLINK("https://wa.me/"&amp;H69,"Открыть чат")</f>
        <v/>
      </c>
      <c r="M69" s="38" t="inlineStr">
        <is>
          <t>Краснодар</t>
        </is>
      </c>
      <c r="N69" s="38" t="n">
        <v>5</v>
      </c>
      <c r="O69" s="38" t="n">
        <v>2</v>
      </c>
      <c r="P69" s="38" t="inlineStr">
        <is>
          <t>profnastil-krd.ru</t>
        </is>
      </c>
      <c r="Q69" s="38" t="inlineStr">
        <is>
          <t>есть сайт: сначала впиши в текст, что на нём не так, похоже на магазин</t>
        </is>
      </c>
      <c r="R69" s="38" t="n">
        <v>1</v>
      </c>
      <c r="S69" s="38" t="inlineStr">
        <is>
          <t>Краснодарский край</t>
        </is>
      </c>
      <c r="T69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«Металл Нк», где это исправлено, и показать. Собрать?</t>
        </is>
      </c>
      <c r="U69" s="38">
        <f>B69&amp;IF(D69&lt;&gt;""," · "&amp;D69,"")&amp;IF(F69&lt;&gt;"",CHAR(10)&amp;F69,"")</f>
        <v/>
      </c>
      <c r="V69" s="38">
        <f>IF(OR(F69="просрочено",F69="сегодня",F69="укажи дату",LEFT(F69,6)="молчит"),1,0)</f>
        <v/>
      </c>
    </row>
    <row r="70" ht="24" customHeight="1">
      <c r="A70" s="38" t="n">
        <v>69</v>
      </c>
      <c r="B70" s="32" t="inlineStr">
        <is>
          <t>Торгово-монтажная фирма</t>
        </is>
      </c>
      <c r="C70" s="49" t="inlineStr">
        <is>
          <t>Очередь</t>
        </is>
      </c>
      <c r="D70" s="49" t="n"/>
      <c r="E70" s="50" t="n"/>
      <c r="F70" s="51">
        <f>IF(OR(C70="",C70="Очередь",C70="Клиент",C70="Отказ",C70="Не писать"),"",IF(E70="",IF(AND(C70="Отправлено",I70&lt;&gt;"",TODAY()-INT(I70)&gt;=3),"молчит "&amp;(TODAY()-INT(I70))&amp;" дн.",IF(OR(C70="Перезвонить",C70="Созвон"),"укажи дату","")),IF(INT(E70)&lt;TODAY(),"просрочено",IF(INT(E70)=TODAY(),"сегодня",IF(INT(E70)=TODAY()+1,"завтра",TEXT(E70,"dd.mm"))))))</f>
        <v/>
      </c>
      <c r="G70" s="52" t="n"/>
      <c r="H70" s="36" t="inlineStr">
        <is>
          <t>79288843355</t>
        </is>
      </c>
      <c r="I70" s="53" t="n"/>
      <c r="J70" s="38">
        <f>IFERROR(MATCH(C70,'Справка'!$A$12:$A$21,0),99)</f>
        <v/>
      </c>
      <c r="K70" s="39">
        <f>HYPERLINK("https://wa.me/"&amp;H70&amp;"?text="&amp;ENCODEURL(T70),"✉ Написать")</f>
        <v/>
      </c>
      <c r="L70" s="39">
        <f>HYPERLINK("https://wa.me/"&amp;H70,"Открыть чат")</f>
        <v/>
      </c>
      <c r="M70" s="38" t="inlineStr">
        <is>
          <t>Краснодар</t>
        </is>
      </c>
      <c r="N70" s="38" t="n"/>
      <c r="O70" s="38" t="n"/>
      <c r="P70" s="38" t="inlineStr">
        <is>
          <t>krovelnaya-masterskaya.pulscen.ru</t>
        </is>
      </c>
      <c r="Q70" s="38" t="inlineStr">
        <is>
          <t>есть сайт: сначала впиши в текст, что на нём не так, похоже на магазин</t>
        </is>
      </c>
      <c r="R70" s="38" t="n">
        <v>1</v>
      </c>
      <c r="S70" s="38" t="inlineStr">
        <is>
          <t>Краснодарский край</t>
        </is>
      </c>
      <c r="T70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«Торгово-монтажная фирма», где это исправлено, и показать. Собрать?</t>
        </is>
      </c>
      <c r="U70" s="38">
        <f>B70&amp;IF(D70&lt;&gt;""," · "&amp;D70,"")&amp;IF(F70&lt;&gt;"",CHAR(10)&amp;F70,"")</f>
        <v/>
      </c>
      <c r="V70" s="38">
        <f>IF(OR(F70="просрочено",F70="сегодня",F70="укажи дату",LEFT(F70,6)="молчит"),1,0)</f>
        <v/>
      </c>
    </row>
    <row r="71" ht="24" customHeight="1">
      <c r="A71" s="38" t="n">
        <v>70</v>
      </c>
      <c r="B71" s="32" t="inlineStr">
        <is>
          <t>Торговый дом кровли</t>
        </is>
      </c>
      <c r="C71" s="49" t="inlineStr">
        <is>
          <t>Очередь</t>
        </is>
      </c>
      <c r="D71" s="49" t="n"/>
      <c r="E71" s="50" t="n"/>
      <c r="F71" s="51">
        <f>IF(OR(C71="",C71="Очередь",C71="Клиент",C71="Отказ",C71="Не писать"),"",IF(E71="",IF(AND(C71="Отправлено",I71&lt;&gt;"",TODAY()-INT(I71)&gt;=3),"молчит "&amp;(TODAY()-INT(I71))&amp;" дн.",IF(OR(C71="Перезвонить",C71="Созвон"),"укажи дату","")),IF(INT(E71)&lt;TODAY(),"просрочено",IF(INT(E71)=TODAY(),"сегодня",IF(INT(E71)=TODAY()+1,"завтра",TEXT(E71,"dd.mm"))))))</f>
        <v/>
      </c>
      <c r="G71" s="52" t="n"/>
      <c r="H71" s="36" t="inlineStr">
        <is>
          <t>79186999771</t>
        </is>
      </c>
      <c r="I71" s="53" t="n"/>
      <c r="J71" s="38">
        <f>IFERROR(MATCH(C71,'Справка'!$A$12:$A$21,0),99)</f>
        <v/>
      </c>
      <c r="K71" s="39">
        <f>HYPERLINK("https://wa.me/"&amp;H71&amp;"?text="&amp;ENCODEURL(T71),"✉ Написать")</f>
        <v/>
      </c>
      <c r="L71" s="39">
        <f>HYPERLINK("https://wa.me/"&amp;H71,"Открыть чат")</f>
        <v/>
      </c>
      <c r="M71" s="38" t="inlineStr">
        <is>
          <t>Краснодар</t>
        </is>
      </c>
      <c r="N71" s="38" t="n"/>
      <c r="O71" s="38" t="n"/>
      <c r="P71" s="38" t="inlineStr">
        <is>
          <t>krovlyakrasnodar.ru</t>
        </is>
      </c>
      <c r="Q71" s="38" t="inlineStr">
        <is>
          <t>есть сайт: сначала впиши в текст, что на нём не так, похоже на магазин</t>
        </is>
      </c>
      <c r="R71" s="38" t="n">
        <v>1</v>
      </c>
      <c r="S71" s="38" t="inlineStr">
        <is>
          <t>Краснодарский край</t>
        </is>
      </c>
      <c r="T71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«Торговый дом кровли», где это исправлено, и показать. Собрать?</t>
        </is>
      </c>
      <c r="U71" s="38">
        <f>B71&amp;IF(D71&lt;&gt;""," · "&amp;D71,"")&amp;IF(F71&lt;&gt;"",CHAR(10)&amp;F71,"")</f>
        <v/>
      </c>
      <c r="V71" s="38">
        <f>IF(OR(F71="просрочено",F71="сегодня",F71="укажи дату",LEFT(F71,6)="молчит"),1,0)</f>
        <v/>
      </c>
    </row>
    <row r="72" ht="24" customHeight="1">
      <c r="A72" s="38" t="n">
        <v>71</v>
      </c>
      <c r="B72" s="32" t="inlineStr">
        <is>
          <t>Огнебиозащита</t>
        </is>
      </c>
      <c r="C72" s="49" t="inlineStr">
        <is>
          <t>Очередь</t>
        </is>
      </c>
      <c r="D72" s="49" t="n"/>
      <c r="E72" s="50" t="n"/>
      <c r="F72" s="51">
        <f>IF(OR(C72="",C72="Очередь",C72="Клиент",C72="Отказ",C72="Не писать"),"",IF(E72="",IF(AND(C72="Отправлено",I72&lt;&gt;"",TODAY()-INT(I72)&gt;=3),"молчит "&amp;(TODAY()-INT(I72))&amp;" дн.",IF(OR(C72="Перезвонить",C72="Созвон"),"укажи дату","")),IF(INT(E72)&lt;TODAY(),"просрочено",IF(INT(E72)=TODAY(),"сегодня",IF(INT(E72)=TODAY()+1,"завтра",TEXT(E72,"dd.mm"))))))</f>
        <v/>
      </c>
      <c r="G72" s="52" t="n"/>
      <c r="H72" s="36" t="inlineStr">
        <is>
          <t>79039556599</t>
        </is>
      </c>
      <c r="I72" s="53" t="n"/>
      <c r="J72" s="38">
        <f>IFERROR(MATCH(C72,'Справка'!$A$12:$A$21,0),99)</f>
        <v/>
      </c>
      <c r="K72" s="39">
        <f>HYPERLINK("https://wa.me/"&amp;H72&amp;"?text="&amp;ENCODEURL(T72),"✉ Написать")</f>
        <v/>
      </c>
      <c r="L72" s="39">
        <f>HYPERLINK("https://wa.me/"&amp;H72,"Открыть чат")</f>
        <v/>
      </c>
      <c r="M72" s="38" t="inlineStr">
        <is>
          <t>Краснодар</t>
        </is>
      </c>
      <c r="N72" s="38" t="n">
        <v>5</v>
      </c>
      <c r="O72" s="38" t="n">
        <v>1</v>
      </c>
      <c r="P72" s="38" t="inlineStr">
        <is>
          <t>ognebiozashhita.ru</t>
        </is>
      </c>
      <c r="Q72" s="38" t="inlineStr">
        <is>
          <t>есть сайт: сначала впиши в текст, что на нём не так, похоже на магазин</t>
        </is>
      </c>
      <c r="R72" s="38" t="n">
        <v>1</v>
      </c>
      <c r="S72" s="38" t="inlineStr">
        <is>
          <t>Краснодарский край</t>
        </is>
      </c>
      <c r="T72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«Огнебиозащита», где это исправлено, и показать. Собрать?</t>
        </is>
      </c>
      <c r="U72" s="38">
        <f>B72&amp;IF(D72&lt;&gt;""," · "&amp;D72,"")&amp;IF(F72&lt;&gt;"",CHAR(10)&amp;F72,"")</f>
        <v/>
      </c>
      <c r="V72" s="38">
        <f>IF(OR(F72="просрочено",F72="сегодня",F72="укажи дату",LEFT(F72,6)="молчит"),1,0)</f>
        <v/>
      </c>
    </row>
    <row r="73" ht="24" customHeight="1">
      <c r="A73" s="38" t="n">
        <v>72</v>
      </c>
      <c r="B73" s="32" t="inlineStr">
        <is>
          <t>Карат-Плюс</t>
        </is>
      </c>
      <c r="C73" s="49" t="inlineStr">
        <is>
          <t>Очередь</t>
        </is>
      </c>
      <c r="D73" s="49" t="n"/>
      <c r="E73" s="50" t="n"/>
      <c r="F73" s="51">
        <f>IF(OR(C73="",C73="Очередь",C73="Клиент",C73="Отказ",C73="Не писать"),"",IF(E73="",IF(AND(C73="Отправлено",I73&lt;&gt;"",TODAY()-INT(I73)&gt;=3),"молчит "&amp;(TODAY()-INT(I73))&amp;" дн.",IF(OR(C73="Перезвонить",C73="Созвон"),"укажи дату","")),IF(INT(E73)&lt;TODAY(),"просрочено",IF(INT(E73)=TODAY(),"сегодня",IF(INT(E73)=TODAY()+1,"завтра",TEXT(E73,"dd.mm"))))))</f>
        <v/>
      </c>
      <c r="G73" s="52" t="n"/>
      <c r="H73" s="36" t="inlineStr">
        <is>
          <t>79189555277</t>
        </is>
      </c>
      <c r="I73" s="53" t="n"/>
      <c r="J73" s="38">
        <f>IFERROR(MATCH(C73,'Справка'!$A$12:$A$21,0),99)</f>
        <v/>
      </c>
      <c r="K73" s="39">
        <f>HYPERLINK("https://wa.me/"&amp;H73&amp;"?text="&amp;ENCODEURL(T73),"✉ Написать")</f>
        <v/>
      </c>
      <c r="L73" s="39">
        <f>HYPERLINK("https://wa.me/"&amp;H73,"Открыть чат")</f>
        <v/>
      </c>
      <c r="M73" s="38" t="inlineStr">
        <is>
          <t>Краснодар</t>
        </is>
      </c>
      <c r="N73" s="38" t="n">
        <v>5</v>
      </c>
      <c r="O73" s="38" t="n">
        <v>56</v>
      </c>
      <c r="P73" s="38" t="inlineStr">
        <is>
          <t>karat-p.ru</t>
        </is>
      </c>
      <c r="Q73" s="38" t="inlineStr">
        <is>
          <t>есть сайт: сначала впиши в текст, что на нём не так, похоже на магазин</t>
        </is>
      </c>
      <c r="R73" s="38" t="n">
        <v>1</v>
      </c>
      <c r="S73" s="38" t="inlineStr">
        <is>
          <t>Краснодарский край</t>
        </is>
      </c>
      <c r="T73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«Карат-Плюс», где это исправлено, и показать. Собрать?</t>
        </is>
      </c>
      <c r="U73" s="38">
        <f>B73&amp;IF(D73&lt;&gt;""," · "&amp;D73,"")&amp;IF(F73&lt;&gt;"",CHAR(10)&amp;F73,"")</f>
        <v/>
      </c>
      <c r="V73" s="38">
        <f>IF(OR(F73="просрочено",F73="сегодня",F73="укажи дату",LEFT(F73,6)="молчит"),1,0)</f>
        <v/>
      </c>
    </row>
    <row r="74" ht="24" customHeight="1">
      <c r="A74" s="38" t="n">
        <v>73</v>
      </c>
      <c r="B74" s="32" t="inlineStr">
        <is>
          <t>Крышовица</t>
        </is>
      </c>
      <c r="C74" s="49" t="inlineStr">
        <is>
          <t>Очередь</t>
        </is>
      </c>
      <c r="D74" s="49" t="n"/>
      <c r="E74" s="50" t="n"/>
      <c r="F74" s="51">
        <f>IF(OR(C74="",C74="Очередь",C74="Клиент",C74="Отказ",C74="Не писать"),"",IF(E74="",IF(AND(C74="Отправлено",I74&lt;&gt;"",TODAY()-INT(I74)&gt;=3),"молчит "&amp;(TODAY()-INT(I74))&amp;" дн.",IF(OR(C74="Перезвонить",C74="Созвон"),"укажи дату","")),IF(INT(E74)&lt;TODAY(),"просрочено",IF(INT(E74)=TODAY(),"сегодня",IF(INT(E74)=TODAY()+1,"завтра",TEXT(E74,"dd.mm"))))))</f>
        <v/>
      </c>
      <c r="G74" s="52" t="n"/>
      <c r="H74" s="36" t="inlineStr">
        <is>
          <t>79184623338</t>
        </is>
      </c>
      <c r="I74" s="53" t="n"/>
      <c r="J74" s="38">
        <f>IFERROR(MATCH(C74,'Справка'!$A$12:$A$21,0),99)</f>
        <v/>
      </c>
      <c r="K74" s="39">
        <f>HYPERLINK("https://wa.me/"&amp;H74&amp;"?text="&amp;ENCODEURL(T74),"✉ Написать")</f>
        <v/>
      </c>
      <c r="L74" s="39">
        <f>HYPERLINK("https://wa.me/"&amp;H74,"Открыть чат")</f>
        <v/>
      </c>
      <c r="M74" s="38" t="inlineStr">
        <is>
          <t>Краснодар</t>
        </is>
      </c>
      <c r="N74" s="38" t="n">
        <v>5</v>
      </c>
      <c r="O74" s="38" t="n">
        <v>56</v>
      </c>
      <c r="P74" s="38" t="inlineStr">
        <is>
          <t>krysha-krasnodar.ru</t>
        </is>
      </c>
      <c r="Q74" s="38" t="inlineStr">
        <is>
          <t>есть сайт: сначала впиши в текст, что на нём не так, похоже на магазин</t>
        </is>
      </c>
      <c r="R74" s="38" t="n">
        <v>1</v>
      </c>
      <c r="S74" s="38" t="inlineStr">
        <is>
          <t>Краснодарский край</t>
        </is>
      </c>
      <c r="T74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«Крышовица», где это исправлено, и показать. Собрать?</t>
        </is>
      </c>
      <c r="U74" s="38">
        <f>B74&amp;IF(D74&lt;&gt;""," · "&amp;D74,"")&amp;IF(F74&lt;&gt;"",CHAR(10)&amp;F74,"")</f>
        <v/>
      </c>
      <c r="V74" s="38">
        <f>IF(OR(F74="просрочено",F74="сегодня",F74="укажи дату",LEFT(F74,6)="молчит"),1,0)</f>
        <v/>
      </c>
    </row>
    <row r="75" ht="24" customHeight="1">
      <c r="A75" s="38" t="n">
        <v>74</v>
      </c>
      <c r="B75" s="32" t="inlineStr">
        <is>
          <t>Аира</t>
        </is>
      </c>
      <c r="C75" s="49" t="inlineStr">
        <is>
          <t>Очередь</t>
        </is>
      </c>
      <c r="D75" s="49" t="n"/>
      <c r="E75" s="50" t="n"/>
      <c r="F75" s="51">
        <f>IF(OR(C75="",C75="Очередь",C75="Клиент",C75="Отказ",C75="Не писать"),"",IF(E75="",IF(AND(C75="Отправлено",I75&lt;&gt;"",TODAY()-INT(I75)&gt;=3),"молчит "&amp;(TODAY()-INT(I75))&amp;" дн.",IF(OR(C75="Перезвонить",C75="Созвон"),"укажи дату","")),IF(INT(E75)&lt;TODAY(),"просрочено",IF(INT(E75)=TODAY(),"сегодня",IF(INT(E75)=TODAY()+1,"завтра",TEXT(E75,"dd.mm"))))))</f>
        <v/>
      </c>
      <c r="G75" s="52" t="n"/>
      <c r="H75" s="36" t="inlineStr">
        <is>
          <t>79183933233</t>
        </is>
      </c>
      <c r="I75" s="53" t="n"/>
      <c r="J75" s="38">
        <f>IFERROR(MATCH(C75,'Справка'!$A$12:$A$21,0),99)</f>
        <v/>
      </c>
      <c r="K75" s="39">
        <f>HYPERLINK("https://wa.me/"&amp;H75&amp;"?text="&amp;ENCODEURL(T75),"✉ Написать")</f>
        <v/>
      </c>
      <c r="L75" s="39">
        <f>HYPERLINK("https://wa.me/"&amp;H75,"Открыть чат")</f>
        <v/>
      </c>
      <c r="M75" s="38" t="inlineStr">
        <is>
          <t>Краснодар</t>
        </is>
      </c>
      <c r="N75" s="38" t="n">
        <v>4.9</v>
      </c>
      <c r="O75" s="38" t="n">
        <v>53</v>
      </c>
      <c r="P75" s="38" t="inlineStr">
        <is>
          <t>aira23.ru</t>
        </is>
      </c>
      <c r="Q75" s="38" t="inlineStr">
        <is>
          <t>есть сайт: сначала впиши в текст, что на нём не так, похоже на магазин</t>
        </is>
      </c>
      <c r="R75" s="38" t="n">
        <v>1</v>
      </c>
      <c r="S75" s="38" t="inlineStr">
        <is>
          <t>Краснодарский край</t>
        </is>
      </c>
      <c r="T75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«Аира», где это исправлено, и показать. Собрать?</t>
        </is>
      </c>
      <c r="U75" s="38">
        <f>B75&amp;IF(D75&lt;&gt;""," · "&amp;D75,"")&amp;IF(F75&lt;&gt;"",CHAR(10)&amp;F75,"")</f>
        <v/>
      </c>
      <c r="V75" s="38">
        <f>IF(OR(F75="просрочено",F75="сегодня",F75="укажи дату",LEFT(F75,6)="молчит"),1,0)</f>
        <v/>
      </c>
    </row>
    <row r="76" ht="24" customHeight="1">
      <c r="A76" s="38" t="n">
        <v>75</v>
      </c>
      <c r="B76" s="32" t="inlineStr">
        <is>
          <t>Domus</t>
        </is>
      </c>
      <c r="C76" s="49" t="inlineStr">
        <is>
          <t>Очередь</t>
        </is>
      </c>
      <c r="D76" s="49" t="n"/>
      <c r="E76" s="50" t="n"/>
      <c r="F76" s="51">
        <f>IF(OR(C76="",C76="Очередь",C76="Клиент",C76="Отказ",C76="Не писать"),"",IF(E76="",IF(AND(C76="Отправлено",I76&lt;&gt;"",TODAY()-INT(I76)&gt;=3),"молчит "&amp;(TODAY()-INT(I76))&amp;" дн.",IF(OR(C76="Перезвонить",C76="Созвон"),"укажи дату","")),IF(INT(E76)&lt;TODAY(),"просрочено",IF(INT(E76)=TODAY(),"сегодня",IF(INT(E76)=TODAY()+1,"завтра",TEXT(E76,"dd.mm"))))))</f>
        <v/>
      </c>
      <c r="G76" s="52" t="n"/>
      <c r="H76" s="36" t="inlineStr">
        <is>
          <t>79180154111</t>
        </is>
      </c>
      <c r="I76" s="53" t="n"/>
      <c r="J76" s="38">
        <f>IFERROR(MATCH(C76,'Справка'!$A$12:$A$21,0),99)</f>
        <v/>
      </c>
      <c r="K76" s="39">
        <f>HYPERLINK("https://wa.me/"&amp;H76&amp;"?text="&amp;ENCODEURL(T76),"✉ Написать")</f>
        <v/>
      </c>
      <c r="L76" s="39">
        <f>HYPERLINK("https://wa.me/"&amp;H76,"Открыть чат")</f>
        <v/>
      </c>
      <c r="M76" s="38" t="inlineStr">
        <is>
          <t>Краснодар</t>
        </is>
      </c>
      <c r="N76" s="38" t="n">
        <v>5</v>
      </c>
      <c r="O76" s="38" t="n">
        <v>48</v>
      </c>
      <c r="P76" s="38" t="inlineStr">
        <is>
          <t>sochi.m-300.ru</t>
        </is>
      </c>
      <c r="Q76" s="38" t="inlineStr">
        <is>
          <t>есть сайт: сначала впиши в текст, что на нём не так, похоже на магазин</t>
        </is>
      </c>
      <c r="R76" s="38" t="n">
        <v>1</v>
      </c>
      <c r="S76" s="38" t="inlineStr">
        <is>
          <t>Краснодарский край</t>
        </is>
      </c>
      <c r="T76" s="38" t="inlineStr">
        <is>
          <t>Здравствуйте! Смотрел в 2ГИС кровельные компании в Краснодаре, зашёл на ваш сайт с телефона: [ЧТО НЕ ТАК НА САЙТЕ].
Могу за вечер собрать вариант под «Domus», где это исправлено, и показать. Собрать?</t>
        </is>
      </c>
      <c r="U76" s="38">
        <f>B76&amp;IF(D76&lt;&gt;""," · "&amp;D76,"")&amp;IF(F76&lt;&gt;"",CHAR(10)&amp;F76,"")</f>
        <v/>
      </c>
      <c r="V76" s="38">
        <f>IF(OR(F76="просрочено",F76="сегодня",F76="укажи дату",LEFT(F76,6)="молчит"),1,0)</f>
        <v/>
      </c>
    </row>
    <row r="77" ht="24" customHeight="1">
      <c r="A77" s="38" t="n">
        <v>76</v>
      </c>
      <c r="B77" s="32" t="inlineStr">
        <is>
          <t>Юг</t>
        </is>
      </c>
      <c r="C77" s="49" t="inlineStr">
        <is>
          <t>Очередь</t>
        </is>
      </c>
      <c r="D77" s="49" t="n"/>
      <c r="E77" s="50" t="n"/>
      <c r="F77" s="51">
        <f>IF(OR(C77="",C77="Очередь",C77="Клиент",C77="Отказ",C77="Не писать"),"",IF(E77="",IF(AND(C77="Отправлено",I77&lt;&gt;"",TODAY()-INT(I77)&gt;=3),"молчит "&amp;(TODAY()-INT(I77))&amp;" дн.",IF(OR(C77="Перезвонить",C77="Созвон"),"укажи дату","")),IF(INT(E77)&lt;TODAY(),"просрочено",IF(INT(E77)=TODAY(),"сегодня",IF(INT(E77)=TODAY()+1,"завтра",TEXT(E77,"dd.mm"))))))</f>
        <v/>
      </c>
      <c r="G77" s="52" t="n"/>
      <c r="H77" s="36" t="inlineStr">
        <is>
          <t>79180744407</t>
        </is>
      </c>
      <c r="I77" s="53" t="n"/>
      <c r="J77" s="38">
        <f>IFERROR(MATCH(C77,'Справка'!$A$12:$A$21,0),99)</f>
        <v/>
      </c>
      <c r="K77" s="39">
        <f>HYPERLINK("https://wa.me/"&amp;H77&amp;"?text="&amp;ENCODEURL(T77),"✉ Написать")</f>
        <v/>
      </c>
      <c r="L77" s="39">
        <f>HYPERLINK("https://wa.me/"&amp;H77,"Открыть чат")</f>
        <v/>
      </c>
      <c r="M77" s="38" t="inlineStr">
        <is>
          <t>Анапа</t>
        </is>
      </c>
      <c r="N77" s="38" t="n">
        <v>5</v>
      </c>
      <c r="O77" s="38" t="n">
        <v>6</v>
      </c>
      <c r="P77" s="38" t="n"/>
      <c r="Q77" s="38" t="inlineStr">
        <is>
          <t>без сайта</t>
        </is>
      </c>
      <c r="R77" s="38" t="n">
        <v>1</v>
      </c>
      <c r="S77" s="38" t="inlineStr">
        <is>
          <t>Краснодарский край</t>
        </is>
      </c>
      <c r="T77" s="38" t="inlineStr">
        <is>
          <t>Здравствуйте! Искал в 2ГИС кровельные компании в Анапе и наткнулся на вас: отзывы хорошие, а сайта нет.
Могу за вечер собрать для «Юг» сайт и показать. Платить не нужно, пока не понравится. Собрать?</t>
        </is>
      </c>
      <c r="U77" s="38">
        <f>B77&amp;IF(D77&lt;&gt;""," · "&amp;D77,"")&amp;IF(F77&lt;&gt;"",CHAR(10)&amp;F77,"")</f>
        <v/>
      </c>
      <c r="V77" s="38">
        <f>IF(OR(F77="просрочено",F77="сегодня",F77="укажи дату",LEFT(F77,6)="молчит"),1,0)</f>
        <v/>
      </c>
    </row>
    <row r="78" ht="24" customHeight="1">
      <c r="A78" s="38" t="n">
        <v>77</v>
      </c>
      <c r="B78" s="32" t="inlineStr">
        <is>
          <t>Фасадный лидер</t>
        </is>
      </c>
      <c r="C78" s="49" t="inlineStr">
        <is>
          <t>Очередь</t>
        </is>
      </c>
      <c r="D78" s="49" t="n"/>
      <c r="E78" s="50" t="n"/>
      <c r="F78" s="51">
        <f>IF(OR(C78="",C78="Очередь",C78="Клиент",C78="Отказ",C78="Не писать"),"",IF(E78="",IF(AND(C78="Отправлено",I78&lt;&gt;"",TODAY()-INT(I78)&gt;=3),"молчит "&amp;(TODAY()-INT(I78))&amp;" дн.",IF(OR(C78="Перезвонить",C78="Созвон"),"укажи дату","")),IF(INT(E78)&lt;TODAY(),"просрочено",IF(INT(E78)=TODAY(),"сегодня",IF(INT(E78)=TODAY()+1,"завтра",TEXT(E78,"dd.mm"))))))</f>
        <v/>
      </c>
      <c r="G78" s="52" t="n"/>
      <c r="H78" s="36" t="inlineStr">
        <is>
          <t>79183402658</t>
        </is>
      </c>
      <c r="I78" s="53" t="n"/>
      <c r="J78" s="38">
        <f>IFERROR(MATCH(C78,'Справка'!$A$12:$A$21,0),99)</f>
        <v/>
      </c>
      <c r="K78" s="39">
        <f>HYPERLINK("https://wa.me/"&amp;H78&amp;"?text="&amp;ENCODEURL(T78),"✉ Написать")</f>
        <v/>
      </c>
      <c r="L78" s="39">
        <f>HYPERLINK("https://wa.me/"&amp;H78,"Открыть чат")</f>
        <v/>
      </c>
      <c r="M78" s="38" t="inlineStr">
        <is>
          <t>Новороссийск</t>
        </is>
      </c>
      <c r="N78" s="38" t="n">
        <v>5</v>
      </c>
      <c r="O78" s="38" t="n">
        <v>3</v>
      </c>
      <c r="P78" s="38" t="n"/>
      <c r="Q78" s="38" t="inlineStr">
        <is>
          <t>без сайта</t>
        </is>
      </c>
      <c r="R78" s="38" t="n">
        <v>1</v>
      </c>
      <c r="S78" s="38" t="inlineStr">
        <is>
          <t>Краснодарский край</t>
        </is>
      </c>
      <c r="T78" s="38" t="inlineStr">
        <is>
          <t>Здравствуйте! Смотрел в 2ГИС, кто делает кровлю в Новороссийске. У «Фасадный лидер» хорошие отзывы, но сайта в карточке я не нашёл.
Готов за вечер собрать сайт для «Фасадный лидер» и показать вам. Денег вперёд не беру. Собрать?</t>
        </is>
      </c>
      <c r="U78" s="38">
        <f>B78&amp;IF(D78&lt;&gt;""," · "&amp;D78,"")&amp;IF(F78&lt;&gt;"",CHAR(10)&amp;F78,"")</f>
        <v/>
      </c>
      <c r="V78" s="38">
        <f>IF(OR(F78="просрочено",F78="сегодня",F78="укажи дату",LEFT(F78,6)="молчит"),1,0)</f>
        <v/>
      </c>
    </row>
    <row r="79" ht="24" customHeight="1">
      <c r="A79" s="38" t="n">
        <v>78</v>
      </c>
      <c r="B79" s="32" t="inlineStr">
        <is>
          <t>Строй М</t>
        </is>
      </c>
      <c r="C79" s="49" t="inlineStr">
        <is>
          <t>Очередь</t>
        </is>
      </c>
      <c r="D79" s="49" t="n"/>
      <c r="E79" s="50" t="n"/>
      <c r="F79" s="51">
        <f>IF(OR(C79="",C79="Очередь",C79="Клиент",C79="Отказ",C79="Не писать"),"",IF(E79="",IF(AND(C79="Отправлено",I79&lt;&gt;"",TODAY()-INT(I79)&gt;=3),"молчит "&amp;(TODAY()-INT(I79))&amp;" дн.",IF(OR(C79="Перезвонить",C79="Созвон"),"укажи дату","")),IF(INT(E79)&lt;TODAY(),"просрочено",IF(INT(E79)=TODAY(),"сегодня",IF(INT(E79)=TODAY()+1,"завтра",TEXT(E79,"dd.mm"))))))</f>
        <v/>
      </c>
      <c r="G79" s="52" t="n"/>
      <c r="H79" s="36" t="inlineStr">
        <is>
          <t>79181570944</t>
        </is>
      </c>
      <c r="I79" s="53" t="n"/>
      <c r="J79" s="38">
        <f>IFERROR(MATCH(C79,'Справка'!$A$12:$A$21,0),99)</f>
        <v/>
      </c>
      <c r="K79" s="39">
        <f>HYPERLINK("https://wa.me/"&amp;H79&amp;"?text="&amp;ENCODEURL(T79),"✉ Написать")</f>
        <v/>
      </c>
      <c r="L79" s="39">
        <f>HYPERLINK("https://wa.me/"&amp;H79,"Открыть чат")</f>
        <v/>
      </c>
      <c r="M79" s="38" t="inlineStr">
        <is>
          <t>ст-ца Раевская</t>
        </is>
      </c>
      <c r="N79" s="38" t="n">
        <v>5</v>
      </c>
      <c r="O79" s="38" t="n">
        <v>2</v>
      </c>
      <c r="P79" s="38" t="n"/>
      <c r="Q79" s="38" t="inlineStr">
        <is>
          <t>без сайта</t>
        </is>
      </c>
      <c r="R79" s="38" t="n">
        <v>1</v>
      </c>
      <c r="S79" s="38" t="inlineStr">
        <is>
          <t>Краснодарский край</t>
        </is>
      </c>
      <c r="T79" s="38" t="inlineStr">
        <is>
          <t>Здравствуйте! Нашёл вас в 2ГИС среди кровельных компаний в Раевской, а сайта в карточке не нашёл.
Могу собрать сайт под «Строй М» за вечер и показать. Не понравится — ничего не должны. Сделать?</t>
        </is>
      </c>
      <c r="U79" s="38">
        <f>B79&amp;IF(D79&lt;&gt;""," · "&amp;D79,"")&amp;IF(F79&lt;&gt;"",CHAR(10)&amp;F79,"")</f>
        <v/>
      </c>
      <c r="V79" s="38">
        <f>IF(OR(F79="просрочено",F79="сегодня",F79="укажи дату",LEFT(F79,6)="молчит"),1,0)</f>
        <v/>
      </c>
    </row>
    <row r="80" ht="24" customHeight="1">
      <c r="A80" s="38" t="n">
        <v>79</v>
      </c>
      <c r="B80" s="32" t="inlineStr">
        <is>
          <t>Рем-Стройка</t>
        </is>
      </c>
      <c r="C80" s="49" t="inlineStr">
        <is>
          <t>Очередь</t>
        </is>
      </c>
      <c r="D80" s="49" t="n"/>
      <c r="E80" s="50" t="n"/>
      <c r="F80" s="51">
        <f>IF(OR(C80="",C80="Очередь",C80="Клиент",C80="Отказ",C80="Не писать"),"",IF(E80="",IF(AND(C80="Отправлено",I80&lt;&gt;"",TODAY()-INT(I80)&gt;=3),"молчит "&amp;(TODAY()-INT(I80))&amp;" дн.",IF(OR(C80="Перезвонить",C80="Созвон"),"укажи дату","")),IF(INT(E80)&lt;TODAY(),"просрочено",IF(INT(E80)=TODAY(),"сегодня",IF(INT(E80)=TODAY()+1,"завтра",TEXT(E80,"dd.mm"))))))</f>
        <v/>
      </c>
      <c r="G80" s="52" t="n"/>
      <c r="H80" s="36" t="inlineStr">
        <is>
          <t>79284153261</t>
        </is>
      </c>
      <c r="I80" s="53" t="n"/>
      <c r="J80" s="38">
        <f>IFERROR(MATCH(C80,'Справка'!$A$12:$A$21,0),99)</f>
        <v/>
      </c>
      <c r="K80" s="39">
        <f>HYPERLINK("https://wa.me/"&amp;H80&amp;"?text="&amp;ENCODEURL(T80),"✉ Написать")</f>
        <v/>
      </c>
      <c r="L80" s="39">
        <f>HYPERLINK("https://wa.me/"&amp;H80,"Открыть чат")</f>
        <v/>
      </c>
      <c r="M80" s="38" t="inlineStr">
        <is>
          <t>Геленджик</t>
        </is>
      </c>
      <c r="N80" s="38" t="n">
        <v>5</v>
      </c>
      <c r="O80" s="38" t="n">
        <v>1</v>
      </c>
      <c r="P80" s="38" t="n"/>
      <c r="Q80" s="38" t="inlineStr">
        <is>
          <t>без сайта</t>
        </is>
      </c>
      <c r="R80" s="38" t="n">
        <v>1</v>
      </c>
      <c r="S80" s="38" t="inlineStr">
        <is>
          <t>Краснодарский край</t>
        </is>
      </c>
      <c r="T80" s="38" t="inlineStr">
        <is>
          <t>Здравствуйте! Искал в 2ГИС кровельные компании в Геленджике и наткнулся на вас. Сайта в карточке не увидел.
Могу за вечер собрать для «Рем-Стройка» сайт и показать. Платить не нужно, пока не понравится. Собрать?</t>
        </is>
      </c>
      <c r="U80" s="38">
        <f>B80&amp;IF(D80&lt;&gt;""," · "&amp;D80,"")&amp;IF(F80&lt;&gt;"",CHAR(10)&amp;F80,"")</f>
        <v/>
      </c>
      <c r="V80" s="38">
        <f>IF(OR(F80="просрочено",F80="сегодня",F80="укажи дату",LEFT(F80,6)="молчит"),1,0)</f>
        <v/>
      </c>
    </row>
    <row r="81" ht="24" customHeight="1">
      <c r="A81" s="38" t="n">
        <v>80</v>
      </c>
      <c r="B81" s="32" t="inlineStr">
        <is>
          <t>Загородный дом</t>
        </is>
      </c>
      <c r="C81" s="49" t="inlineStr">
        <is>
          <t>Очередь</t>
        </is>
      </c>
      <c r="D81" s="49" t="n"/>
      <c r="E81" s="50" t="n"/>
      <c r="F81" s="51">
        <f>IF(OR(C81="",C81="Очередь",C81="Клиент",C81="Отказ",C81="Не писать"),"",IF(E81="",IF(AND(C81="Отправлено",I81&lt;&gt;"",TODAY()-INT(I81)&gt;=3),"молчит "&amp;(TODAY()-INT(I81))&amp;" дн.",IF(OR(C81="Перезвонить",C81="Созвон"),"укажи дату","")),IF(INT(E81)&lt;TODAY(),"просрочено",IF(INT(E81)=TODAY(),"сегодня",IF(INT(E81)=TODAY()+1,"завтра",TEXT(E81,"dd.mm"))))))</f>
        <v/>
      </c>
      <c r="G81" s="52" t="n"/>
      <c r="H81" s="36" t="inlineStr">
        <is>
          <t>79384732984</t>
        </is>
      </c>
      <c r="I81" s="53" t="n"/>
      <c r="J81" s="38">
        <f>IFERROR(MATCH(C81,'Справка'!$A$12:$A$21,0),99)</f>
        <v/>
      </c>
      <c r="K81" s="39">
        <f>HYPERLINK("https://wa.me/"&amp;H81&amp;"?text="&amp;ENCODEURL(T81),"✉ Написать")</f>
        <v/>
      </c>
      <c r="L81" s="39">
        <f>HYPERLINK("https://wa.me/"&amp;H81,"Открыть чат")</f>
        <v/>
      </c>
      <c r="M81" s="38" t="inlineStr">
        <is>
          <t>Геленджик</t>
        </is>
      </c>
      <c r="N81" s="38" t="n">
        <v>5</v>
      </c>
      <c r="O81" s="38" t="n">
        <v>1</v>
      </c>
      <c r="P81" s="38" t="n"/>
      <c r="Q81" s="38" t="inlineStr">
        <is>
          <t>без сайта</t>
        </is>
      </c>
      <c r="R81" s="38" t="n">
        <v>1</v>
      </c>
      <c r="S81" s="38" t="inlineStr">
        <is>
          <t>Краснодарский край</t>
        </is>
      </c>
      <c r="T81" s="38" t="inlineStr">
        <is>
          <t>Здравствуйте! Смотрел в 2ГИС, кто делает кровлю в Геленджике, и нашёл «Загородный дом». Сайта в карточке нет.
Готов за вечер собрать сайт для «Загородный дом» и показать вам. Денег вперёд не беру. Собрать?</t>
        </is>
      </c>
      <c r="U81" s="38">
        <f>B81&amp;IF(D81&lt;&gt;""," · "&amp;D81,"")&amp;IF(F81&lt;&gt;"",CHAR(10)&amp;F81,"")</f>
        <v/>
      </c>
      <c r="V81" s="38">
        <f>IF(OR(F81="просрочено",F81="сегодня",F81="укажи дату",LEFT(F81,6)="молчит"),1,0)</f>
        <v/>
      </c>
    </row>
    <row r="82" ht="24" customHeight="1">
      <c r="A82" s="38" t="n">
        <v>81</v>
      </c>
      <c r="B82" s="32" t="inlineStr">
        <is>
          <t>Твоя крепость</t>
        </is>
      </c>
      <c r="C82" s="49" t="inlineStr">
        <is>
          <t>Очередь</t>
        </is>
      </c>
      <c r="D82" s="49" t="n"/>
      <c r="E82" s="50" t="n"/>
      <c r="F82" s="51">
        <f>IF(OR(C82="",C82="Очередь",C82="Клиент",C82="Отказ",C82="Не писать"),"",IF(E82="",IF(AND(C82="Отправлено",I82&lt;&gt;"",TODAY()-INT(I82)&gt;=3),"молчит "&amp;(TODAY()-INT(I82))&amp;" дн.",IF(OR(C82="Перезвонить",C82="Созвон"),"укажи дату","")),IF(INT(E82)&lt;TODAY(),"просрочено",IF(INT(E82)=TODAY(),"сегодня",IF(INT(E82)=TODAY()+1,"завтра",TEXT(E82,"dd.mm"))))))</f>
        <v/>
      </c>
      <c r="G82" s="52" t="n"/>
      <c r="H82" s="36" t="inlineStr">
        <is>
          <t>79530721757</t>
        </is>
      </c>
      <c r="I82" s="53" t="n"/>
      <c r="J82" s="38">
        <f>IFERROR(MATCH(C82,'Справка'!$A$12:$A$21,0),99)</f>
        <v/>
      </c>
      <c r="K82" s="39">
        <f>HYPERLINK("https://wa.me/"&amp;H82&amp;"?text="&amp;ENCODEURL(T82),"✉ Написать")</f>
        <v/>
      </c>
      <c r="L82" s="39">
        <f>HYPERLINK("https://wa.me/"&amp;H82,"Открыть чат")</f>
        <v/>
      </c>
      <c r="M82" s="38" t="inlineStr">
        <is>
          <t>Новороссийск</t>
        </is>
      </c>
      <c r="N82" s="38" t="n">
        <v>1</v>
      </c>
      <c r="O82" s="38" t="n">
        <v>1</v>
      </c>
      <c r="P82" s="38" t="n"/>
      <c r="Q82" s="38" t="inlineStr">
        <is>
          <t>без сайта</t>
        </is>
      </c>
      <c r="R82" s="38" t="n">
        <v>1</v>
      </c>
      <c r="S82" s="38" t="inlineStr">
        <is>
          <t>Краснодарский край</t>
        </is>
      </c>
      <c r="T82" s="38" t="inlineStr">
        <is>
          <t>Здравствуйте! Нашёл вас в 2ГИС среди кровельных компаний в Новороссийске, а сайта в карточке не нашёл.
Могу собрать сайт под «Твоя крепость» за вечер и показать. Не понравится — ничего не должны. Сделать?</t>
        </is>
      </c>
      <c r="U82" s="38">
        <f>B82&amp;IF(D82&lt;&gt;""," · "&amp;D82,"")&amp;IF(F82&lt;&gt;"",CHAR(10)&amp;F82,"")</f>
        <v/>
      </c>
      <c r="V82" s="38">
        <f>IF(OR(F82="просрочено",F82="сегодня",F82="укажи дату",LEFT(F82,6)="молчит"),1,0)</f>
        <v/>
      </c>
    </row>
    <row r="83" ht="24" customHeight="1">
      <c r="A83" s="38" t="n">
        <v>82</v>
      </c>
      <c r="B83" s="32" t="inlineStr">
        <is>
          <t>Фирма по кровельным работам</t>
        </is>
      </c>
      <c r="C83" s="49" t="inlineStr">
        <is>
          <t>Очередь</t>
        </is>
      </c>
      <c r="D83" s="49" t="n"/>
      <c r="E83" s="50" t="n"/>
      <c r="F83" s="51">
        <f>IF(OR(C83="",C83="Очередь",C83="Клиент",C83="Отказ",C83="Не писать"),"",IF(E83="",IF(AND(C83="Отправлено",I83&lt;&gt;"",TODAY()-INT(I83)&gt;=3),"молчит "&amp;(TODAY()-INT(I83))&amp;" дн.",IF(OR(C83="Перезвонить",C83="Созвон"),"укажи дату","")),IF(INT(E83)&lt;TODAY(),"просрочено",IF(INT(E83)=TODAY(),"сегодня",IF(INT(E83)=TODAY()+1,"завтра",TEXT(E83,"dd.mm"))))))</f>
        <v/>
      </c>
      <c r="G83" s="52" t="n"/>
      <c r="H83" s="36" t="inlineStr">
        <is>
          <t>79183636363</t>
        </is>
      </c>
      <c r="I83" s="53" t="n"/>
      <c r="J83" s="38">
        <f>IFERROR(MATCH(C83,'Справка'!$A$12:$A$21,0),99)</f>
        <v/>
      </c>
      <c r="K83" s="39">
        <f>HYPERLINK("https://wa.me/"&amp;H83&amp;"?text="&amp;ENCODEURL(T83),"✉ Написать")</f>
        <v/>
      </c>
      <c r="L83" s="39">
        <f>HYPERLINK("https://wa.me/"&amp;H83,"Открыть чат")</f>
        <v/>
      </c>
      <c r="M83" s="38" t="inlineStr">
        <is>
          <t>Адыгейск</t>
        </is>
      </c>
      <c r="N83" s="38" t="n"/>
      <c r="O83" s="38" t="n"/>
      <c r="P83" s="38" t="n"/>
      <c r="Q83" s="38" t="inlineStr">
        <is>
          <t>без сайта</t>
        </is>
      </c>
      <c r="R83" s="38" t="n">
        <v>1</v>
      </c>
      <c r="S83" s="38" t="inlineStr">
        <is>
          <t>Краснодарский край</t>
        </is>
      </c>
      <c r="T83" s="38" t="inlineStr">
        <is>
          <t>Здравствуйте! Искал в 2ГИС кровельные компании в Адыгейске и наткнулся на вас. Сайта в карточке не увидел.
Могу за вечер собрать для «Фирма по кровельным работам» сайт и показать. Платить не нужно, пока не понравится. Собрать?</t>
        </is>
      </c>
      <c r="U83" s="38">
        <f>B83&amp;IF(D83&lt;&gt;""," · "&amp;D83,"")&amp;IF(F83&lt;&gt;"",CHAR(10)&amp;F83,"")</f>
        <v/>
      </c>
      <c r="V83" s="38">
        <f>IF(OR(F83="просрочено",F83="сегодня",F83="укажи дату",LEFT(F83,6)="молчит"),1,0)</f>
        <v/>
      </c>
    </row>
    <row r="84" ht="24" customHeight="1">
      <c r="A84" s="38" t="n">
        <v>83</v>
      </c>
      <c r="B84" s="32" t="inlineStr">
        <is>
          <t>Сеана-строй</t>
        </is>
      </c>
      <c r="C84" s="49" t="inlineStr">
        <is>
          <t>Очередь</t>
        </is>
      </c>
      <c r="D84" s="49" t="n"/>
      <c r="E84" s="50" t="n"/>
      <c r="F84" s="51">
        <f>IF(OR(C84="",C84="Очередь",C84="Клиент",C84="Отказ",C84="Не писать"),"",IF(E84="",IF(AND(C84="Отправлено",I84&lt;&gt;"",TODAY()-INT(I84)&gt;=3),"молчит "&amp;(TODAY()-INT(I84))&amp;" дн.",IF(OR(C84="Перезвонить",C84="Созвон"),"укажи дату","")),IF(INT(E84)&lt;TODAY(),"просрочено",IF(INT(E84)=TODAY(),"сегодня",IF(INT(E84)=TODAY()+1,"завтра",TEXT(E84,"dd.mm"))))))</f>
        <v/>
      </c>
      <c r="G84" s="52" t="n"/>
      <c r="H84" s="36" t="inlineStr">
        <is>
          <t>79183733381</t>
        </is>
      </c>
      <c r="I84" s="53" t="n"/>
      <c r="J84" s="38">
        <f>IFERROR(MATCH(C84,'Справка'!$A$12:$A$21,0),99)</f>
        <v/>
      </c>
      <c r="K84" s="39">
        <f>HYPERLINK("https://wa.me/"&amp;H84&amp;"?text="&amp;ENCODEURL(T84),"✉ Написать")</f>
        <v/>
      </c>
      <c r="L84" s="39">
        <f>HYPERLINK("https://wa.me/"&amp;H84,"Открыть чат")</f>
        <v/>
      </c>
      <c r="M84" s="38" t="inlineStr">
        <is>
          <t>пгт Ильский</t>
        </is>
      </c>
      <c r="N84" s="38" t="n"/>
      <c r="O84" s="38" t="n"/>
      <c r="P84" s="38" t="n"/>
      <c r="Q84" s="38" t="inlineStr">
        <is>
          <t>без сайта</t>
        </is>
      </c>
      <c r="R84" s="38" t="n">
        <v>1</v>
      </c>
      <c r="S84" s="38" t="inlineStr">
        <is>
          <t>Краснодарский край</t>
        </is>
      </c>
      <c r="T84" s="38" t="inlineStr">
        <is>
          <t>Здравствуйте! Смотрел в 2ГИС, кто делает кровлю в Ильском, и нашёл «Сеана-строй». Сайта в карточке нет.
Готов за вечер собрать сайт для «Сеана-строй» и показать вам. Денег вперёд не беру. Собрать?</t>
        </is>
      </c>
      <c r="U84" s="38">
        <f>B84&amp;IF(D84&lt;&gt;""," · "&amp;D84,"")&amp;IF(F84&lt;&gt;"",CHAR(10)&amp;F84,"")</f>
        <v/>
      </c>
      <c r="V84" s="38">
        <f>IF(OR(F84="просрочено",F84="сегодня",F84="укажи дату",LEFT(F84,6)="молчит"),1,0)</f>
        <v/>
      </c>
    </row>
    <row r="85" ht="24" customHeight="1">
      <c r="A85" s="38" t="n">
        <v>84</v>
      </c>
      <c r="B85" s="32" t="inlineStr">
        <is>
          <t>Строй-Провинция</t>
        </is>
      </c>
      <c r="C85" s="49" t="inlineStr">
        <is>
          <t>Очередь</t>
        </is>
      </c>
      <c r="D85" s="49" t="n"/>
      <c r="E85" s="50" t="n"/>
      <c r="F85" s="51">
        <f>IF(OR(C85="",C85="Очередь",C85="Клиент",C85="Отказ",C85="Не писать"),"",IF(E85="",IF(AND(C85="Отправлено",I85&lt;&gt;"",TODAY()-INT(I85)&gt;=3),"молчит "&amp;(TODAY()-INT(I85))&amp;" дн.",IF(OR(C85="Перезвонить",C85="Созвон"),"укажи дату","")),IF(INT(E85)&lt;TODAY(),"просрочено",IF(INT(E85)=TODAY(),"сегодня",IF(INT(E85)=TODAY()+1,"завтра",TEXT(E85,"dd.mm"))))))</f>
        <v/>
      </c>
      <c r="G85" s="52" t="n"/>
      <c r="H85" s="36" t="inlineStr">
        <is>
          <t>79184378197</t>
        </is>
      </c>
      <c r="I85" s="53" t="n"/>
      <c r="J85" s="38">
        <f>IFERROR(MATCH(C85,'Справка'!$A$12:$A$21,0),99)</f>
        <v/>
      </c>
      <c r="K85" s="39">
        <f>HYPERLINK("https://wa.me/"&amp;H85&amp;"?text="&amp;ENCODEURL(T85),"✉ Написать")</f>
        <v/>
      </c>
      <c r="L85" s="39">
        <f>HYPERLINK("https://wa.me/"&amp;H85,"Открыть чат")</f>
        <v/>
      </c>
      <c r="M85" s="38" t="inlineStr">
        <is>
          <t>Усть-Лабинск</t>
        </is>
      </c>
      <c r="N85" s="38" t="n"/>
      <c r="O85" s="38" t="n"/>
      <c r="P85" s="38" t="n"/>
      <c r="Q85" s="38" t="inlineStr">
        <is>
          <t>без сайта</t>
        </is>
      </c>
      <c r="R85" s="38" t="n">
        <v>1</v>
      </c>
      <c r="S85" s="38" t="inlineStr">
        <is>
          <t>Краснодарский край</t>
        </is>
      </c>
      <c r="T85" s="38" t="inlineStr">
        <is>
          <t>Здравствуйте! Нашёл вас в 2ГИС среди кровельных компаний в Усть-Лабинске, а сайта в карточке не нашёл.
Могу собрать сайт под «Строй-Провинция» за вечер и показать. Не понравится — ничего не должны. Сделать?</t>
        </is>
      </c>
      <c r="U85" s="38">
        <f>B85&amp;IF(D85&lt;&gt;""," · "&amp;D85,"")&amp;IF(F85&lt;&gt;"",CHAR(10)&amp;F85,"")</f>
        <v/>
      </c>
      <c r="V85" s="38">
        <f>IF(OR(F85="просрочено",F85="сегодня",F85="укажи дату",LEFT(F85,6)="молчит"),1,0)</f>
        <v/>
      </c>
    </row>
    <row r="86" ht="24" customHeight="1">
      <c r="A86" s="38" t="n">
        <v>85</v>
      </c>
      <c r="B86" s="32" t="inlineStr">
        <is>
          <t>Юг комфорт строй</t>
        </is>
      </c>
      <c r="C86" s="49" t="inlineStr">
        <is>
          <t>Очередь</t>
        </is>
      </c>
      <c r="D86" s="49" t="n"/>
      <c r="E86" s="50" t="n"/>
      <c r="F86" s="51">
        <f>IF(OR(C86="",C86="Очередь",C86="Клиент",C86="Отказ",C86="Не писать"),"",IF(E86="",IF(AND(C86="Отправлено",I86&lt;&gt;"",TODAY()-INT(I86)&gt;=3),"молчит "&amp;(TODAY()-INT(I86))&amp;" дн.",IF(OR(C86="Перезвонить",C86="Созвон"),"укажи дату","")),IF(INT(E86)&lt;TODAY(),"просрочено",IF(INT(E86)=TODAY(),"сегодня",IF(INT(E86)=TODAY()+1,"завтра",TEXT(E86,"dd.mm"))))))</f>
        <v/>
      </c>
      <c r="G86" s="52" t="n"/>
      <c r="H86" s="36" t="inlineStr">
        <is>
          <t>79184684614</t>
        </is>
      </c>
      <c r="I86" s="53" t="n"/>
      <c r="J86" s="38">
        <f>IFERROR(MATCH(C86,'Справка'!$A$12:$A$21,0),99)</f>
        <v/>
      </c>
      <c r="K86" s="39">
        <f>HYPERLINK("https://wa.me/"&amp;H86&amp;"?text="&amp;ENCODEURL(T86),"✉ Написать")</f>
        <v/>
      </c>
      <c r="L86" s="39">
        <f>HYPERLINK("https://wa.me/"&amp;H86,"Открыть чат")</f>
        <v/>
      </c>
      <c r="M86" s="38" t="inlineStr">
        <is>
          <t>Новороссийск</t>
        </is>
      </c>
      <c r="N86" s="38" t="n"/>
      <c r="O86" s="38" t="n"/>
      <c r="P86" s="38" t="n"/>
      <c r="Q86" s="38" t="inlineStr">
        <is>
          <t>без сайта</t>
        </is>
      </c>
      <c r="R86" s="38" t="n">
        <v>1</v>
      </c>
      <c r="S86" s="38" t="inlineStr">
        <is>
          <t>Краснодарский край</t>
        </is>
      </c>
      <c r="T86" s="38" t="inlineStr">
        <is>
          <t>Здравствуйте! Искал в 2ГИС кровельные компании в Новороссийске и наткнулся на вас. Сайта в карточке не увидел.
Могу за вечер собрать для «Юг комфорт строй» сайт и показать. Платить не нужно, пока не понравится. Собрать?</t>
        </is>
      </c>
      <c r="U86" s="38">
        <f>B86&amp;IF(D86&lt;&gt;""," · "&amp;D86,"")&amp;IF(F86&lt;&gt;"",CHAR(10)&amp;F86,"")</f>
        <v/>
      </c>
      <c r="V86" s="38">
        <f>IF(OR(F86="просрочено",F86="сегодня",F86="укажи дату",LEFT(F86,6)="молчит"),1,0)</f>
        <v/>
      </c>
    </row>
    <row r="87" ht="24" customHeight="1">
      <c r="A87" s="38" t="n">
        <v>86</v>
      </c>
      <c r="B87" s="32" t="inlineStr">
        <is>
          <t>ГелСтройРемонт</t>
        </is>
      </c>
      <c r="C87" s="49" t="inlineStr">
        <is>
          <t>Очередь</t>
        </is>
      </c>
      <c r="D87" s="49" t="n"/>
      <c r="E87" s="50" t="n"/>
      <c r="F87" s="51">
        <f>IF(OR(C87="",C87="Очередь",C87="Клиент",C87="Отказ",C87="Не писать"),"",IF(E87="",IF(AND(C87="Отправлено",I87&lt;&gt;"",TODAY()-INT(I87)&gt;=3),"молчит "&amp;(TODAY()-INT(I87))&amp;" дн.",IF(OR(C87="Перезвонить",C87="Созвон"),"укажи дату","")),IF(INT(E87)&lt;TODAY(),"просрочено",IF(INT(E87)=TODAY(),"сегодня",IF(INT(E87)=TODAY()+1,"завтра",TEXT(E87,"dd.mm"))))))</f>
        <v/>
      </c>
      <c r="G87" s="52" t="n"/>
      <c r="H87" s="36" t="inlineStr">
        <is>
          <t>79286633050</t>
        </is>
      </c>
      <c r="I87" s="53" t="n"/>
      <c r="J87" s="38">
        <f>IFERROR(MATCH(C87,'Справка'!$A$12:$A$21,0),99)</f>
        <v/>
      </c>
      <c r="K87" s="39">
        <f>HYPERLINK("https://wa.me/"&amp;H87&amp;"?text="&amp;ENCODEURL(T87),"✉ Написать")</f>
        <v/>
      </c>
      <c r="L87" s="39">
        <f>HYPERLINK("https://wa.me/"&amp;H87,"Открыть чат")</f>
        <v/>
      </c>
      <c r="M87" s="38" t="inlineStr">
        <is>
          <t>Геленджик</t>
        </is>
      </c>
      <c r="N87" s="38" t="n"/>
      <c r="O87" s="38" t="n"/>
      <c r="P87" s="38" t="n"/>
      <c r="Q87" s="38" t="inlineStr">
        <is>
          <t>без сайта</t>
        </is>
      </c>
      <c r="R87" s="38" t="n">
        <v>1</v>
      </c>
      <c r="S87" s="38" t="inlineStr">
        <is>
          <t>Краснодарский край</t>
        </is>
      </c>
      <c r="T87" s="38" t="inlineStr">
        <is>
          <t>Здравствуйте! Смотрел в 2ГИС, кто делает кровлю в Геленджике, и нашёл «ГелСтройРемонт». Сайта в карточке нет.
Готов за вечер собрать сайт для «ГелСтройРемонт» и показать вам. Денег вперёд не беру. Собрать?</t>
        </is>
      </c>
      <c r="U87" s="38">
        <f>B87&amp;IF(D87&lt;&gt;""," · "&amp;D87,"")&amp;IF(F87&lt;&gt;"",CHAR(10)&amp;F87,"")</f>
        <v/>
      </c>
      <c r="V87" s="38">
        <f>IF(OR(F87="просрочено",F87="сегодня",F87="укажи дату",LEFT(F87,6)="молчит"),1,0)</f>
        <v/>
      </c>
    </row>
    <row r="88" ht="24" customHeight="1">
      <c r="A88" s="38" t="n">
        <v>87</v>
      </c>
      <c r="B88" s="32" t="inlineStr">
        <is>
          <t>Юг Строй Кровля</t>
        </is>
      </c>
      <c r="C88" s="49" t="inlineStr">
        <is>
          <t>Очередь</t>
        </is>
      </c>
      <c r="D88" s="49" t="n"/>
      <c r="E88" s="50" t="n"/>
      <c r="F88" s="51">
        <f>IF(OR(C88="",C88="Очередь",C88="Клиент",C88="Отказ",C88="Не писать"),"",IF(E88="",IF(AND(C88="Отправлено",I88&lt;&gt;"",TODAY()-INT(I88)&gt;=3),"молчит "&amp;(TODAY()-INT(I88))&amp;" дн.",IF(OR(C88="Перезвонить",C88="Созвон"),"укажи дату","")),IF(INT(E88)&lt;TODAY(),"просрочено",IF(INT(E88)=TODAY(),"сегодня",IF(INT(E88)=TODAY()+1,"завтра",TEXT(E88,"dd.mm"))))))</f>
        <v/>
      </c>
      <c r="G88" s="52" t="n"/>
      <c r="H88" s="36" t="inlineStr">
        <is>
          <t>79384832393</t>
        </is>
      </c>
      <c r="I88" s="53" t="n"/>
      <c r="J88" s="38">
        <f>IFERROR(MATCH(C88,'Справка'!$A$12:$A$21,0),99)</f>
        <v/>
      </c>
      <c r="K88" s="39">
        <f>HYPERLINK("https://wa.me/"&amp;H88&amp;"?text="&amp;ENCODEURL(T88),"✉ Написать")</f>
        <v/>
      </c>
      <c r="L88" s="39">
        <f>HYPERLINK("https://wa.me/"&amp;H88,"Открыть чат")</f>
        <v/>
      </c>
      <c r="M88" s="38" t="inlineStr">
        <is>
          <t>Геленджик</t>
        </is>
      </c>
      <c r="N88" s="38" t="n"/>
      <c r="O88" s="38" t="n"/>
      <c r="P88" s="38" t="n"/>
      <c r="Q88" s="38" t="inlineStr">
        <is>
          <t>без сайта</t>
        </is>
      </c>
      <c r="R88" s="38" t="n">
        <v>1</v>
      </c>
      <c r="S88" s="38" t="inlineStr">
        <is>
          <t>Краснодарский край</t>
        </is>
      </c>
      <c r="T88" s="38" t="inlineStr">
        <is>
          <t>Здравствуйте! Нашёл вас в 2ГИС среди кровельных компаний в Геленджике, а сайта в карточке не нашёл.
Могу собрать сайт под «Юг Строй Кровля» за вечер и показать. Не понравится — ничего не должны. Сделать?</t>
        </is>
      </c>
      <c r="U88" s="38">
        <f>B88&amp;IF(D88&lt;&gt;""," · "&amp;D88,"")&amp;IF(F88&lt;&gt;"",CHAR(10)&amp;F88,"")</f>
        <v/>
      </c>
      <c r="V88" s="38">
        <f>IF(OR(F88="просрочено",F88="сегодня",F88="укажи дату",LEFT(F88,6)="молчит"),1,0)</f>
        <v/>
      </c>
    </row>
    <row r="89" ht="24" customHeight="1">
      <c r="A89" s="38" t="n">
        <v>88</v>
      </c>
      <c r="B89" s="32" t="inlineStr">
        <is>
          <t>Стройка и точкА</t>
        </is>
      </c>
      <c r="C89" s="49" t="inlineStr">
        <is>
          <t>Очередь</t>
        </is>
      </c>
      <c r="D89" s="49" t="n"/>
      <c r="E89" s="50" t="n"/>
      <c r="F89" s="51">
        <f>IF(OR(C89="",C89="Очередь",C89="Клиент",C89="Отказ",C89="Не писать"),"",IF(E89="",IF(AND(C89="Отправлено",I89&lt;&gt;"",TODAY()-INT(I89)&gt;=3),"молчит "&amp;(TODAY()-INT(I89))&amp;" дн.",IF(OR(C89="Перезвонить",C89="Созвон"),"укажи дату","")),IF(INT(E89)&lt;TODAY(),"просрочено",IF(INT(E89)=TODAY(),"сегодня",IF(INT(E89)=TODAY()+1,"завтра",TEXT(E89,"dd.mm"))))))</f>
        <v/>
      </c>
      <c r="G89" s="52" t="n"/>
      <c r="H89" s="36" t="inlineStr">
        <is>
          <t>79385267194</t>
        </is>
      </c>
      <c r="I89" s="53" t="n"/>
      <c r="J89" s="38">
        <f>IFERROR(MATCH(C89,'Справка'!$A$12:$A$21,0),99)</f>
        <v/>
      </c>
      <c r="K89" s="39">
        <f>HYPERLINK("https://wa.me/"&amp;H89&amp;"?text="&amp;ENCODEURL(T89),"✉ Написать")</f>
        <v/>
      </c>
      <c r="L89" s="39">
        <f>HYPERLINK("https://wa.me/"&amp;H89,"Открыть чат")</f>
        <v/>
      </c>
      <c r="M89" s="38" t="inlineStr">
        <is>
          <t>Геленджик</t>
        </is>
      </c>
      <c r="N89" s="38" t="n"/>
      <c r="O89" s="38" t="n"/>
      <c r="P89" s="38" t="n"/>
      <c r="Q89" s="38" t="inlineStr">
        <is>
          <t>без сайта</t>
        </is>
      </c>
      <c r="R89" s="38" t="n">
        <v>1</v>
      </c>
      <c r="S89" s="38" t="inlineStr">
        <is>
          <t>Краснодарский край</t>
        </is>
      </c>
      <c r="T89" s="38" t="inlineStr">
        <is>
          <t>Здравствуйте! Искал в 2ГИС кровельные компании в Геленджике и наткнулся на вас. Сайта в карточке не увидел.
Могу за вечер собрать для «Стройка и точкА» сайт и показать. Платить не нужно, пока не понравится. Собрать?</t>
        </is>
      </c>
      <c r="U89" s="38">
        <f>B89&amp;IF(D89&lt;&gt;""," · "&amp;D89,"")&amp;IF(F89&lt;&gt;"",CHAR(10)&amp;F89,"")</f>
        <v/>
      </c>
      <c r="V89" s="38">
        <f>IF(OR(F89="просрочено",F89="сегодня",F89="укажи дату",LEFT(F89,6)="молчит"),1,0)</f>
        <v/>
      </c>
    </row>
    <row r="90" ht="24" customHeight="1">
      <c r="A90" s="38" t="n">
        <v>89</v>
      </c>
      <c r="B90" s="32" t="inlineStr">
        <is>
          <t>Кровельный центр-2000</t>
        </is>
      </c>
      <c r="C90" s="49" t="inlineStr">
        <is>
          <t>Очередь</t>
        </is>
      </c>
      <c r="D90" s="49" t="n"/>
      <c r="E90" s="50" t="n"/>
      <c r="F90" s="51">
        <f>IF(OR(C90="",C90="Очередь",C90="Клиент",C90="Отказ",C90="Не писать"),"",IF(E90="",IF(AND(C90="Отправлено",I90&lt;&gt;"",TODAY()-INT(I90)&gt;=3),"молчит "&amp;(TODAY()-INT(I90))&amp;" дн.",IF(OR(C90="Перезвонить",C90="Созвон"),"укажи дату","")),IF(INT(E90)&lt;TODAY(),"просрочено",IF(INT(E90)=TODAY(),"сегодня",IF(INT(E90)=TODAY()+1,"завтра",TEXT(E90,"dd.mm"))))))</f>
        <v/>
      </c>
      <c r="G90" s="52" t="n"/>
      <c r="H90" s="36" t="inlineStr">
        <is>
          <t>79282750452</t>
        </is>
      </c>
      <c r="I90" s="53" t="n"/>
      <c r="J90" s="38">
        <f>IFERROR(MATCH(C90,'Справка'!$A$12:$A$21,0),99)</f>
        <v/>
      </c>
      <c r="K90" s="39">
        <f>HYPERLINK("https://wa.me/"&amp;H90&amp;"?text="&amp;ENCODEURL(T90),"✉ Написать")</f>
        <v/>
      </c>
      <c r="L90" s="39">
        <f>HYPERLINK("https://wa.me/"&amp;H90,"Открыть чат")</f>
        <v/>
      </c>
      <c r="M90" s="38" t="inlineStr">
        <is>
          <t>Новороссийск</t>
        </is>
      </c>
      <c r="N90" s="38" t="n"/>
      <c r="O90" s="38" t="n"/>
      <c r="P90" s="38" t="n"/>
      <c r="Q90" s="38" t="inlineStr">
        <is>
          <t>без сайта</t>
        </is>
      </c>
      <c r="R90" s="38" t="n">
        <v>1</v>
      </c>
      <c r="S90" s="38" t="inlineStr">
        <is>
          <t>Краснодарский край</t>
        </is>
      </c>
      <c r="T90" s="38" t="inlineStr">
        <is>
          <t>Здравствуйте! Смотрел в 2ГИС, кто делает кровлю в Новороссийске, и нашёл «Кровельный центр-2000». Сайта в карточке нет.
Готов за вечер собрать сайт для «Кровельный центр-2000» и показать вам. Денег вперёд не беру. Собрать?</t>
        </is>
      </c>
      <c r="U90" s="38">
        <f>B90&amp;IF(D90&lt;&gt;""," · "&amp;D90,"")&amp;IF(F90&lt;&gt;"",CHAR(10)&amp;F90,"")</f>
        <v/>
      </c>
      <c r="V90" s="38">
        <f>IF(OR(F90="просрочено",F90="сегодня",F90="укажи дату",LEFT(F90,6)="молчит"),1,0)</f>
        <v/>
      </c>
    </row>
    <row r="91" ht="24" customHeight="1">
      <c r="A91" s="38" t="n">
        <v>90</v>
      </c>
      <c r="B91" s="32" t="inlineStr">
        <is>
          <t>ПромАльпФасад</t>
        </is>
      </c>
      <c r="C91" s="49" t="inlineStr">
        <is>
          <t>Очередь</t>
        </is>
      </c>
      <c r="D91" s="49" t="n"/>
      <c r="E91" s="50" t="n"/>
      <c r="F91" s="51">
        <f>IF(OR(C91="",C91="Очередь",C91="Клиент",C91="Отказ",C91="Не писать"),"",IF(E91="",IF(AND(C91="Отправлено",I91&lt;&gt;"",TODAY()-INT(I91)&gt;=3),"молчит "&amp;(TODAY()-INT(I91))&amp;" дн.",IF(OR(C91="Перезвонить",C91="Созвон"),"укажи дату","")),IF(INT(E91)&lt;TODAY(),"просрочено",IF(INT(E91)=TODAY(),"сегодня",IF(INT(E91)=TODAY()+1,"завтра",TEXT(E91,"dd.mm"))))))</f>
        <v/>
      </c>
      <c r="G91" s="52" t="n"/>
      <c r="H91" s="36" t="inlineStr">
        <is>
          <t>79186245322</t>
        </is>
      </c>
      <c r="I91" s="53" t="n"/>
      <c r="J91" s="38">
        <f>IFERROR(MATCH(C91,'Справка'!$A$12:$A$21,0),99)</f>
        <v/>
      </c>
      <c r="K91" s="39">
        <f>HYPERLINK("https://wa.me/"&amp;H91&amp;"?text="&amp;ENCODEURL(T91),"✉ Написать")</f>
        <v/>
      </c>
      <c r="L91" s="39">
        <f>HYPERLINK("https://wa.me/"&amp;H91,"Открыть чат")</f>
        <v/>
      </c>
      <c r="M91" s="38" t="inlineStr">
        <is>
          <t>Новороссийск</t>
        </is>
      </c>
      <c r="N91" s="38" t="n"/>
      <c r="O91" s="38" t="n"/>
      <c r="P91" s="38" t="n"/>
      <c r="Q91" s="38" t="inlineStr">
        <is>
          <t>без сайта</t>
        </is>
      </c>
      <c r="R91" s="38" t="n">
        <v>1</v>
      </c>
      <c r="S91" s="38" t="inlineStr">
        <is>
          <t>Краснодарский край</t>
        </is>
      </c>
      <c r="T91" s="38" t="inlineStr">
        <is>
          <t>Здравствуйте! Нашёл вас в 2ГИС среди кровельных компаний в Новороссийске, а сайта в карточке не нашёл.
Могу собрать сайт под «ПромАльпФасад» за вечер и показать. Не понравится — ничего не должны. Сделать?</t>
        </is>
      </c>
      <c r="U91" s="38">
        <f>B91&amp;IF(D91&lt;&gt;""," · "&amp;D91,"")&amp;IF(F91&lt;&gt;"",CHAR(10)&amp;F91,"")</f>
        <v/>
      </c>
      <c r="V91" s="38">
        <f>IF(OR(F91="просрочено",F91="сегодня",F91="укажи дату",LEFT(F91,6)="молчит"),1,0)</f>
        <v/>
      </c>
    </row>
    <row r="92" ht="24" customHeight="1">
      <c r="A92" s="38" t="n">
        <v>91</v>
      </c>
      <c r="B92" s="32" t="inlineStr">
        <is>
          <t>Строительно-монтажная компания</t>
        </is>
      </c>
      <c r="C92" s="49" t="inlineStr">
        <is>
          <t>Очередь</t>
        </is>
      </c>
      <c r="D92" s="49" t="n"/>
      <c r="E92" s="50" t="n"/>
      <c r="F92" s="51">
        <f>IF(OR(C92="",C92="Очередь",C92="Клиент",C92="Отказ",C92="Не писать"),"",IF(E92="",IF(AND(C92="Отправлено",I92&lt;&gt;"",TODAY()-INT(I92)&gt;=3),"молчит "&amp;(TODAY()-INT(I92))&amp;" дн.",IF(OR(C92="Перезвонить",C92="Созвон"),"укажи дату","")),IF(INT(E92)&lt;TODAY(),"просрочено",IF(INT(E92)=TODAY(),"сегодня",IF(INT(E92)=TODAY()+1,"завтра",TEXT(E92,"dd.mm"))))))</f>
        <v/>
      </c>
      <c r="G92" s="52" t="n"/>
      <c r="H92" s="36" t="inlineStr">
        <is>
          <t>79183680829</t>
        </is>
      </c>
      <c r="I92" s="53" t="n"/>
      <c r="J92" s="38">
        <f>IFERROR(MATCH(C92,'Справка'!$A$12:$A$21,0),99)</f>
        <v/>
      </c>
      <c r="K92" s="39">
        <f>HYPERLINK("https://wa.me/"&amp;H92&amp;"?text="&amp;ENCODEURL(T92),"✉ Написать")</f>
        <v/>
      </c>
      <c r="L92" s="39">
        <f>HYPERLINK("https://wa.me/"&amp;H92,"Открыть чат")</f>
        <v/>
      </c>
      <c r="M92" s="38" t="inlineStr">
        <is>
          <t>Новороссийск</t>
        </is>
      </c>
      <c r="N92" s="38" t="n"/>
      <c r="O92" s="38" t="n"/>
      <c r="P92" s="38" t="n"/>
      <c r="Q92" s="38" t="inlineStr">
        <is>
          <t>без сайта</t>
        </is>
      </c>
      <c r="R92" s="38" t="n">
        <v>1</v>
      </c>
      <c r="S92" s="38" t="inlineStr">
        <is>
          <t>Краснодарский край</t>
        </is>
      </c>
      <c r="T92" s="38" t="inlineStr">
        <is>
          <t>Здравствуйте! Искал в 2ГИС кровельные компании в Новороссийске и наткнулся на вас. Сайта в карточке не увидел.
Могу за вечер собрать для «Строительно-монтажная компания» сайт и показать. Платить не нужно, пока не понравится. Собрать?</t>
        </is>
      </c>
      <c r="U92" s="38">
        <f>B92&amp;IF(D92&lt;&gt;""," · "&amp;D92,"")&amp;IF(F92&lt;&gt;"",CHAR(10)&amp;F92,"")</f>
        <v/>
      </c>
      <c r="V92" s="38">
        <f>IF(OR(F92="просрочено",F92="сегодня",F92="укажи дату",LEFT(F92,6)="молчит"),1,0)</f>
        <v/>
      </c>
    </row>
    <row r="93" ht="24" customHeight="1">
      <c r="A93" s="38" t="n">
        <v>92</v>
      </c>
      <c r="B93" s="32" t="inlineStr">
        <is>
          <t>Компания по ремонту и устройству мягкой кровли</t>
        </is>
      </c>
      <c r="C93" s="49" t="inlineStr">
        <is>
          <t>Очередь</t>
        </is>
      </c>
      <c r="D93" s="49" t="n"/>
      <c r="E93" s="50" t="n"/>
      <c r="F93" s="51">
        <f>IF(OR(C93="",C93="Очередь",C93="Клиент",C93="Отказ",C93="Не писать"),"",IF(E93="",IF(AND(C93="Отправлено",I93&lt;&gt;"",TODAY()-INT(I93)&gt;=3),"молчит "&amp;(TODAY()-INT(I93))&amp;" дн.",IF(OR(C93="Перезвонить",C93="Созвон"),"укажи дату","")),IF(INT(E93)&lt;TODAY(),"просрочено",IF(INT(E93)=TODAY(),"сегодня",IF(INT(E93)=TODAY()+1,"завтра",TEXT(E93,"dd.mm"))))))</f>
        <v/>
      </c>
      <c r="G93" s="52" t="n"/>
      <c r="H93" s="36" t="inlineStr">
        <is>
          <t>79184529620</t>
        </is>
      </c>
      <c r="I93" s="53" t="n"/>
      <c r="J93" s="38">
        <f>IFERROR(MATCH(C93,'Справка'!$A$12:$A$21,0),99)</f>
        <v/>
      </c>
      <c r="K93" s="39">
        <f>HYPERLINK("https://wa.me/"&amp;H93&amp;"?text="&amp;ENCODEURL(T93),"✉ Написать")</f>
        <v/>
      </c>
      <c r="L93" s="39">
        <f>HYPERLINK("https://wa.me/"&amp;H93,"Открыть чат")</f>
        <v/>
      </c>
      <c r="M93" s="38" t="inlineStr">
        <is>
          <t>Новороссийск</t>
        </is>
      </c>
      <c r="N93" s="38" t="n"/>
      <c r="O93" s="38" t="n"/>
      <c r="P93" s="38" t="n"/>
      <c r="Q93" s="38" t="inlineStr">
        <is>
          <t>без сайта</t>
        </is>
      </c>
      <c r="R93" s="38" t="n">
        <v>1</v>
      </c>
      <c r="S93" s="38" t="inlineStr">
        <is>
          <t>Краснодарский край</t>
        </is>
      </c>
      <c r="T93" s="38" t="inlineStr">
        <is>
          <t>Здравствуйте! Смотрел в 2ГИС, кто делает кровлю в Новороссийске, и нашёл «Компания по ремонту и устройству мягкой кровли». Сайта в карточке нет.
Готов за вечер собрать сайт для «Компания по ремонту и устройству мягкой кровли» и показать вам. Денег вперёд не беру. Собрать?</t>
        </is>
      </c>
      <c r="U93" s="38">
        <f>B93&amp;IF(D93&lt;&gt;""," · "&amp;D93,"")&amp;IF(F93&lt;&gt;"",CHAR(10)&amp;F93,"")</f>
        <v/>
      </c>
      <c r="V93" s="38">
        <f>IF(OR(F93="просрочено",F93="сегодня",F93="укажи дату",LEFT(F93,6)="молчит"),1,0)</f>
        <v/>
      </c>
    </row>
    <row r="94" ht="24" customHeight="1">
      <c r="A94" s="38" t="n">
        <v>93</v>
      </c>
      <c r="B94" s="32" t="inlineStr">
        <is>
          <t>Монтажная компания</t>
        </is>
      </c>
      <c r="C94" s="49" t="inlineStr">
        <is>
          <t>Очередь</t>
        </is>
      </c>
      <c r="D94" s="49" t="n"/>
      <c r="E94" s="50" t="n"/>
      <c r="F94" s="51">
        <f>IF(OR(C94="",C94="Очередь",C94="Клиент",C94="Отказ",C94="Не писать"),"",IF(E94="",IF(AND(C94="Отправлено",I94&lt;&gt;"",TODAY()-INT(I94)&gt;=3),"молчит "&amp;(TODAY()-INT(I94))&amp;" дн.",IF(OR(C94="Перезвонить",C94="Созвон"),"укажи дату","")),IF(INT(E94)&lt;TODAY(),"просрочено",IF(INT(E94)=TODAY(),"сегодня",IF(INT(E94)=TODAY()+1,"завтра",TEXT(E94,"dd.mm"))))))</f>
        <v/>
      </c>
      <c r="G94" s="52" t="n"/>
      <c r="H94" s="36" t="inlineStr">
        <is>
          <t>79996383607</t>
        </is>
      </c>
      <c r="I94" s="53" t="n"/>
      <c r="J94" s="38">
        <f>IFERROR(MATCH(C94,'Справка'!$A$12:$A$21,0),99)</f>
        <v/>
      </c>
      <c r="K94" s="39">
        <f>HYPERLINK("https://wa.me/"&amp;H94&amp;"?text="&amp;ENCODEURL(T94),"✉ Написать")</f>
        <v/>
      </c>
      <c r="L94" s="39">
        <f>HYPERLINK("https://wa.me/"&amp;H94,"Открыть чат")</f>
        <v/>
      </c>
      <c r="M94" s="38" t="inlineStr">
        <is>
          <t>Новороссийск</t>
        </is>
      </c>
      <c r="N94" s="38" t="n"/>
      <c r="O94" s="38" t="n"/>
      <c r="P94" s="38" t="n"/>
      <c r="Q94" s="38" t="inlineStr">
        <is>
          <t>без сайта</t>
        </is>
      </c>
      <c r="R94" s="38" t="n">
        <v>1</v>
      </c>
      <c r="S94" s="38" t="inlineStr">
        <is>
          <t>Краснодарский край</t>
        </is>
      </c>
      <c r="T94" s="38" t="inlineStr">
        <is>
          <t>Здравствуйте! Нашёл вас в 2ГИС среди кровельных компаний в Новороссийске, а сайта в карточке не нашёл.
Могу собрать сайт под «Монтажная компания» за вечер и показать. Не понравится — ничего не должны. Сделать?</t>
        </is>
      </c>
      <c r="U94" s="38">
        <f>B94&amp;IF(D94&lt;&gt;""," · "&amp;D94,"")&amp;IF(F94&lt;&gt;"",CHAR(10)&amp;F94,"")</f>
        <v/>
      </c>
      <c r="V94" s="38">
        <f>IF(OR(F94="просрочено",F94="сегодня",F94="укажи дату",LEFT(F94,6)="молчит"),1,0)</f>
        <v/>
      </c>
    </row>
    <row r="95" ht="24" customHeight="1">
      <c r="A95" s="38" t="n">
        <v>94</v>
      </c>
      <c r="B95" s="32" t="inlineStr">
        <is>
          <t>Артель Ладага</t>
        </is>
      </c>
      <c r="C95" s="49" t="inlineStr">
        <is>
          <t>Очередь</t>
        </is>
      </c>
      <c r="D95" s="49" t="n"/>
      <c r="E95" s="50" t="n"/>
      <c r="F95" s="51">
        <f>IF(OR(C95="",C95="Очередь",C95="Клиент",C95="Отказ",C95="Не писать"),"",IF(E95="",IF(AND(C95="Отправлено",I95&lt;&gt;"",TODAY()-INT(I95)&gt;=3),"молчит "&amp;(TODAY()-INT(I95))&amp;" дн.",IF(OR(C95="Перезвонить",C95="Созвон"),"укажи дату","")),IF(INT(E95)&lt;TODAY(),"просрочено",IF(INT(E95)=TODAY(),"сегодня",IF(INT(E95)=TODAY()+1,"завтра",TEXT(E95,"dd.mm"))))))</f>
        <v/>
      </c>
      <c r="G95" s="52" t="n"/>
      <c r="H95" s="36" t="inlineStr">
        <is>
          <t>79184673853</t>
        </is>
      </c>
      <c r="I95" s="53" t="n"/>
      <c r="J95" s="38">
        <f>IFERROR(MATCH(C95,'Справка'!$A$12:$A$21,0),99)</f>
        <v/>
      </c>
      <c r="K95" s="39">
        <f>HYPERLINK("https://wa.me/"&amp;H95&amp;"?text="&amp;ENCODEURL(T95),"✉ Написать")</f>
        <v/>
      </c>
      <c r="L95" s="39">
        <f>HYPERLINK("https://wa.me/"&amp;H95,"Открыть чат")</f>
        <v/>
      </c>
      <c r="M95" s="38" t="inlineStr">
        <is>
          <t>с. Супсех</t>
        </is>
      </c>
      <c r="N95" s="38" t="n"/>
      <c r="O95" s="38" t="n"/>
      <c r="P95" s="38" t="n"/>
      <c r="Q95" s="38" t="inlineStr">
        <is>
          <t>без сайта</t>
        </is>
      </c>
      <c r="R95" s="38" t="n">
        <v>1</v>
      </c>
      <c r="S95" s="38" t="inlineStr">
        <is>
          <t>Краснодарский край</t>
        </is>
      </c>
      <c r="T95" s="38" t="inlineStr">
        <is>
          <t>Здравствуйте! Искал в 2ГИС кровельные компании в Супсехе и наткнулся на вас. Сайта в карточке не увидел.
Могу за вечер собрать для «Артель Ладага» сайт и показать. Платить не нужно, пока не понравится. Собрать?</t>
        </is>
      </c>
      <c r="U95" s="38">
        <f>B95&amp;IF(D95&lt;&gt;""," · "&amp;D95,"")&amp;IF(F95&lt;&gt;"",CHAR(10)&amp;F95,"")</f>
        <v/>
      </c>
      <c r="V95" s="38">
        <f>IF(OR(F95="просрочено",F95="сегодня",F95="укажи дату",LEFT(F95,6)="молчит"),1,0)</f>
        <v/>
      </c>
    </row>
    <row r="96" ht="24" customHeight="1">
      <c r="A96" s="38" t="n">
        <v>95</v>
      </c>
      <c r="B96" s="32" t="inlineStr">
        <is>
          <t>Альп Юг</t>
        </is>
      </c>
      <c r="C96" s="49" t="inlineStr">
        <is>
          <t>Очередь</t>
        </is>
      </c>
      <c r="D96" s="49" t="n"/>
      <c r="E96" s="50" t="n"/>
      <c r="F96" s="51">
        <f>IF(OR(C96="",C96="Очередь",C96="Клиент",C96="Отказ",C96="Не писать"),"",IF(E96="",IF(AND(C96="Отправлено",I96&lt;&gt;"",TODAY()-INT(I96)&gt;=3),"молчит "&amp;(TODAY()-INT(I96))&amp;" дн.",IF(OR(C96="Перезвонить",C96="Созвон"),"укажи дату","")),IF(INT(E96)&lt;TODAY(),"просрочено",IF(INT(E96)=TODAY(),"сегодня",IF(INT(E96)=TODAY()+1,"завтра",TEXT(E96,"dd.mm"))))))</f>
        <v/>
      </c>
      <c r="G96" s="52" t="n"/>
      <c r="H96" s="36" t="inlineStr">
        <is>
          <t>79663477756</t>
        </is>
      </c>
      <c r="I96" s="53" t="n"/>
      <c r="J96" s="38">
        <f>IFERROR(MATCH(C96,'Справка'!$A$12:$A$21,0),99)</f>
        <v/>
      </c>
      <c r="K96" s="39">
        <f>HYPERLINK("https://wa.me/"&amp;H96&amp;"?text="&amp;ENCODEURL(T96),"✉ Написать")</f>
        <v/>
      </c>
      <c r="L96" s="39">
        <f>HYPERLINK("https://wa.me/"&amp;H96,"Открыть чат")</f>
        <v/>
      </c>
      <c r="M96" s="38" t="inlineStr">
        <is>
          <t>Анапа</t>
        </is>
      </c>
      <c r="N96" s="38" t="n"/>
      <c r="O96" s="38" t="n"/>
      <c r="P96" s="38" t="n"/>
      <c r="Q96" s="38" t="inlineStr">
        <is>
          <t>без сайта</t>
        </is>
      </c>
      <c r="R96" s="38" t="n">
        <v>1</v>
      </c>
      <c r="S96" s="38" t="inlineStr">
        <is>
          <t>Краснодарский край</t>
        </is>
      </c>
      <c r="T96" s="38" t="inlineStr">
        <is>
          <t>Здравствуйте! Смотрел в 2ГИС, кто делает кровлю в Анапе, и нашёл «Альп Юг». Сайта в карточке нет.
Готов за вечер собрать сайт для «Альп Юг» и показать вам. Денег вперёд не беру. Собрать?</t>
        </is>
      </c>
      <c r="U96" s="38">
        <f>B96&amp;IF(D96&lt;&gt;""," · "&amp;D96,"")&amp;IF(F96&lt;&gt;"",CHAR(10)&amp;F96,"")</f>
        <v/>
      </c>
      <c r="V96" s="38">
        <f>IF(OR(F96="просрочено",F96="сегодня",F96="укажи дату",LEFT(F96,6)="молчит"),1,0)</f>
        <v/>
      </c>
    </row>
    <row r="97" ht="24" customHeight="1">
      <c r="A97" s="38" t="n">
        <v>96</v>
      </c>
      <c r="B97" s="32" t="inlineStr">
        <is>
          <t>Дом фасадов</t>
        </is>
      </c>
      <c r="C97" s="49" t="inlineStr">
        <is>
          <t>Очередь</t>
        </is>
      </c>
      <c r="D97" s="49" t="n"/>
      <c r="E97" s="50" t="n"/>
      <c r="F97" s="51">
        <f>IF(OR(C97="",C97="Очередь",C97="Клиент",C97="Отказ",C97="Не писать"),"",IF(E97="",IF(AND(C97="Отправлено",I97&lt;&gt;"",TODAY()-INT(I97)&gt;=3),"молчит "&amp;(TODAY()-INT(I97))&amp;" дн.",IF(OR(C97="Перезвонить",C97="Созвон"),"укажи дату","")),IF(INT(E97)&lt;TODAY(),"просрочено",IF(INT(E97)=TODAY(),"сегодня",IF(INT(E97)=TODAY()+1,"завтра",TEXT(E97,"dd.mm"))))))</f>
        <v/>
      </c>
      <c r="G97" s="52" t="n"/>
      <c r="H97" s="36" t="inlineStr">
        <is>
          <t>79184745828</t>
        </is>
      </c>
      <c r="I97" s="53" t="n"/>
      <c r="J97" s="38">
        <f>IFERROR(MATCH(C97,'Справка'!$A$12:$A$21,0),99)</f>
        <v/>
      </c>
      <c r="K97" s="39">
        <f>HYPERLINK("https://wa.me/"&amp;H97&amp;"?text="&amp;ENCODEURL(T97),"✉ Написать")</f>
        <v/>
      </c>
      <c r="L97" s="39">
        <f>HYPERLINK("https://wa.me/"&amp;H97,"Открыть чат")</f>
        <v/>
      </c>
      <c r="M97" s="38" t="inlineStr">
        <is>
          <t>Анапа</t>
        </is>
      </c>
      <c r="N97" s="38" t="n"/>
      <c r="O97" s="38" t="n"/>
      <c r="P97" s="38" t="n"/>
      <c r="Q97" s="38" t="inlineStr">
        <is>
          <t>без сайта</t>
        </is>
      </c>
      <c r="R97" s="38" t="n">
        <v>1</v>
      </c>
      <c r="S97" s="38" t="inlineStr">
        <is>
          <t>Краснодарский край</t>
        </is>
      </c>
      <c r="T97" s="38" t="inlineStr">
        <is>
          <t>Здравствуйте! Нашёл вас в 2ГИС среди кровельных компаний в Анапе, а сайта в карточке не нашёл.
Могу собрать сайт под «Дом фасадов» за вечер и показать. Не понравится — ничего не должны. Сделать?</t>
        </is>
      </c>
      <c r="U97" s="38">
        <f>B97&amp;IF(D97&lt;&gt;""," · "&amp;D97,"")&amp;IF(F97&lt;&gt;"",CHAR(10)&amp;F97,"")</f>
        <v/>
      </c>
      <c r="V97" s="38">
        <f>IF(OR(F97="просрочено",F97="сегодня",F97="укажи дату",LEFT(F97,6)="молчит"),1,0)</f>
        <v/>
      </c>
    </row>
    <row r="98" ht="24" customHeight="1">
      <c r="A98" s="38" t="n">
        <v>97</v>
      </c>
      <c r="B98" s="32" t="inlineStr">
        <is>
          <t>Пенетрон</t>
        </is>
      </c>
      <c r="C98" s="49" t="inlineStr">
        <is>
          <t>Очередь</t>
        </is>
      </c>
      <c r="D98" s="49" t="n"/>
      <c r="E98" s="50" t="n"/>
      <c r="F98" s="51">
        <f>IF(OR(C98="",C98="Очередь",C98="Клиент",C98="Отказ",C98="Не писать"),"",IF(E98="",IF(AND(C98="Отправлено",I98&lt;&gt;"",TODAY()-INT(I98)&gt;=3),"молчит "&amp;(TODAY()-INT(I98))&amp;" дн.",IF(OR(C98="Перезвонить",C98="Созвон"),"укажи дату","")),IF(INT(E98)&lt;TODAY(),"просрочено",IF(INT(E98)=TODAY(),"сегодня",IF(INT(E98)=TODAY()+1,"завтра",TEXT(E98,"dd.mm"))))))</f>
        <v/>
      </c>
      <c r="G98" s="52" t="n"/>
      <c r="H98" s="36" t="inlineStr">
        <is>
          <t>79288426343</t>
        </is>
      </c>
      <c r="I98" s="53" t="n"/>
      <c r="J98" s="38">
        <f>IFERROR(MATCH(C98,'Справка'!$A$12:$A$21,0),99)</f>
        <v/>
      </c>
      <c r="K98" s="39">
        <f>HYPERLINK("https://wa.me/"&amp;H98&amp;"?text="&amp;ENCODEURL(T98),"✉ Написать")</f>
        <v/>
      </c>
      <c r="L98" s="39">
        <f>HYPERLINK("https://wa.me/"&amp;H98,"Открыть чат")</f>
        <v/>
      </c>
      <c r="M98" s="38" t="inlineStr">
        <is>
          <t>Геленджик</t>
        </is>
      </c>
      <c r="N98" s="38" t="n">
        <v>5</v>
      </c>
      <c r="O98" s="38" t="n">
        <v>2</v>
      </c>
      <c r="P98" s="38" t="n"/>
      <c r="Q98" s="38" t="inlineStr">
        <is>
          <t>без сайта, WhatsApp не подтверждён</t>
        </is>
      </c>
      <c r="R98" s="38" t="n">
        <v>1</v>
      </c>
      <c r="S98" s="38" t="inlineStr">
        <is>
          <t>Краснодарский край</t>
        </is>
      </c>
      <c r="T98" s="38" t="inlineStr">
        <is>
          <t>Здравствуйте! Искал в 2ГИС кровельные компании в Геленджике и наткнулся на вас. Сайта в карточке не увидел.
Могу за вечер собрать для «Пенетрон» сайт и показать. Платить не нужно, пока не понравится. Собрать?</t>
        </is>
      </c>
      <c r="U98" s="38">
        <f>B98&amp;IF(D98&lt;&gt;""," · "&amp;D98,"")&amp;IF(F98&lt;&gt;"",CHAR(10)&amp;F98,"")</f>
        <v/>
      </c>
      <c r="V98" s="38">
        <f>IF(OR(F98="просрочено",F98="сегодня",F98="укажи дату",LEFT(F98,6)="молчит"),1,0)</f>
        <v/>
      </c>
    </row>
    <row r="99" ht="24" customHeight="1">
      <c r="A99" s="38" t="n">
        <v>98</v>
      </c>
      <c r="B99" s="32" t="inlineStr">
        <is>
          <t>Промышленный альпинист Перевертин Сергей Сергеевич</t>
        </is>
      </c>
      <c r="C99" s="49" t="inlineStr">
        <is>
          <t>Очередь</t>
        </is>
      </c>
      <c r="D99" s="49" t="n"/>
      <c r="E99" s="50" t="n"/>
      <c r="F99" s="51">
        <f>IF(OR(C99="",C99="Очередь",C99="Клиент",C99="Отказ",C99="Не писать"),"",IF(E99="",IF(AND(C99="Отправлено",I99&lt;&gt;"",TODAY()-INT(I99)&gt;=3),"молчит "&amp;(TODAY()-INT(I99))&amp;" дн.",IF(OR(C99="Перезвонить",C99="Созвон"),"укажи дату","")),IF(INT(E99)&lt;TODAY(),"просрочено",IF(INT(E99)=TODAY(),"сегодня",IF(INT(E99)=TODAY()+1,"завтра",TEXT(E99,"dd.mm"))))))</f>
        <v/>
      </c>
      <c r="G99" s="52" t="n"/>
      <c r="H99" s="36" t="inlineStr">
        <is>
          <t>79094444947</t>
        </is>
      </c>
      <c r="I99" s="53" t="n"/>
      <c r="J99" s="38">
        <f>IFERROR(MATCH(C99,'Справка'!$A$12:$A$21,0),99)</f>
        <v/>
      </c>
      <c r="K99" s="39">
        <f>HYPERLINK("https://wa.me/"&amp;H99&amp;"?text="&amp;ENCODEURL(T99),"✉ Написать")</f>
        <v/>
      </c>
      <c r="L99" s="39">
        <f>HYPERLINK("https://wa.me/"&amp;H99,"Открыть чат")</f>
        <v/>
      </c>
      <c r="M99" s="38" t="inlineStr">
        <is>
          <t>с. Супсех</t>
        </is>
      </c>
      <c r="N99" s="38" t="n">
        <v>5</v>
      </c>
      <c r="O99" s="38" t="n">
        <v>2</v>
      </c>
      <c r="P99" s="38" t="n"/>
      <c r="Q99" s="38" t="inlineStr">
        <is>
          <t>без сайта, WhatsApp не подтверждён</t>
        </is>
      </c>
      <c r="R99" s="38" t="n">
        <v>1</v>
      </c>
      <c r="S99" s="38" t="inlineStr">
        <is>
          <t>Краснодарский край</t>
        </is>
      </c>
      <c r="T99" s="38" t="inlineStr">
        <is>
          <t>Здравствуйте! Смотрел в 2ГИС, кто делает кровлю в Супсехе, и нашёл «Промышленный альпинист Перевертин Сергей Сергеевич». Сайта в карточке нет.
Готов за вечер собрать сайт для «Промышленный альпинист Перевертин Сергей Сергеевич» и показать вам. Денег вперёд не беру. Собрать?</t>
        </is>
      </c>
      <c r="U99" s="38">
        <f>B99&amp;IF(D99&lt;&gt;""," · "&amp;D99,"")&amp;IF(F99&lt;&gt;"",CHAR(10)&amp;F99,"")</f>
        <v/>
      </c>
      <c r="V99" s="38">
        <f>IF(OR(F99="просрочено",F99="сегодня",F99="укажи дату",LEFT(F99,6)="молчит"),1,0)</f>
        <v/>
      </c>
    </row>
    <row r="100" ht="24" customHeight="1">
      <c r="A100" s="38" t="n">
        <v>99</v>
      </c>
      <c r="B100" s="32" t="inlineStr">
        <is>
          <t>Р-титан</t>
        </is>
      </c>
      <c r="C100" s="49" t="inlineStr">
        <is>
          <t>Очередь</t>
        </is>
      </c>
      <c r="D100" s="49" t="n"/>
      <c r="E100" s="50" t="n"/>
      <c r="F100" s="51">
        <f>IF(OR(C100="",C100="Очередь",C100="Клиент",C100="Отказ",C100="Не писать"),"",IF(E100="",IF(AND(C100="Отправлено",I100&lt;&gt;"",TODAY()-INT(I100)&gt;=3),"молчит "&amp;(TODAY()-INT(I100))&amp;" дн.",IF(OR(C100="Перезвонить",C100="Созвон"),"укажи дату","")),IF(INT(E100)&lt;TODAY(),"просрочено",IF(INT(E100)=TODAY(),"сегодня",IF(INT(E100)=TODAY()+1,"завтра",TEXT(E100,"dd.mm"))))))</f>
        <v/>
      </c>
      <c r="G100" s="52" t="n"/>
      <c r="H100" s="36" t="inlineStr">
        <is>
          <t>79888885233</t>
        </is>
      </c>
      <c r="I100" s="53" t="n"/>
      <c r="J100" s="38">
        <f>IFERROR(MATCH(C100,'Справка'!$A$12:$A$21,0),99)</f>
        <v/>
      </c>
      <c r="K100" s="39">
        <f>HYPERLINK("https://wa.me/"&amp;H100&amp;"?text="&amp;ENCODEURL(T100),"✉ Написать")</f>
        <v/>
      </c>
      <c r="L100" s="39">
        <f>HYPERLINK("https://wa.me/"&amp;H100,"Открыть чат")</f>
        <v/>
      </c>
      <c r="M100" s="38" t="inlineStr">
        <is>
          <t>с. Первореченское</t>
        </is>
      </c>
      <c r="N100" s="38" t="n"/>
      <c r="O100" s="38" t="n"/>
      <c r="P100" s="38" t="n"/>
      <c r="Q100" s="38" t="inlineStr">
        <is>
          <t>без сайта, WhatsApp не подтверждён</t>
        </is>
      </c>
      <c r="R100" s="38" t="n">
        <v>1</v>
      </c>
      <c r="S100" s="38" t="inlineStr">
        <is>
          <t>Краснодарский край</t>
        </is>
      </c>
      <c r="T100" s="38" t="inlineStr">
        <is>
          <t>Здравствуйте! Нашёл вас в 2ГИС среди кровельных компаний в Первореченском, а сайта в карточке не нашёл.
Могу собрать сайт под «Р-титан» за вечер и показать. Не понравится — ничего не должны. Сделать?</t>
        </is>
      </c>
      <c r="U100" s="38">
        <f>B100&amp;IF(D100&lt;&gt;""," · "&amp;D100,"")&amp;IF(F100&lt;&gt;"",CHAR(10)&amp;F100,"")</f>
        <v/>
      </c>
      <c r="V100" s="38">
        <f>IF(OR(F100="просрочено",F100="сегодня",F100="укажи дату",LEFT(F100,6)="молчит"),1,0)</f>
        <v/>
      </c>
    </row>
    <row r="101" ht="24" customHeight="1">
      <c r="A101" s="38" t="n">
        <v>100</v>
      </c>
      <c r="B101" s="32" t="inlineStr">
        <is>
          <t>Строительная компания</t>
        </is>
      </c>
      <c r="C101" s="49" t="inlineStr">
        <is>
          <t>Очередь</t>
        </is>
      </c>
      <c r="D101" s="49" t="n"/>
      <c r="E101" s="50" t="n"/>
      <c r="F101" s="51">
        <f>IF(OR(C101="",C101="Очередь",C101="Клиент",C101="Отказ",C101="Не писать"),"",IF(E101="",IF(AND(C101="Отправлено",I101&lt;&gt;"",TODAY()-INT(I101)&gt;=3),"молчит "&amp;(TODAY()-INT(I101))&amp;" дн.",IF(OR(C101="Перезвонить",C101="Созвон"),"укажи дату","")),IF(INT(E101)&lt;TODAY(),"просрочено",IF(INT(E101)=TODAY(),"сегодня",IF(INT(E101)=TODAY()+1,"завтра",TEXT(E101,"dd.mm"))))))</f>
        <v/>
      </c>
      <c r="G101" s="52" t="n"/>
      <c r="H101" s="36" t="inlineStr">
        <is>
          <t>79286646700</t>
        </is>
      </c>
      <c r="I101" s="53" t="n"/>
      <c r="J101" s="38">
        <f>IFERROR(MATCH(C101,'Справка'!$A$12:$A$21,0),99)</f>
        <v/>
      </c>
      <c r="K101" s="39">
        <f>HYPERLINK("https://wa.me/"&amp;H101&amp;"?text="&amp;ENCODEURL(T101),"✉ Написать")</f>
        <v/>
      </c>
      <c r="L101" s="39">
        <f>HYPERLINK("https://wa.me/"&amp;H101,"Открыть чат")</f>
        <v/>
      </c>
      <c r="M101" s="38" t="inlineStr">
        <is>
          <t>Крымск</t>
        </is>
      </c>
      <c r="N101" s="38" t="n"/>
      <c r="O101" s="38" t="n"/>
      <c r="P101" s="38" t="n"/>
      <c r="Q101" s="38" t="inlineStr">
        <is>
          <t>без сайта, WhatsApp не подтверждён</t>
        </is>
      </c>
      <c r="R101" s="38" t="n">
        <v>1</v>
      </c>
      <c r="S101" s="38" t="inlineStr">
        <is>
          <t>Краснодарский край</t>
        </is>
      </c>
      <c r="T101" s="38" t="inlineStr">
        <is>
          <t>Здравствуйте! Искал в 2ГИС кровельные компании в Крымске и наткнулся на вас. Сайта в карточке не увидел.
Могу за вечер собрать для «Строительная компания» сайт и показать. Платить не нужно, пока не понравится. Собрать?</t>
        </is>
      </c>
      <c r="U101" s="38">
        <f>B101&amp;IF(D101&lt;&gt;""," · "&amp;D101,"")&amp;IF(F101&lt;&gt;"",CHAR(10)&amp;F101,"")</f>
        <v/>
      </c>
      <c r="V101" s="38">
        <f>IF(OR(F101="просрочено",F101="сегодня",F101="укажи дату",LEFT(F101,6)="молчит"),1,0)</f>
        <v/>
      </c>
    </row>
    <row r="102" ht="24" customHeight="1">
      <c r="A102" s="38" t="n">
        <v>101</v>
      </c>
      <c r="B102" s="32" t="inlineStr">
        <is>
          <t>Центр кровельных работ</t>
        </is>
      </c>
      <c r="C102" s="49" t="inlineStr">
        <is>
          <t>Очередь</t>
        </is>
      </c>
      <c r="D102" s="49" t="n"/>
      <c r="E102" s="50" t="n"/>
      <c r="F102" s="51">
        <f>IF(OR(C102="",C102="Очередь",C102="Клиент",C102="Отказ",C102="Не писать"),"",IF(E102="",IF(AND(C102="Отправлено",I102&lt;&gt;"",TODAY()-INT(I102)&gt;=3),"молчит "&amp;(TODAY()-INT(I102))&amp;" дн.",IF(OR(C102="Перезвонить",C102="Созвон"),"укажи дату","")),IF(INT(E102)&lt;TODAY(),"просрочено",IF(INT(E102)=TODAY(),"сегодня",IF(INT(E102)=TODAY()+1,"завтра",TEXT(E102,"dd.mm"))))))</f>
        <v/>
      </c>
      <c r="G102" s="52" t="n"/>
      <c r="H102" s="36" t="inlineStr">
        <is>
          <t>79181822299</t>
        </is>
      </c>
      <c r="I102" s="53" t="n"/>
      <c r="J102" s="38">
        <f>IFERROR(MATCH(C102,'Справка'!$A$12:$A$21,0),99)</f>
        <v/>
      </c>
      <c r="K102" s="39">
        <f>HYPERLINK("https://wa.me/"&amp;H102&amp;"?text="&amp;ENCODEURL(T102),"✉ Написать")</f>
        <v/>
      </c>
      <c r="L102" s="39">
        <f>HYPERLINK("https://wa.me/"&amp;H102,"Открыть чат")</f>
        <v/>
      </c>
      <c r="M102" s="38" t="inlineStr">
        <is>
          <t>Новороссийск</t>
        </is>
      </c>
      <c r="N102" s="38" t="n"/>
      <c r="O102" s="38" t="n"/>
      <c r="P102" s="38" t="n"/>
      <c r="Q102" s="38" t="inlineStr">
        <is>
          <t>без сайта, WhatsApp не подтверждён</t>
        </is>
      </c>
      <c r="R102" s="38" t="n">
        <v>1</v>
      </c>
      <c r="S102" s="38" t="inlineStr">
        <is>
          <t>Краснодарский край</t>
        </is>
      </c>
      <c r="T102" s="38" t="inlineStr">
        <is>
          <t>Здравствуйте! Смотрел в 2ГИС, кто делает кровлю в Новороссийске, и нашёл «Центр кровельных работ». Сайта в карточке нет.
Готов за вечер собрать сайт для «Центр кровельных работ» и показать вам. Денег вперёд не беру. Собрать?</t>
        </is>
      </c>
      <c r="U102" s="38">
        <f>B102&amp;IF(D102&lt;&gt;""," · "&amp;D102,"")&amp;IF(F102&lt;&gt;"",CHAR(10)&amp;F102,"")</f>
        <v/>
      </c>
      <c r="V102" s="38">
        <f>IF(OR(F102="просрочено",F102="сегодня",F102="укажи дату",LEFT(F102,6)="молчит"),1,0)</f>
        <v/>
      </c>
    </row>
    <row r="103" ht="24" customHeight="1">
      <c r="A103" s="38" t="n">
        <v>102</v>
      </c>
      <c r="B103" s="32" t="inlineStr">
        <is>
          <t>Строительно-монтажная компания</t>
        </is>
      </c>
      <c r="C103" s="49" t="inlineStr">
        <is>
          <t>Очередь</t>
        </is>
      </c>
      <c r="D103" s="49" t="n"/>
      <c r="E103" s="50" t="n"/>
      <c r="F103" s="51">
        <f>IF(OR(C103="",C103="Очередь",C103="Клиент",C103="Отказ",C103="Не писать"),"",IF(E103="",IF(AND(C103="Отправлено",I103&lt;&gt;"",TODAY()-INT(I103)&gt;=3),"молчит "&amp;(TODAY()-INT(I103))&amp;" дн.",IF(OR(C103="Перезвонить",C103="Созвон"),"укажи дату","")),IF(INT(E103)&lt;TODAY(),"просрочено",IF(INT(E103)=TODAY(),"сегодня",IF(INT(E103)=TODAY()+1,"завтра",TEXT(E103,"dd.mm"))))))</f>
        <v/>
      </c>
      <c r="G103" s="52" t="n"/>
      <c r="H103" s="36" t="inlineStr">
        <is>
          <t>79181650194</t>
        </is>
      </c>
      <c r="I103" s="53" t="n"/>
      <c r="J103" s="38">
        <f>IFERROR(MATCH(C103,'Справка'!$A$12:$A$21,0),99)</f>
        <v/>
      </c>
      <c r="K103" s="39">
        <f>HYPERLINK("https://wa.me/"&amp;H103&amp;"?text="&amp;ENCODEURL(T103),"✉ Написать")</f>
        <v/>
      </c>
      <c r="L103" s="39">
        <f>HYPERLINK("https://wa.me/"&amp;H103,"Открыть чат")</f>
        <v/>
      </c>
      <c r="M103" s="38" t="inlineStr">
        <is>
          <t>Новороссийск</t>
        </is>
      </c>
      <c r="N103" s="38" t="n"/>
      <c r="O103" s="38" t="n"/>
      <c r="P103" s="38" t="n"/>
      <c r="Q103" s="38" t="inlineStr">
        <is>
          <t>без сайта, WhatsApp не подтверждён</t>
        </is>
      </c>
      <c r="R103" s="38" t="n">
        <v>1</v>
      </c>
      <c r="S103" s="38" t="inlineStr">
        <is>
          <t>Краснодарский край</t>
        </is>
      </c>
      <c r="T103" s="38" t="inlineStr">
        <is>
          <t>Здравствуйте! Нашёл вас в 2ГИС среди кровельных компаний в Новороссийске, а сайта в карточке не нашёл.
Могу собрать сайт под «Строительно-монтажная компания» за вечер и показать. Не понравится — ничего не должны. Сделать?</t>
        </is>
      </c>
      <c r="U103" s="38">
        <f>B103&amp;IF(D103&lt;&gt;""," · "&amp;D103,"")&amp;IF(F103&lt;&gt;"",CHAR(10)&amp;F103,"")</f>
        <v/>
      </c>
      <c r="V103" s="38">
        <f>IF(OR(F103="просрочено",F103="сегодня",F103="укажи дату",LEFT(F103,6)="молчит"),1,0)</f>
        <v/>
      </c>
    </row>
    <row r="104" ht="24" customHeight="1">
      <c r="A104" s="38" t="n">
        <v>103</v>
      </c>
      <c r="B104" s="32" t="inlineStr">
        <is>
          <t>Корпорация СпецСнаб</t>
        </is>
      </c>
      <c r="C104" s="49" t="inlineStr">
        <is>
          <t>Очередь</t>
        </is>
      </c>
      <c r="D104" s="49" t="n"/>
      <c r="E104" s="50" t="n"/>
      <c r="F104" s="51">
        <f>IF(OR(C104="",C104="Очередь",C104="Клиент",C104="Отказ",C104="Не писать"),"",IF(E104="",IF(AND(C104="Отправлено",I104&lt;&gt;"",TODAY()-INT(I104)&gt;=3),"молчит "&amp;(TODAY()-INT(I104))&amp;" дн.",IF(OR(C104="Перезвонить",C104="Созвон"),"укажи дату","")),IF(INT(E104)&lt;TODAY(),"просрочено",IF(INT(E104)=TODAY(),"сегодня",IF(INT(E104)=TODAY()+1,"завтра",TEXT(E104,"dd.mm"))))))</f>
        <v/>
      </c>
      <c r="G104" s="52" t="n"/>
      <c r="H104" s="36" t="inlineStr">
        <is>
          <t>79092127111</t>
        </is>
      </c>
      <c r="I104" s="53" t="n"/>
      <c r="J104" s="38">
        <f>IFERROR(MATCH(C104,'Справка'!$A$12:$A$21,0),99)</f>
        <v/>
      </c>
      <c r="K104" s="39">
        <f>HYPERLINK("https://wa.me/"&amp;H104&amp;"?text="&amp;ENCODEURL(T104),"✉ Написать")</f>
        <v/>
      </c>
      <c r="L104" s="39">
        <f>HYPERLINK("https://wa.me/"&amp;H104,"Открыть чат")</f>
        <v/>
      </c>
      <c r="M104" s="38" t="inlineStr">
        <is>
          <t>Темрюк</t>
        </is>
      </c>
      <c r="N104" s="38" t="n"/>
      <c r="O104" s="38" t="n"/>
      <c r="P104" s="38" t="n"/>
      <c r="Q104" s="38" t="inlineStr">
        <is>
          <t>без сайта, WhatsApp не подтверждён</t>
        </is>
      </c>
      <c r="R104" s="38" t="n">
        <v>1</v>
      </c>
      <c r="S104" s="38" t="inlineStr">
        <is>
          <t>Краснодарский край</t>
        </is>
      </c>
      <c r="T104" s="38" t="inlineStr">
        <is>
          <t>Здравствуйте! Искал в 2ГИС кровельные компании в Темрюке и наткнулся на вас. Сайта в карточке не увидел.
Могу за вечер собрать для «Корпорация СпецСнаб» сайт и показать. Платить не нужно, пока не понравится. Собрать?</t>
        </is>
      </c>
      <c r="U104" s="38">
        <f>B104&amp;IF(D104&lt;&gt;""," · "&amp;D104,"")&amp;IF(F104&lt;&gt;"",CHAR(10)&amp;F104,"")</f>
        <v/>
      </c>
      <c r="V104" s="38">
        <f>IF(OR(F104="просрочено",F104="сегодня",F104="укажи дату",LEFT(F104,6)="молчит"),1,0)</f>
        <v/>
      </c>
    </row>
    <row r="105" ht="24" customHeight="1">
      <c r="A105" s="38" t="n">
        <v>104</v>
      </c>
      <c r="B105" s="32" t="inlineStr">
        <is>
          <t>Дом кровли</t>
        </is>
      </c>
      <c r="C105" s="49" t="inlineStr">
        <is>
          <t>Очередь</t>
        </is>
      </c>
      <c r="D105" s="49" t="n"/>
      <c r="E105" s="50" t="n"/>
      <c r="F105" s="51">
        <f>IF(OR(C105="",C105="Очередь",C105="Клиент",C105="Отказ",C105="Не писать"),"",IF(E105="",IF(AND(C105="Отправлено",I105&lt;&gt;"",TODAY()-INT(I105)&gt;=3),"молчит "&amp;(TODAY()-INT(I105))&amp;" дн.",IF(OR(C105="Перезвонить",C105="Созвон"),"укажи дату","")),IF(INT(E105)&lt;TODAY(),"просрочено",IF(INT(E105)=TODAY(),"сегодня",IF(INT(E105)=TODAY()+1,"завтра",TEXT(E105,"dd.mm"))))))</f>
        <v/>
      </c>
      <c r="G105" s="52" t="n"/>
      <c r="H105" s="36" t="inlineStr">
        <is>
          <t>79184917080</t>
        </is>
      </c>
      <c r="I105" s="53" t="n"/>
      <c r="J105" s="38">
        <f>IFERROR(MATCH(C105,'Справка'!$A$12:$A$21,0),99)</f>
        <v/>
      </c>
      <c r="K105" s="39">
        <f>HYPERLINK("https://wa.me/"&amp;H105&amp;"?text="&amp;ENCODEURL(T105),"✉ Написать")</f>
        <v/>
      </c>
      <c r="L105" s="39">
        <f>HYPERLINK("https://wa.me/"&amp;H105,"Открыть чат")</f>
        <v/>
      </c>
      <c r="M105" s="38" t="inlineStr">
        <is>
          <t>Темрюк</t>
        </is>
      </c>
      <c r="N105" s="38" t="n"/>
      <c r="O105" s="38" t="n"/>
      <c r="P105" s="38" t="n"/>
      <c r="Q105" s="38" t="inlineStr">
        <is>
          <t>без сайта, WhatsApp не подтверждён</t>
        </is>
      </c>
      <c r="R105" s="38" t="n">
        <v>1</v>
      </c>
      <c r="S105" s="38" t="inlineStr">
        <is>
          <t>Краснодарский край</t>
        </is>
      </c>
      <c r="T105" s="38" t="inlineStr">
        <is>
          <t>Здравствуйте! Смотрел в 2ГИС, кто делает кровлю в Темрюке, и нашёл «Дом кровли». Сайта в карточке нет.
Готов за вечер собрать сайт для «Дом кровли» и показать вам. Денег вперёд не беру. Собрать?</t>
        </is>
      </c>
      <c r="U105" s="38">
        <f>B105&amp;IF(D105&lt;&gt;""," · "&amp;D105,"")&amp;IF(F105&lt;&gt;"",CHAR(10)&amp;F105,"")</f>
        <v/>
      </c>
      <c r="V105" s="38">
        <f>IF(OR(F105="просрочено",F105="сегодня",F105="укажи дату",LEFT(F105,6)="молчит"),1,0)</f>
        <v/>
      </c>
    </row>
    <row r="106" ht="24" customHeight="1">
      <c r="A106" s="38" t="n">
        <v>105</v>
      </c>
      <c r="B106" s="32" t="inlineStr">
        <is>
          <t>Стройтранссервис</t>
        </is>
      </c>
      <c r="C106" s="49" t="inlineStr">
        <is>
          <t>Очередь</t>
        </is>
      </c>
      <c r="D106" s="49" t="n"/>
      <c r="E106" s="50" t="n"/>
      <c r="F106" s="51">
        <f>IF(OR(C106="",C106="Очередь",C106="Клиент",C106="Отказ",C106="Не писать"),"",IF(E106="",IF(AND(C106="Отправлено",I106&lt;&gt;"",TODAY()-INT(I106)&gt;=3),"молчит "&amp;(TODAY()-INT(I106))&amp;" дн.",IF(OR(C106="Перезвонить",C106="Созвон"),"укажи дату","")),IF(INT(E106)&lt;TODAY(),"просрочено",IF(INT(E106)=TODAY(),"сегодня",IF(INT(E106)=TODAY()+1,"завтра",TEXT(E106,"dd.mm"))))))</f>
        <v/>
      </c>
      <c r="G106" s="52" t="n"/>
      <c r="H106" s="36" t="inlineStr">
        <is>
          <t>79265095375</t>
        </is>
      </c>
      <c r="I106" s="53" t="n"/>
      <c r="J106" s="38">
        <f>IFERROR(MATCH(C106,'Справка'!$A$12:$A$21,0),99)</f>
        <v/>
      </c>
      <c r="K106" s="39">
        <f>HYPERLINK("https://wa.me/"&amp;H106&amp;"?text="&amp;ENCODEURL(T106),"✉ Написать")</f>
        <v/>
      </c>
      <c r="L106" s="39">
        <f>HYPERLINK("https://wa.me/"&amp;H106,"Открыть чат")</f>
        <v/>
      </c>
      <c r="M106" s="38" t="inlineStr">
        <is>
          <t>Адыгейск</t>
        </is>
      </c>
      <c r="N106" s="38" t="n">
        <v>4.9</v>
      </c>
      <c r="O106" s="38" t="n">
        <v>20</v>
      </c>
      <c r="P106" s="38" t="inlineStr">
        <is>
          <t>stsgeo.ru</t>
        </is>
      </c>
      <c r="Q106" s="38" t="inlineStr">
        <is>
          <t>есть сайт: сначала впиши в текст, что на нём не так</t>
        </is>
      </c>
      <c r="R106" s="38" t="n">
        <v>1</v>
      </c>
      <c r="S106" s="38" t="inlineStr">
        <is>
          <t>Краснодарский край</t>
        </is>
      </c>
      <c r="T106" s="38" t="inlineStr">
        <is>
          <t>Здравствуйте! Смотрел в 2ГИС кровельные компании в Адыгейске, зашёл на ваш сайт с телефона: [ЧТО НЕ ТАК НА САЙТЕ].
Могу за вечер собрать вариант под «Стройтранссервис», где это исправлено, и показать. Собрать?</t>
        </is>
      </c>
      <c r="U106" s="38">
        <f>B106&amp;IF(D106&lt;&gt;""," · "&amp;D106,"")&amp;IF(F106&lt;&gt;"",CHAR(10)&amp;F106,"")</f>
        <v/>
      </c>
      <c r="V106" s="38">
        <f>IF(OR(F106="просрочено",F106="сегодня",F106="укажи дату",LEFT(F106,6)="молчит"),1,0)</f>
        <v/>
      </c>
    </row>
    <row r="107" ht="24" customHeight="1">
      <c r="A107" s="38" t="n">
        <v>106</v>
      </c>
      <c r="B107" s="32" t="inlineStr">
        <is>
          <t>Альянсград</t>
        </is>
      </c>
      <c r="C107" s="49" t="inlineStr">
        <is>
          <t>Очередь</t>
        </is>
      </c>
      <c r="D107" s="49" t="n"/>
      <c r="E107" s="50" t="n"/>
      <c r="F107" s="51">
        <f>IF(OR(C107="",C107="Очередь",C107="Клиент",C107="Отказ",C107="Не писать"),"",IF(E107="",IF(AND(C107="Отправлено",I107&lt;&gt;"",TODAY()-INT(I107)&gt;=3),"молчит "&amp;(TODAY()-INT(I107))&amp;" дн.",IF(OR(C107="Перезвонить",C107="Созвон"),"укажи дату","")),IF(INT(E107)&lt;TODAY(),"просрочено",IF(INT(E107)=TODAY(),"сегодня",IF(INT(E107)=TODAY()+1,"завтра",TEXT(E107,"dd.mm"))))))</f>
        <v/>
      </c>
      <c r="G107" s="52" t="n"/>
      <c r="H107" s="36" t="inlineStr">
        <is>
          <t>79385452111</t>
        </is>
      </c>
      <c r="I107" s="53" t="n"/>
      <c r="J107" s="38">
        <f>IFERROR(MATCH(C107,'Справка'!$A$12:$A$21,0),99)</f>
        <v/>
      </c>
      <c r="K107" s="39">
        <f>HYPERLINK("https://wa.me/"&amp;H107&amp;"?text="&amp;ENCODEURL(T107),"✉ Написать")</f>
        <v/>
      </c>
      <c r="L107" s="39">
        <f>HYPERLINK("https://wa.me/"&amp;H107,"Открыть чат")</f>
        <v/>
      </c>
      <c r="M107" s="38" t="inlineStr">
        <is>
          <t>Новороссийск</t>
        </is>
      </c>
      <c r="N107" s="38" t="n">
        <v>5</v>
      </c>
      <c r="O107" s="38" t="n">
        <v>10</v>
      </c>
      <c r="P107" s="38" t="inlineStr">
        <is>
          <t>alliancegrad.ru</t>
        </is>
      </c>
      <c r="Q107" s="38" t="inlineStr">
        <is>
          <t>есть сайт: сначала впиши в текст, что на нём не так</t>
        </is>
      </c>
      <c r="R107" s="38" t="n">
        <v>1</v>
      </c>
      <c r="S107" s="38" t="inlineStr">
        <is>
          <t>Краснодарский край</t>
        </is>
      </c>
      <c r="T107" s="38" t="inlineStr">
        <is>
          <t>Здравствуйте! Смотрел в 2ГИС кровельные компании в Новороссийске, зашёл на ваш сайт с телефона: [ЧТО НЕ ТАК НА САЙТЕ].
Могу за вечер собрать вариант под «Альянсград», где это исправлено, и показать. Собрать?</t>
        </is>
      </c>
      <c r="U107" s="38">
        <f>B107&amp;IF(D107&lt;&gt;""," · "&amp;D107,"")&amp;IF(F107&lt;&gt;"",CHAR(10)&amp;F107,"")</f>
        <v/>
      </c>
      <c r="V107" s="38">
        <f>IF(OR(F107="просрочено",F107="сегодня",F107="укажи дату",LEFT(F107,6)="молчит"),1,0)</f>
        <v/>
      </c>
    </row>
    <row r="108" ht="24" customHeight="1">
      <c r="A108" s="38" t="n">
        <v>107</v>
      </c>
      <c r="B108" s="32" t="inlineStr">
        <is>
          <t>Югстройберег</t>
        </is>
      </c>
      <c r="C108" s="49" t="inlineStr">
        <is>
          <t>Очередь</t>
        </is>
      </c>
      <c r="D108" s="49" t="n"/>
      <c r="E108" s="50" t="n"/>
      <c r="F108" s="51">
        <f>IF(OR(C108="",C108="Очередь",C108="Клиент",C108="Отказ",C108="Не писать"),"",IF(E108="",IF(AND(C108="Отправлено",I108&lt;&gt;"",TODAY()-INT(I108)&gt;=3),"молчит "&amp;(TODAY()-INT(I108))&amp;" дн.",IF(OR(C108="Перезвонить",C108="Созвон"),"укажи дату","")),IF(INT(E108)&lt;TODAY(),"просрочено",IF(INT(E108)=TODAY(),"сегодня",IF(INT(E108)=TODAY()+1,"завтра",TEXT(E108,"dd.mm"))))))</f>
        <v/>
      </c>
      <c r="G108" s="52" t="n"/>
      <c r="H108" s="36" t="inlineStr">
        <is>
          <t>79181868952</t>
        </is>
      </c>
      <c r="I108" s="53" t="n"/>
      <c r="J108" s="38">
        <f>IFERROR(MATCH(C108,'Справка'!$A$12:$A$21,0),99)</f>
        <v/>
      </c>
      <c r="K108" s="39">
        <f>HYPERLINK("https://wa.me/"&amp;H108&amp;"?text="&amp;ENCODEURL(T108),"✉ Написать")</f>
        <v/>
      </c>
      <c r="L108" s="39">
        <f>HYPERLINK("https://wa.me/"&amp;H108,"Открыть чат")</f>
        <v/>
      </c>
      <c r="M108" s="38" t="inlineStr">
        <is>
          <t>пос. Пригородный</t>
        </is>
      </c>
      <c r="N108" s="38" t="n">
        <v>5</v>
      </c>
      <c r="O108" s="38" t="n">
        <v>5</v>
      </c>
      <c r="P108" s="38" t="inlineStr">
        <is>
          <t>yugstroibereg.turbo.site</t>
        </is>
      </c>
      <c r="Q108" s="38" t="inlineStr">
        <is>
          <t>есть сайт: сначала впиши в текст, что на нём не так</t>
        </is>
      </c>
      <c r="R108" s="38" t="n">
        <v>1</v>
      </c>
      <c r="S108" s="38" t="inlineStr">
        <is>
          <t>Краснодарский край</t>
        </is>
      </c>
      <c r="T108" s="38" t="inlineStr">
        <is>
          <t>Здравствуйте! Смотрел в 2ГИС кровельные компании в посёлке Пригородном, зашёл на ваш сайт с телефона: [ЧТО НЕ ТАК НА САЙТЕ].
Могу за вечер собрать вариант под «Югстройберег», где это исправлено, и показать. Собрать?</t>
        </is>
      </c>
      <c r="U108" s="38">
        <f>B108&amp;IF(D108&lt;&gt;""," · "&amp;D108,"")&amp;IF(F108&lt;&gt;"",CHAR(10)&amp;F108,"")</f>
        <v/>
      </c>
      <c r="V108" s="38">
        <f>IF(OR(F108="просрочено",F108="сегодня",F108="укажи дату",LEFT(F108,6)="молчит"),1,0)</f>
        <v/>
      </c>
    </row>
    <row r="109" ht="24" customHeight="1">
      <c r="A109" s="38" t="n">
        <v>108</v>
      </c>
      <c r="B109" s="32" t="inlineStr">
        <is>
          <t>Стройком</t>
        </is>
      </c>
      <c r="C109" s="49" t="inlineStr">
        <is>
          <t>Очередь</t>
        </is>
      </c>
      <c r="D109" s="49" t="n"/>
      <c r="E109" s="50" t="n"/>
      <c r="F109" s="51">
        <f>IF(OR(C109="",C109="Очередь",C109="Клиент",C109="Отказ",C109="Не писать"),"",IF(E109="",IF(AND(C109="Отправлено",I109&lt;&gt;"",TODAY()-INT(I109)&gt;=3),"молчит "&amp;(TODAY()-INT(I109))&amp;" дн.",IF(OR(C109="Перезвонить",C109="Созвон"),"укажи дату","")),IF(INT(E109)&lt;TODAY(),"просрочено",IF(INT(E109)=TODAY(),"сегодня",IF(INT(E109)=TODAY()+1,"завтра",TEXT(E109,"dd.mm"))))))</f>
        <v/>
      </c>
      <c r="G109" s="52" t="n"/>
      <c r="H109" s="36" t="inlineStr">
        <is>
          <t>79288847098</t>
        </is>
      </c>
      <c r="I109" s="53" t="n"/>
      <c r="J109" s="38">
        <f>IFERROR(MATCH(C109,'Справка'!$A$12:$A$21,0),99)</f>
        <v/>
      </c>
      <c r="K109" s="39">
        <f>HYPERLINK("https://wa.me/"&amp;H109&amp;"?text="&amp;ENCODEURL(T109),"✉ Написать")</f>
        <v/>
      </c>
      <c r="L109" s="39">
        <f>HYPERLINK("https://wa.me/"&amp;H109,"Открыть чат")</f>
        <v/>
      </c>
      <c r="M109" s="38" t="inlineStr">
        <is>
          <t>Геленджик</t>
        </is>
      </c>
      <c r="N109" s="38" t="n">
        <v>5</v>
      </c>
      <c r="O109" s="38" t="n">
        <v>5</v>
      </c>
      <c r="P109" s="38" t="inlineStr">
        <is>
          <t>www.стройком-дом.рф</t>
        </is>
      </c>
      <c r="Q109" s="38" t="inlineStr">
        <is>
          <t>есть сайт: сначала впиши в текст, что на нём не так</t>
        </is>
      </c>
      <c r="R109" s="38" t="n">
        <v>1</v>
      </c>
      <c r="S109" s="38" t="inlineStr">
        <is>
          <t>Краснодарский край</t>
        </is>
      </c>
      <c r="T109" s="38" t="inlineStr">
        <is>
          <t>Здравствуйте! Смотрел в 2ГИС кровельные компании в Геленджике, зашёл на ваш сайт с телефона: [ЧТО НЕ ТАК НА САЙТЕ].
Могу за вечер собрать вариант под «Стройком», где это исправлено, и показать. Собрать?</t>
        </is>
      </c>
      <c r="U109" s="38">
        <f>B109&amp;IF(D109&lt;&gt;""," · "&amp;D109,"")&amp;IF(F109&lt;&gt;"",CHAR(10)&amp;F109,"")</f>
        <v/>
      </c>
      <c r="V109" s="38">
        <f>IF(OR(F109="просрочено",F109="сегодня",F109="укажи дату",LEFT(F109,6)="молчит"),1,0)</f>
        <v/>
      </c>
    </row>
    <row r="110" ht="24" customHeight="1">
      <c r="A110" s="38" t="n">
        <v>109</v>
      </c>
      <c r="B110" s="32" t="inlineStr">
        <is>
          <t>Гел-строй-подряд</t>
        </is>
      </c>
      <c r="C110" s="49" t="inlineStr">
        <is>
          <t>Очередь</t>
        </is>
      </c>
      <c r="D110" s="49" t="n"/>
      <c r="E110" s="50" t="n"/>
      <c r="F110" s="51">
        <f>IF(OR(C110="",C110="Очередь",C110="Клиент",C110="Отказ",C110="Не писать"),"",IF(E110="",IF(AND(C110="Отправлено",I110&lt;&gt;"",TODAY()-INT(I110)&gt;=3),"молчит "&amp;(TODAY()-INT(I110))&amp;" дн.",IF(OR(C110="Перезвонить",C110="Созвон"),"укажи дату","")),IF(INT(E110)&lt;TODAY(),"просрочено",IF(INT(E110)=TODAY(),"сегодня",IF(INT(E110)=TODAY()+1,"завтра",TEXT(E110,"dd.mm"))))))</f>
        <v/>
      </c>
      <c r="G110" s="52" t="n"/>
      <c r="H110" s="36" t="inlineStr">
        <is>
          <t>79186487888</t>
        </is>
      </c>
      <c r="I110" s="53" t="n"/>
      <c r="J110" s="38">
        <f>IFERROR(MATCH(C110,'Справка'!$A$12:$A$21,0),99)</f>
        <v/>
      </c>
      <c r="K110" s="39">
        <f>HYPERLINK("https://wa.me/"&amp;H110&amp;"?text="&amp;ENCODEURL(T110),"✉ Написать")</f>
        <v/>
      </c>
      <c r="L110" s="39">
        <f>HYPERLINK("https://wa.me/"&amp;H110,"Открыть чат")</f>
        <v/>
      </c>
      <c r="M110" s="38" t="inlineStr">
        <is>
          <t>Геленджик</t>
        </is>
      </c>
      <c r="N110" s="38" t="n">
        <v>5</v>
      </c>
      <c r="O110" s="38" t="n">
        <v>4</v>
      </c>
      <c r="P110" s="38" t="inlineStr">
        <is>
          <t>гел-строй-подряд.рф</t>
        </is>
      </c>
      <c r="Q110" s="38" t="inlineStr">
        <is>
          <t>есть сайт: сначала впиши в текст, что на нём не так</t>
        </is>
      </c>
      <c r="R110" s="38" t="n">
        <v>1</v>
      </c>
      <c r="S110" s="38" t="inlineStr">
        <is>
          <t>Краснодарский край</t>
        </is>
      </c>
      <c r="T110" s="38" t="inlineStr">
        <is>
          <t>Здравствуйте! Смотрел в 2ГИС кровельные компании в Геленджике, зашёл на ваш сайт с телефона: [ЧТО НЕ ТАК НА САЙТЕ].
Могу за вечер собрать вариант под «Гел-строй-подряд», где это исправлено, и показать. Собрать?</t>
        </is>
      </c>
      <c r="U110" s="38">
        <f>B110&amp;IF(D110&lt;&gt;""," · "&amp;D110,"")&amp;IF(F110&lt;&gt;"",CHAR(10)&amp;F110,"")</f>
        <v/>
      </c>
      <c r="V110" s="38">
        <f>IF(OR(F110="просрочено",F110="сегодня",F110="укажи дату",LEFT(F110,6)="молчит"),1,0)</f>
        <v/>
      </c>
    </row>
    <row r="111" ht="24" customHeight="1">
      <c r="A111" s="38" t="n">
        <v>110</v>
      </c>
      <c r="B111" s="32" t="inlineStr">
        <is>
          <t>Ваш дом Анапа</t>
        </is>
      </c>
      <c r="C111" s="49" t="inlineStr">
        <is>
          <t>Очередь</t>
        </is>
      </c>
      <c r="D111" s="49" t="n"/>
      <c r="E111" s="50" t="n"/>
      <c r="F111" s="51">
        <f>IF(OR(C111="",C111="Очередь",C111="Клиент",C111="Отказ",C111="Не писать"),"",IF(E111="",IF(AND(C111="Отправлено",I111&lt;&gt;"",TODAY()-INT(I111)&gt;=3),"молчит "&amp;(TODAY()-INT(I111))&amp;" дн.",IF(OR(C111="Перезвонить",C111="Созвон"),"укажи дату","")),IF(INT(E111)&lt;TODAY(),"просрочено",IF(INT(E111)=TODAY(),"сегодня",IF(INT(E111)=TODAY()+1,"завтра",TEXT(E111,"dd.mm"))))))</f>
        <v/>
      </c>
      <c r="G111" s="52" t="n"/>
      <c r="H111" s="36" t="inlineStr">
        <is>
          <t>79002369231</t>
        </is>
      </c>
      <c r="I111" s="53" t="n"/>
      <c r="J111" s="38">
        <f>IFERROR(MATCH(C111,'Справка'!$A$12:$A$21,0),99)</f>
        <v/>
      </c>
      <c r="K111" s="39">
        <f>HYPERLINK("https://wa.me/"&amp;H111&amp;"?text="&amp;ENCODEURL(T111),"✉ Написать")</f>
        <v/>
      </c>
      <c r="L111" s="39">
        <f>HYPERLINK("https://wa.me/"&amp;H111,"Открыть чат")</f>
        <v/>
      </c>
      <c r="M111" s="38" t="inlineStr">
        <is>
          <t>Анапа</t>
        </is>
      </c>
      <c r="N111" s="38" t="n">
        <v>5</v>
      </c>
      <c r="O111" s="38" t="n">
        <v>4</v>
      </c>
      <c r="P111" s="38" t="inlineStr">
        <is>
          <t>vashdomanapa.com</t>
        </is>
      </c>
      <c r="Q111" s="38" t="inlineStr">
        <is>
          <t>есть сайт: сначала впиши в текст, что на нём не так</t>
        </is>
      </c>
      <c r="R111" s="38" t="n">
        <v>1</v>
      </c>
      <c r="S111" s="38" t="inlineStr">
        <is>
          <t>Краснодарский край</t>
        </is>
      </c>
      <c r="T111" s="38" t="inlineStr">
        <is>
          <t>Здравствуйте! Смотрел в 2ГИС кровельные компании в Анапе, зашёл на ваш сайт с телефона: [ЧТО НЕ ТАК НА САЙТЕ].
Могу за вечер собрать вариант под «Ваш дом Анапа», где это исправлено, и показать. Собрать?</t>
        </is>
      </c>
      <c r="U111" s="38">
        <f>B111&amp;IF(D111&lt;&gt;""," · "&amp;D111,"")&amp;IF(F111&lt;&gt;"",CHAR(10)&amp;F111,"")</f>
        <v/>
      </c>
      <c r="V111" s="38">
        <f>IF(OR(F111="просрочено",F111="сегодня",F111="укажи дату",LEFT(F111,6)="молчит"),1,0)</f>
        <v/>
      </c>
    </row>
    <row r="112" ht="24" customHeight="1">
      <c r="A112" s="38" t="n">
        <v>111</v>
      </c>
      <c r="B112" s="32" t="inlineStr">
        <is>
          <t>Центр металлокровли</t>
        </is>
      </c>
      <c r="C112" s="49" t="inlineStr">
        <is>
          <t>Очередь</t>
        </is>
      </c>
      <c r="D112" s="49" t="n"/>
      <c r="E112" s="50" t="n"/>
      <c r="F112" s="51">
        <f>IF(OR(C112="",C112="Очередь",C112="Клиент",C112="Отказ",C112="Не писать"),"",IF(E112="",IF(AND(C112="Отправлено",I112&lt;&gt;"",TODAY()-INT(I112)&gt;=3),"молчит "&amp;(TODAY()-INT(I112))&amp;" дн.",IF(OR(C112="Перезвонить",C112="Созвон"),"укажи дату","")),IF(INT(E112)&lt;TODAY(),"просрочено",IF(INT(E112)=TODAY(),"сегодня",IF(INT(E112)=TODAY()+1,"завтра",TEXT(E112,"dd.mm"))))))</f>
        <v/>
      </c>
      <c r="G112" s="52" t="n"/>
      <c r="H112" s="36" t="inlineStr">
        <is>
          <t>79284018241</t>
        </is>
      </c>
      <c r="I112" s="53" t="n"/>
      <c r="J112" s="38">
        <f>IFERROR(MATCH(C112,'Справка'!$A$12:$A$21,0),99)</f>
        <v/>
      </c>
      <c r="K112" s="39">
        <f>HYPERLINK("https://wa.me/"&amp;H112&amp;"?text="&amp;ENCODEURL(T112),"✉ Написать")</f>
        <v/>
      </c>
      <c r="L112" s="39">
        <f>HYPERLINK("https://wa.me/"&amp;H112,"Открыть чат")</f>
        <v/>
      </c>
      <c r="M112" s="38" t="inlineStr">
        <is>
          <t>Геленджик</t>
        </is>
      </c>
      <c r="N112" s="38" t="n">
        <v>5</v>
      </c>
      <c r="O112" s="38" t="n">
        <v>2</v>
      </c>
      <c r="P112" s="38" t="inlineStr">
        <is>
          <t>evrozabor1.ru</t>
        </is>
      </c>
      <c r="Q112" s="38" t="inlineStr">
        <is>
          <t>есть сайт: сначала впиши в текст, что на нём не так</t>
        </is>
      </c>
      <c r="R112" s="38" t="n">
        <v>1</v>
      </c>
      <c r="S112" s="38" t="inlineStr">
        <is>
          <t>Краснодарский край</t>
        </is>
      </c>
      <c r="T112" s="38" t="inlineStr">
        <is>
          <t>Здравствуйте! Смотрел в 2ГИС кровельные компании в Геленджике, зашёл на ваш сайт с телефона: [ЧТО НЕ ТАК НА САЙТЕ].
Могу за вечер собрать вариант под «Центр металлокровли», где это исправлено, и показать. Собрать?</t>
        </is>
      </c>
      <c r="U112" s="38">
        <f>B112&amp;IF(D112&lt;&gt;""," · "&amp;D112,"")&amp;IF(F112&lt;&gt;"",CHAR(10)&amp;F112,"")</f>
        <v/>
      </c>
      <c r="V112" s="38">
        <f>IF(OR(F112="просрочено",F112="сегодня",F112="укажи дату",LEFT(F112,6)="молчит"),1,0)</f>
        <v/>
      </c>
    </row>
    <row r="113" ht="24" customHeight="1">
      <c r="A113" s="38" t="n">
        <v>112</v>
      </c>
      <c r="B113" s="32" t="inlineStr">
        <is>
          <t>АртСтрой</t>
        </is>
      </c>
      <c r="C113" s="49" t="inlineStr">
        <is>
          <t>Очередь</t>
        </is>
      </c>
      <c r="D113" s="49" t="n"/>
      <c r="E113" s="50" t="n"/>
      <c r="F113" s="51">
        <f>IF(OR(C113="",C113="Очередь",C113="Клиент",C113="Отказ",C113="Не писать"),"",IF(E113="",IF(AND(C113="Отправлено",I113&lt;&gt;"",TODAY()-INT(I113)&gt;=3),"молчит "&amp;(TODAY()-INT(I113))&amp;" дн.",IF(OR(C113="Перезвонить",C113="Созвон"),"укажи дату","")),IF(INT(E113)&lt;TODAY(),"просрочено",IF(INT(E113)=TODAY(),"сегодня",IF(INT(E113)=TODAY()+1,"завтра",TEXT(E113,"dd.mm"))))))</f>
        <v/>
      </c>
      <c r="G113" s="52" t="n"/>
      <c r="H113" s="36" t="inlineStr">
        <is>
          <t>79282837619</t>
        </is>
      </c>
      <c r="I113" s="53" t="n"/>
      <c r="J113" s="38">
        <f>IFERROR(MATCH(C113,'Справка'!$A$12:$A$21,0),99)</f>
        <v/>
      </c>
      <c r="K113" s="39">
        <f>HYPERLINK("https://wa.me/"&amp;H113&amp;"?text="&amp;ENCODEURL(T113),"✉ Написать")</f>
        <v/>
      </c>
      <c r="L113" s="39">
        <f>HYPERLINK("https://wa.me/"&amp;H113,"Открыть чат")</f>
        <v/>
      </c>
      <c r="M113" s="38" t="inlineStr">
        <is>
          <t>Новороссийск</t>
        </is>
      </c>
      <c r="N113" s="38" t="n">
        <v>5</v>
      </c>
      <c r="O113" s="38" t="n">
        <v>1</v>
      </c>
      <c r="P113" s="38" t="inlineStr">
        <is>
          <t>artstroy23.ru</t>
        </is>
      </c>
      <c r="Q113" s="38" t="inlineStr">
        <is>
          <t>есть сайт: сначала впиши в текст, что на нём не так</t>
        </is>
      </c>
      <c r="R113" s="38" t="n">
        <v>1</v>
      </c>
      <c r="S113" s="38" t="inlineStr">
        <is>
          <t>Краснодарский край</t>
        </is>
      </c>
      <c r="T113" s="38" t="inlineStr">
        <is>
          <t>Здравствуйте! Смотрел в 2ГИС кровельные компании в Новороссийске, зашёл на ваш сайт с телефона: [ЧТО НЕ ТАК НА САЙТЕ].
Могу за вечер собрать вариант под «АртСтрой», где это исправлено, и показать. Собрать?</t>
        </is>
      </c>
      <c r="U113" s="38">
        <f>B113&amp;IF(D113&lt;&gt;""," · "&amp;D113,"")&amp;IF(F113&lt;&gt;"",CHAR(10)&amp;F113,"")</f>
        <v/>
      </c>
      <c r="V113" s="38">
        <f>IF(OR(F113="просрочено",F113="сегодня",F113="укажи дату",LEFT(F113,6)="молчит"),1,0)</f>
        <v/>
      </c>
    </row>
    <row r="114" ht="24" customHeight="1">
      <c r="A114" s="38" t="n">
        <v>113</v>
      </c>
      <c r="B114" s="32" t="inlineStr">
        <is>
          <t>Асп Югстрой</t>
        </is>
      </c>
      <c r="C114" s="49" t="inlineStr">
        <is>
          <t>Очередь</t>
        </is>
      </c>
      <c r="D114" s="49" t="n"/>
      <c r="E114" s="50" t="n"/>
      <c r="F114" s="51">
        <f>IF(OR(C114="",C114="Очередь",C114="Клиент",C114="Отказ",C114="Не писать"),"",IF(E114="",IF(AND(C114="Отправлено",I114&lt;&gt;"",TODAY()-INT(I114)&gt;=3),"молчит "&amp;(TODAY()-INT(I114))&amp;" дн.",IF(OR(C114="Перезвонить",C114="Созвон"),"укажи дату","")),IF(INT(E114)&lt;TODAY(),"просрочено",IF(INT(E114)=TODAY(),"сегодня",IF(INT(E114)=TODAY()+1,"завтра",TEXT(E114,"dd.mm"))))))</f>
        <v/>
      </c>
      <c r="G114" s="52" t="n"/>
      <c r="H114" s="36" t="inlineStr">
        <is>
          <t>79184949720</t>
        </is>
      </c>
      <c r="I114" s="53" t="n"/>
      <c r="J114" s="38">
        <f>IFERROR(MATCH(C114,'Справка'!$A$12:$A$21,0),99)</f>
        <v/>
      </c>
      <c r="K114" s="39">
        <f>HYPERLINK("https://wa.me/"&amp;H114&amp;"?text="&amp;ENCODEURL(T114),"✉ Написать")</f>
        <v/>
      </c>
      <c r="L114" s="39">
        <f>HYPERLINK("https://wa.me/"&amp;H114,"Открыть чат")</f>
        <v/>
      </c>
      <c r="M114" s="38" t="inlineStr">
        <is>
          <t>Новороссийск</t>
        </is>
      </c>
      <c r="N114" s="38" t="n">
        <v>5</v>
      </c>
      <c r="O114" s="38" t="n">
        <v>1</v>
      </c>
      <c r="P114" s="38" t="inlineStr">
        <is>
          <t>www.asp-yugstroy.ru</t>
        </is>
      </c>
      <c r="Q114" s="38" t="inlineStr">
        <is>
          <t>есть сайт: сначала впиши в текст, что на нём не так</t>
        </is>
      </c>
      <c r="R114" s="38" t="n">
        <v>1</v>
      </c>
      <c r="S114" s="38" t="inlineStr">
        <is>
          <t>Краснодарский край</t>
        </is>
      </c>
      <c r="T114" s="38" t="inlineStr">
        <is>
          <t>Здравствуйте! Смотрел в 2ГИС кровельные компании в Новороссийске, зашёл на ваш сайт с телефона: [ЧТО НЕ ТАК НА САЙТЕ].
Могу за вечер собрать вариант под «Асп Югстрой», где это исправлено, и показать. Собрать?</t>
        </is>
      </c>
      <c r="U114" s="38">
        <f>B114&amp;IF(D114&lt;&gt;""," · "&amp;D114,"")&amp;IF(F114&lt;&gt;"",CHAR(10)&amp;F114,"")</f>
        <v/>
      </c>
      <c r="V114" s="38">
        <f>IF(OR(F114="просрочено",F114="сегодня",F114="укажи дату",LEFT(F114,6)="молчит"),1,0)</f>
        <v/>
      </c>
    </row>
    <row r="115" ht="24" customHeight="1">
      <c r="A115" s="38" t="n">
        <v>114</v>
      </c>
      <c r="B115" s="32" t="inlineStr">
        <is>
          <t>ДомАрма</t>
        </is>
      </c>
      <c r="C115" s="49" t="inlineStr">
        <is>
          <t>Очередь</t>
        </is>
      </c>
      <c r="D115" s="49" t="n"/>
      <c r="E115" s="50" t="n"/>
      <c r="F115" s="51">
        <f>IF(OR(C115="",C115="Очередь",C115="Клиент",C115="Отказ",C115="Не писать"),"",IF(E115="",IF(AND(C115="Отправлено",I115&lt;&gt;"",TODAY()-INT(I115)&gt;=3),"молчит "&amp;(TODAY()-INT(I115))&amp;" дн.",IF(OR(C115="Перезвонить",C115="Созвон"),"укажи дату","")),IF(INT(E115)&lt;TODAY(),"просрочено",IF(INT(E115)=TODAY(),"сегодня",IF(INT(E115)=TODAY()+1,"завтра",TEXT(E115,"dd.mm"))))))</f>
        <v/>
      </c>
      <c r="G115" s="52" t="n"/>
      <c r="H115" s="36" t="inlineStr">
        <is>
          <t>79180546717</t>
        </is>
      </c>
      <c r="I115" s="53" t="n"/>
      <c r="J115" s="38">
        <f>IFERROR(MATCH(C115,'Справка'!$A$12:$A$21,0),99)</f>
        <v/>
      </c>
      <c r="K115" s="39">
        <f>HYPERLINK("https://wa.me/"&amp;H115&amp;"?text="&amp;ENCODEURL(T115),"✉ Написать")</f>
        <v/>
      </c>
      <c r="L115" s="39">
        <f>HYPERLINK("https://wa.me/"&amp;H115,"Открыть чат")</f>
        <v/>
      </c>
      <c r="M115" s="38" t="inlineStr">
        <is>
          <t>ст-ца Гостагаевская</t>
        </is>
      </c>
      <c r="N115" s="38" t="n">
        <v>5</v>
      </c>
      <c r="O115" s="38" t="n">
        <v>1</v>
      </c>
      <c r="P115" s="38" t="inlineStr">
        <is>
          <t>Domearma.com</t>
        </is>
      </c>
      <c r="Q115" s="38" t="inlineStr">
        <is>
          <t>есть сайт: сначала впиши в текст, что на нём не так</t>
        </is>
      </c>
      <c r="R115" s="38" t="n">
        <v>1</v>
      </c>
      <c r="S115" s="38" t="inlineStr">
        <is>
          <t>Краснодарский край</t>
        </is>
      </c>
      <c r="T115" s="38" t="inlineStr">
        <is>
          <t>Здравствуйте! Смотрел в 2ГИС кровельные компании в Гостагаевской, зашёл на ваш сайт с телефона: [ЧТО НЕ ТАК НА САЙТЕ].
Могу за вечер собрать вариант под «ДомАрма», где это исправлено, и показать. Собрать?</t>
        </is>
      </c>
      <c r="U115" s="38">
        <f>B115&amp;IF(D115&lt;&gt;""," · "&amp;D115,"")&amp;IF(F115&lt;&gt;"",CHAR(10)&amp;F115,"")</f>
        <v/>
      </c>
      <c r="V115" s="38">
        <f>IF(OR(F115="просрочено",F115="сегодня",F115="укажи дату",LEFT(F115,6)="молчит"),1,0)</f>
        <v/>
      </c>
    </row>
    <row r="116" ht="24" customHeight="1">
      <c r="A116" s="38" t="n">
        <v>115</v>
      </c>
      <c r="B116" s="32" t="inlineStr">
        <is>
          <t>Нювел</t>
        </is>
      </c>
      <c r="C116" s="49" t="inlineStr">
        <is>
          <t>Очередь</t>
        </is>
      </c>
      <c r="D116" s="49" t="n"/>
      <c r="E116" s="50" t="n"/>
      <c r="F116" s="51">
        <f>IF(OR(C116="",C116="Очередь",C116="Клиент",C116="Отказ",C116="Не писать"),"",IF(E116="",IF(AND(C116="Отправлено",I116&lt;&gt;"",TODAY()-INT(I116)&gt;=3),"молчит "&amp;(TODAY()-INT(I116))&amp;" дн.",IF(OR(C116="Перезвонить",C116="Созвон"),"укажи дату","")),IF(INT(E116)&lt;TODAY(),"просрочено",IF(INT(E116)=TODAY(),"сегодня",IF(INT(E116)=TODAY()+1,"завтра",TEXT(E116,"dd.mm"))))))</f>
        <v/>
      </c>
      <c r="G116" s="52" t="n"/>
      <c r="H116" s="36" t="inlineStr">
        <is>
          <t>79183725349</t>
        </is>
      </c>
      <c r="I116" s="53" t="n"/>
      <c r="J116" s="38">
        <f>IFERROR(MATCH(C116,'Справка'!$A$12:$A$21,0),99)</f>
        <v/>
      </c>
      <c r="K116" s="39">
        <f>HYPERLINK("https://wa.me/"&amp;H116&amp;"?text="&amp;ENCODEURL(T116),"✉ Написать")</f>
        <v/>
      </c>
      <c r="L116" s="39">
        <f>HYPERLINK("https://wa.me/"&amp;H116,"Открыть чат")</f>
        <v/>
      </c>
      <c r="M116" s="38" t="inlineStr">
        <is>
          <t>пос. Индустриальный</t>
        </is>
      </c>
      <c r="N116" s="38" t="n"/>
      <c r="O116" s="38" t="n"/>
      <c r="P116" s="38" t="inlineStr">
        <is>
          <t>nyvel.ru</t>
        </is>
      </c>
      <c r="Q116" s="38" t="inlineStr">
        <is>
          <t>есть сайт: сначала впиши в текст, что на нём не так</t>
        </is>
      </c>
      <c r="R116" s="38" t="n">
        <v>1</v>
      </c>
      <c r="S116" s="38" t="inlineStr">
        <is>
          <t>Краснодарский край</t>
        </is>
      </c>
      <c r="T116" s="38" t="inlineStr">
        <is>
          <t>Здравствуйте! Смотрел в 2ГИС кровельные компании в посёлке Индустриальном, зашёл на ваш сайт с телефона: [ЧТО НЕ ТАК НА САЙТЕ].
Могу за вечер собрать вариант под «Нювел», где это исправлено, и показать. Собрать?</t>
        </is>
      </c>
      <c r="U116" s="38">
        <f>B116&amp;IF(D116&lt;&gt;""," · "&amp;D116,"")&amp;IF(F116&lt;&gt;"",CHAR(10)&amp;F116,"")</f>
        <v/>
      </c>
      <c r="V116" s="38">
        <f>IF(OR(F116="просрочено",F116="сегодня",F116="укажи дату",LEFT(F116,6)="молчит"),1,0)</f>
        <v/>
      </c>
    </row>
    <row r="117" ht="24" customHeight="1">
      <c r="A117" s="38" t="n">
        <v>116</v>
      </c>
      <c r="B117" s="32" t="inlineStr">
        <is>
          <t>Housetop</t>
        </is>
      </c>
      <c r="C117" s="49" t="inlineStr">
        <is>
          <t>Очередь</t>
        </is>
      </c>
      <c r="D117" s="49" t="n"/>
      <c r="E117" s="50" t="n"/>
      <c r="F117" s="51">
        <f>IF(OR(C117="",C117="Очередь",C117="Клиент",C117="Отказ",C117="Не писать"),"",IF(E117="",IF(AND(C117="Отправлено",I117&lt;&gt;"",TODAY()-INT(I117)&gt;=3),"молчит "&amp;(TODAY()-INT(I117))&amp;" дн.",IF(OR(C117="Перезвонить",C117="Созвон"),"укажи дату","")),IF(INT(E117)&lt;TODAY(),"просрочено",IF(INT(E117)=TODAY(),"сегодня",IF(INT(E117)=TODAY()+1,"завтра",TEXT(E117,"dd.mm"))))))</f>
        <v/>
      </c>
      <c r="G117" s="52" t="n"/>
      <c r="H117" s="36" t="inlineStr">
        <is>
          <t>79184695050</t>
        </is>
      </c>
      <c r="I117" s="53" t="n"/>
      <c r="J117" s="38">
        <f>IFERROR(MATCH(C117,'Справка'!$A$12:$A$21,0),99)</f>
        <v/>
      </c>
      <c r="K117" s="39">
        <f>HYPERLINK("https://wa.me/"&amp;H117&amp;"?text="&amp;ENCODEURL(T117),"✉ Написать")</f>
        <v/>
      </c>
      <c r="L117" s="39">
        <f>HYPERLINK("https://wa.me/"&amp;H117,"Открыть чат")</f>
        <v/>
      </c>
      <c r="M117" s="38" t="inlineStr">
        <is>
          <t>пос. Березовый</t>
        </is>
      </c>
      <c r="N117" s="38" t="n"/>
      <c r="O117" s="38" t="n"/>
      <c r="P117" s="38" t="inlineStr">
        <is>
          <t>housetop93.ru</t>
        </is>
      </c>
      <c r="Q117" s="38" t="inlineStr">
        <is>
          <t>есть сайт: сначала впиши в текст, что на нём не так</t>
        </is>
      </c>
      <c r="R117" s="38" t="n">
        <v>1</v>
      </c>
      <c r="S117" s="38" t="inlineStr">
        <is>
          <t>Краснодарский край</t>
        </is>
      </c>
      <c r="T117" s="38" t="inlineStr">
        <is>
          <t>Здравствуйте! Смотрел в 2ГИС кровельные компании в посёлке Берёзовом, зашёл на ваш сайт с телефона: [ЧТО НЕ ТАК НА САЙТЕ].
Могу за вечер собрать вариант под «Housetop», где это исправлено, и показать. Собрать?</t>
        </is>
      </c>
      <c r="U117" s="38">
        <f>B117&amp;IF(D117&lt;&gt;""," · "&amp;D117,"")&amp;IF(F117&lt;&gt;"",CHAR(10)&amp;F117,"")</f>
        <v/>
      </c>
      <c r="V117" s="38">
        <f>IF(OR(F117="просрочено",F117="сегодня",F117="укажи дату",LEFT(F117,6)="молчит"),1,0)</f>
        <v/>
      </c>
    </row>
    <row r="118" ht="24" customHeight="1">
      <c r="A118" s="38" t="n">
        <v>117</v>
      </c>
      <c r="B118" s="32" t="inlineStr">
        <is>
          <t>Югтехкров</t>
        </is>
      </c>
      <c r="C118" s="49" t="inlineStr">
        <is>
          <t>Очередь</t>
        </is>
      </c>
      <c r="D118" s="49" t="n"/>
      <c r="E118" s="50" t="n"/>
      <c r="F118" s="51">
        <f>IF(OR(C118="",C118="Очередь",C118="Клиент",C118="Отказ",C118="Не писать"),"",IF(E118="",IF(AND(C118="Отправлено",I118&lt;&gt;"",TODAY()-INT(I118)&gt;=3),"молчит "&amp;(TODAY()-INT(I118))&amp;" дн.",IF(OR(C118="Перезвонить",C118="Созвон"),"укажи дату","")),IF(INT(E118)&lt;TODAY(),"просрочено",IF(INT(E118)=TODAY(),"сегодня",IF(INT(E118)=TODAY()+1,"завтра",TEXT(E118,"dd.mm"))))))</f>
        <v/>
      </c>
      <c r="G118" s="52" t="n"/>
      <c r="H118" s="36" t="inlineStr">
        <is>
          <t>79094279444</t>
        </is>
      </c>
      <c r="I118" s="53" t="n"/>
      <c r="J118" s="38">
        <f>IFERROR(MATCH(C118,'Справка'!$A$12:$A$21,0),99)</f>
        <v/>
      </c>
      <c r="K118" s="39">
        <f>HYPERLINK("https://wa.me/"&amp;H118&amp;"?text="&amp;ENCODEURL(T118),"✉ Написать")</f>
        <v/>
      </c>
      <c r="L118" s="39">
        <f>HYPERLINK("https://wa.me/"&amp;H118,"Открыть чат")</f>
        <v/>
      </c>
      <c r="M118" s="38" t="inlineStr">
        <is>
          <t>Горячий Ключ</t>
        </is>
      </c>
      <c r="N118" s="38" t="n"/>
      <c r="O118" s="38" t="n"/>
      <c r="P118" s="38" t="inlineStr">
        <is>
          <t>utk-group.ru</t>
        </is>
      </c>
      <c r="Q118" s="38" t="inlineStr">
        <is>
          <t>есть сайт: сначала впиши в текст, что на нём не так</t>
        </is>
      </c>
      <c r="R118" s="38" t="n">
        <v>1</v>
      </c>
      <c r="S118" s="38" t="inlineStr">
        <is>
          <t>Краснодарский край</t>
        </is>
      </c>
      <c r="T118" s="38" t="inlineStr">
        <is>
          <t>Здравствуйте! Смотрел в 2ГИС кровельные компании в Горячем Ключе, зашёл на ваш сайт с телефона: [ЧТО НЕ ТАК НА САЙТЕ].
Могу за вечер собрать вариант под «Югтехкров», где это исправлено, и показать. Собрать?</t>
        </is>
      </c>
      <c r="U118" s="38">
        <f>B118&amp;IF(D118&lt;&gt;""," · "&amp;D118,"")&amp;IF(F118&lt;&gt;"",CHAR(10)&amp;F118,"")</f>
        <v/>
      </c>
      <c r="V118" s="38">
        <f>IF(OR(F118="просрочено",F118="сегодня",F118="укажи дату",LEFT(F118,6)="молчит"),1,0)</f>
        <v/>
      </c>
    </row>
    <row r="119" ht="24" customHeight="1">
      <c r="A119" s="38" t="n">
        <v>118</v>
      </c>
      <c r="B119" s="32" t="inlineStr">
        <is>
          <t>Домдачный.рф</t>
        </is>
      </c>
      <c r="C119" s="49" t="inlineStr">
        <is>
          <t>Очередь</t>
        </is>
      </c>
      <c r="D119" s="49" t="n"/>
      <c r="E119" s="50" t="n"/>
      <c r="F119" s="51">
        <f>IF(OR(C119="",C119="Очередь",C119="Клиент",C119="Отказ",C119="Не писать"),"",IF(E119="",IF(AND(C119="Отправлено",I119&lt;&gt;"",TODAY()-INT(I119)&gt;=3),"молчит "&amp;(TODAY()-INT(I119))&amp;" дн.",IF(OR(C119="Перезвонить",C119="Созвон"),"укажи дату","")),IF(INT(E119)&lt;TODAY(),"просрочено",IF(INT(E119)=TODAY(),"сегодня",IF(INT(E119)=TODAY()+1,"завтра",TEXT(E119,"dd.mm"))))))</f>
        <v/>
      </c>
      <c r="G119" s="52" t="n"/>
      <c r="H119" s="36" t="inlineStr">
        <is>
          <t>79883548790</t>
        </is>
      </c>
      <c r="I119" s="53" t="n"/>
      <c r="J119" s="38">
        <f>IFERROR(MATCH(C119,'Справка'!$A$12:$A$21,0),99)</f>
        <v/>
      </c>
      <c r="K119" s="39">
        <f>HYPERLINK("https://wa.me/"&amp;H119&amp;"?text="&amp;ENCODEURL(T119),"✉ Написать")</f>
        <v/>
      </c>
      <c r="L119" s="39">
        <f>HYPERLINK("https://wa.me/"&amp;H119,"Открыть чат")</f>
        <v/>
      </c>
      <c r="M119" s="38" t="inlineStr">
        <is>
          <t>Славянск-на-Кубани</t>
        </is>
      </c>
      <c r="N119" s="38" t="n"/>
      <c r="O119" s="38" t="n"/>
      <c r="P119" s="38" t="inlineStr">
        <is>
          <t>www.домдачный.рф</t>
        </is>
      </c>
      <c r="Q119" s="38" t="inlineStr">
        <is>
          <t>есть сайт: сначала впиши в текст, что на нём не так</t>
        </is>
      </c>
      <c r="R119" s="38" t="n">
        <v>1</v>
      </c>
      <c r="S119" s="38" t="inlineStr">
        <is>
          <t>Краснодарский край</t>
        </is>
      </c>
      <c r="T119" s="38" t="inlineStr">
        <is>
          <t>Здравствуйте! Смотрел в 2ГИС кровельные компании в Славянске-на-Кубани, зашёл на ваш сайт с телефона: [ЧТО НЕ ТАК НА САЙТЕ].
Могу за вечер собрать вариант под «Домдачный.рф», где это исправлено, и показать. Собрать?</t>
        </is>
      </c>
      <c r="U119" s="38">
        <f>B119&amp;IF(D119&lt;&gt;""," · "&amp;D119,"")&amp;IF(F119&lt;&gt;"",CHAR(10)&amp;F119,"")</f>
        <v/>
      </c>
      <c r="V119" s="38">
        <f>IF(OR(F119="просрочено",F119="сегодня",F119="укажи дату",LEFT(F119,6)="молчит"),1,0)</f>
        <v/>
      </c>
    </row>
    <row r="120" ht="24" customHeight="1">
      <c r="A120" s="38" t="n">
        <v>119</v>
      </c>
      <c r="B120" s="32" t="inlineStr">
        <is>
          <t>ГарантСтройГрупп</t>
        </is>
      </c>
      <c r="C120" s="49" t="inlineStr">
        <is>
          <t>Очередь</t>
        </is>
      </c>
      <c r="D120" s="49" t="n"/>
      <c r="E120" s="50" t="n"/>
      <c r="F120" s="51">
        <f>IF(OR(C120="",C120="Очередь",C120="Клиент",C120="Отказ",C120="Не писать"),"",IF(E120="",IF(AND(C120="Отправлено",I120&lt;&gt;"",TODAY()-INT(I120)&gt;=3),"молчит "&amp;(TODAY()-INT(I120))&amp;" дн.",IF(OR(C120="Перезвонить",C120="Созвон"),"укажи дату","")),IF(INT(E120)&lt;TODAY(),"просрочено",IF(INT(E120)=TODAY(),"сегодня",IF(INT(E120)=TODAY()+1,"завтра",TEXT(E120,"dd.mm"))))))</f>
        <v/>
      </c>
      <c r="G120" s="52" t="n"/>
      <c r="H120" s="36" t="inlineStr">
        <is>
          <t>79010077799</t>
        </is>
      </c>
      <c r="I120" s="53" t="n"/>
      <c r="J120" s="38">
        <f>IFERROR(MATCH(C120,'Справка'!$A$12:$A$21,0),99)</f>
        <v/>
      </c>
      <c r="K120" s="39">
        <f>HYPERLINK("https://wa.me/"&amp;H120&amp;"?text="&amp;ENCODEURL(T120),"✉ Написать")</f>
        <v/>
      </c>
      <c r="L120" s="39">
        <f>HYPERLINK("https://wa.me/"&amp;H120,"Открыть чат")</f>
        <v/>
      </c>
      <c r="M120" s="38" t="inlineStr">
        <is>
          <t>Славянск-на-Кубани</t>
        </is>
      </c>
      <c r="N120" s="38" t="n"/>
      <c r="O120" s="38" t="n"/>
      <c r="P120" s="38" t="inlineStr">
        <is>
          <t>anapa.garantsg.ru</t>
        </is>
      </c>
      <c r="Q120" s="38" t="inlineStr">
        <is>
          <t>есть сайт: сначала впиши в текст, что на нём не так</t>
        </is>
      </c>
      <c r="R120" s="38" t="n">
        <v>1</v>
      </c>
      <c r="S120" s="38" t="inlineStr">
        <is>
          <t>Краснодарский край</t>
        </is>
      </c>
      <c r="T120" s="38" t="inlineStr">
        <is>
          <t>Здравствуйте! Смотрел в 2ГИС кровельные компании в Славянске-на-Кубани, зашёл на ваш сайт с телефона: [ЧТО НЕ ТАК НА САЙТЕ].
Могу за вечер собрать вариант под «ГарантСтройГрупп», где это исправлено, и показать. Собрать?</t>
        </is>
      </c>
      <c r="U120" s="38">
        <f>B120&amp;IF(D120&lt;&gt;""," · "&amp;D120,"")&amp;IF(F120&lt;&gt;"",CHAR(10)&amp;F120,"")</f>
        <v/>
      </c>
      <c r="V120" s="38">
        <f>IF(OR(F120="просрочено",F120="сегодня",F120="укажи дату",LEFT(F120,6)="молчит"),1,0)</f>
        <v/>
      </c>
    </row>
    <row r="121" ht="24" customHeight="1">
      <c r="A121" s="38" t="n">
        <v>120</v>
      </c>
      <c r="B121" s="32" t="inlineStr">
        <is>
          <t>Хижниковъ</t>
        </is>
      </c>
      <c r="C121" s="49" t="inlineStr">
        <is>
          <t>Очередь</t>
        </is>
      </c>
      <c r="D121" s="49" t="n"/>
      <c r="E121" s="50" t="n"/>
      <c r="F121" s="51">
        <f>IF(OR(C121="",C121="Очередь",C121="Клиент",C121="Отказ",C121="Не писать"),"",IF(E121="",IF(AND(C121="Отправлено",I121&lt;&gt;"",TODAY()-INT(I121)&gt;=3),"молчит "&amp;(TODAY()-INT(I121))&amp;" дн.",IF(OR(C121="Перезвонить",C121="Созвон"),"укажи дату","")),IF(INT(E121)&lt;TODAY(),"просрочено",IF(INT(E121)=TODAY(),"сегодня",IF(INT(E121)=TODAY()+1,"завтра",TEXT(E121,"dd.mm"))))))</f>
        <v/>
      </c>
      <c r="G121" s="52" t="n"/>
      <c r="H121" s="36" t="inlineStr">
        <is>
          <t>79881436000</t>
        </is>
      </c>
      <c r="I121" s="53" t="n"/>
      <c r="J121" s="38">
        <f>IFERROR(MATCH(C121,'Справка'!$A$12:$A$21,0),99)</f>
        <v/>
      </c>
      <c r="K121" s="39">
        <f>HYPERLINK("https://wa.me/"&amp;H121&amp;"?text="&amp;ENCODEURL(T121),"✉ Написать")</f>
        <v/>
      </c>
      <c r="L121" s="39">
        <f>HYPERLINK("https://wa.me/"&amp;H121,"Открыть чат")</f>
        <v/>
      </c>
      <c r="M121" s="38" t="inlineStr">
        <is>
          <t>Новороссийск</t>
        </is>
      </c>
      <c r="N121" s="38" t="n"/>
      <c r="O121" s="38" t="n"/>
      <c r="P121" s="38" t="inlineStr">
        <is>
          <t>Перейти в Telegram-канал</t>
        </is>
      </c>
      <c r="Q121" s="38" t="inlineStr">
        <is>
          <t>есть сайт: сначала впиши в текст, что на нём не так</t>
        </is>
      </c>
      <c r="R121" s="38" t="n">
        <v>1</v>
      </c>
      <c r="S121" s="38" t="inlineStr">
        <is>
          <t>Краснодарский край</t>
        </is>
      </c>
      <c r="T121" s="38" t="inlineStr">
        <is>
          <t>Здравствуйте! Смотрел в 2ГИС кровельные компании в Новороссийске, зашёл на ваш сайт с телефона: [ЧТО НЕ ТАК НА САЙТЕ].
Могу за вечер собрать вариант под «Хижниковъ», где это исправлено, и показать. Собрать?</t>
        </is>
      </c>
      <c r="U121" s="38">
        <f>B121&amp;IF(D121&lt;&gt;""," · "&amp;D121,"")&amp;IF(F121&lt;&gt;"",CHAR(10)&amp;F121,"")</f>
        <v/>
      </c>
      <c r="V121" s="38">
        <f>IF(OR(F121="просрочено",F121="сегодня",F121="укажи дату",LEFT(F121,6)="молчит"),1,0)</f>
        <v/>
      </c>
    </row>
    <row r="122" ht="24" customHeight="1">
      <c r="A122" s="38" t="n">
        <v>121</v>
      </c>
      <c r="B122" s="32" t="inlineStr">
        <is>
          <t>ЮгСтройГидроизоляция</t>
        </is>
      </c>
      <c r="C122" s="49" t="inlineStr">
        <is>
          <t>Очередь</t>
        </is>
      </c>
      <c r="D122" s="49" t="n"/>
      <c r="E122" s="50" t="n"/>
      <c r="F122" s="51">
        <f>IF(OR(C122="",C122="Очередь",C122="Клиент",C122="Отказ",C122="Не писать"),"",IF(E122="",IF(AND(C122="Отправлено",I122&lt;&gt;"",TODAY()-INT(I122)&gt;=3),"молчит "&amp;(TODAY()-INT(I122))&amp;" дн.",IF(OR(C122="Перезвонить",C122="Созвон"),"укажи дату","")),IF(INT(E122)&lt;TODAY(),"просрочено",IF(INT(E122)=TODAY(),"сегодня",IF(INT(E122)=TODAY()+1,"завтра",TEXT(E122,"dd.mm"))))))</f>
        <v/>
      </c>
      <c r="G122" s="52" t="n"/>
      <c r="H122" s="36" t="inlineStr">
        <is>
          <t>79887698989</t>
        </is>
      </c>
      <c r="I122" s="53" t="n"/>
      <c r="J122" s="38">
        <f>IFERROR(MATCH(C122,'Справка'!$A$12:$A$21,0),99)</f>
        <v/>
      </c>
      <c r="K122" s="39">
        <f>HYPERLINK("https://wa.me/"&amp;H122&amp;"?text="&amp;ENCODEURL(T122),"✉ Написать")</f>
        <v/>
      </c>
      <c r="L122" s="39">
        <f>HYPERLINK("https://wa.me/"&amp;H122,"Открыть чат")</f>
        <v/>
      </c>
      <c r="M122" s="38" t="inlineStr">
        <is>
          <t>Новороссийск</t>
        </is>
      </c>
      <c r="N122" s="38" t="n"/>
      <c r="O122" s="38" t="n"/>
      <c r="P122" s="38" t="inlineStr">
        <is>
          <t>gidroizolyatsiya.pro</t>
        </is>
      </c>
      <c r="Q122" s="38" t="inlineStr">
        <is>
          <t>есть сайт: сначала впиши в текст, что на нём не так</t>
        </is>
      </c>
      <c r="R122" s="38" t="n">
        <v>1</v>
      </c>
      <c r="S122" s="38" t="inlineStr">
        <is>
          <t>Краснодарский край</t>
        </is>
      </c>
      <c r="T122" s="38" t="inlineStr">
        <is>
          <t>Здравствуйте! Смотрел в 2ГИС кровельные компании в Новороссийске, зашёл на ваш сайт с телефона: [ЧТО НЕ ТАК НА САЙТЕ].
Могу за вечер собрать вариант под «ЮгСтройГидроизоляция», где это исправлено, и показать. Собрать?</t>
        </is>
      </c>
      <c r="U122" s="38">
        <f>B122&amp;IF(D122&lt;&gt;""," · "&amp;D122,"")&amp;IF(F122&lt;&gt;"",CHAR(10)&amp;F122,"")</f>
        <v/>
      </c>
      <c r="V122" s="38">
        <f>IF(OR(F122="просрочено",F122="сегодня",F122="укажи дату",LEFT(F122,6)="молчит"),1,0)</f>
        <v/>
      </c>
    </row>
    <row r="123" ht="24" customHeight="1">
      <c r="A123" s="38" t="n">
        <v>122</v>
      </c>
      <c r="B123" s="32" t="inlineStr">
        <is>
          <t>ФасадЮгМонтаж</t>
        </is>
      </c>
      <c r="C123" s="49" t="inlineStr">
        <is>
          <t>Очередь</t>
        </is>
      </c>
      <c r="D123" s="49" t="n"/>
      <c r="E123" s="50" t="n"/>
      <c r="F123" s="51">
        <f>IF(OR(C123="",C123="Очередь",C123="Клиент",C123="Отказ",C123="Не писать"),"",IF(E123="",IF(AND(C123="Отправлено",I123&lt;&gt;"",TODAY()-INT(I123)&gt;=3),"молчит "&amp;(TODAY()-INT(I123))&amp;" дн.",IF(OR(C123="Перезвонить",C123="Созвон"),"укажи дату","")),IF(INT(E123)&lt;TODAY(),"просрочено",IF(INT(E123)=TODAY(),"сегодня",IF(INT(E123)=TODAY()+1,"завтра",TEXT(E123,"dd.mm"))))))</f>
        <v/>
      </c>
      <c r="G123" s="52" t="n"/>
      <c r="H123" s="36" t="inlineStr">
        <is>
          <t>79180557248</t>
        </is>
      </c>
      <c r="I123" s="53" t="n"/>
      <c r="J123" s="38">
        <f>IFERROR(MATCH(C123,'Справка'!$A$12:$A$21,0),99)</f>
        <v/>
      </c>
      <c r="K123" s="39">
        <f>HYPERLINK("https://wa.me/"&amp;H123&amp;"?text="&amp;ENCODEURL(T123),"✉ Написать")</f>
        <v/>
      </c>
      <c r="L123" s="39">
        <f>HYPERLINK("https://wa.me/"&amp;H123,"Открыть чат")</f>
        <v/>
      </c>
      <c r="M123" s="38" t="inlineStr">
        <is>
          <t>Анапа</t>
        </is>
      </c>
      <c r="N123" s="38" t="n"/>
      <c r="O123" s="38" t="n"/>
      <c r="P123" s="38" t="inlineStr">
        <is>
          <t>pds93.ru</t>
        </is>
      </c>
      <c r="Q123" s="38" t="inlineStr">
        <is>
          <t>есть сайт: сначала впиши в текст, что на нём не так</t>
        </is>
      </c>
      <c r="R123" s="38" t="n">
        <v>1</v>
      </c>
      <c r="S123" s="38" t="inlineStr">
        <is>
          <t>Краснодарский край</t>
        </is>
      </c>
      <c r="T123" s="38" t="inlineStr">
        <is>
          <t>Здравствуйте! Смотрел в 2ГИС кровельные компании в Анапе, зашёл на ваш сайт с телефона: [ЧТО НЕ ТАК НА САЙТЕ].
Могу за вечер собрать вариант под «ФасадЮгМонтаж», где это исправлено, и показать. Собрать?</t>
        </is>
      </c>
      <c r="U123" s="38">
        <f>B123&amp;IF(D123&lt;&gt;""," · "&amp;D123,"")&amp;IF(F123&lt;&gt;"",CHAR(10)&amp;F123,"")</f>
        <v/>
      </c>
      <c r="V123" s="38">
        <f>IF(OR(F123="просрочено",F123="сегодня",F123="укажи дату",LEFT(F123,6)="молчит"),1,0)</f>
        <v/>
      </c>
    </row>
    <row r="124" ht="24" customHeight="1">
      <c r="A124" s="38" t="n">
        <v>123</v>
      </c>
      <c r="B124" s="32" t="inlineStr">
        <is>
          <t>Cool House</t>
        </is>
      </c>
      <c r="C124" s="49" t="inlineStr">
        <is>
          <t>Очередь</t>
        </is>
      </c>
      <c r="D124" s="49" t="n"/>
      <c r="E124" s="50" t="n"/>
      <c r="F124" s="51">
        <f>IF(OR(C124="",C124="Очередь",C124="Клиент",C124="Отказ",C124="Не писать"),"",IF(E124="",IF(AND(C124="Отправлено",I124&lt;&gt;"",TODAY()-INT(I124)&gt;=3),"молчит "&amp;(TODAY()-INT(I124))&amp;" дн.",IF(OR(C124="Перезвонить",C124="Созвон"),"укажи дату","")),IF(INT(E124)&lt;TODAY(),"просрочено",IF(INT(E124)=TODAY(),"сегодня",IF(INT(E124)=TODAY()+1,"завтра",TEXT(E124,"dd.mm"))))))</f>
        <v/>
      </c>
      <c r="G124" s="52" t="n"/>
      <c r="H124" s="36" t="inlineStr">
        <is>
          <t>79182258650</t>
        </is>
      </c>
      <c r="I124" s="53" t="n"/>
      <c r="J124" s="38">
        <f>IFERROR(MATCH(C124,'Справка'!$A$12:$A$21,0),99)</f>
        <v/>
      </c>
      <c r="K124" s="39">
        <f>HYPERLINK("https://wa.me/"&amp;H124&amp;"?text="&amp;ENCODEURL(T124),"✉ Написать")</f>
        <v/>
      </c>
      <c r="L124" s="39">
        <f>HYPERLINK("https://wa.me/"&amp;H124,"Открыть чат")</f>
        <v/>
      </c>
      <c r="M124" s="38" t="inlineStr">
        <is>
          <t>Анапа</t>
        </is>
      </c>
      <c r="N124" s="38" t="n"/>
      <c r="O124" s="38" t="n"/>
      <c r="P124" s="38" t="inlineStr">
        <is>
          <t>fasad-anapa.ru</t>
        </is>
      </c>
      <c r="Q124" s="38" t="inlineStr">
        <is>
          <t>есть сайт: сначала впиши в текст, что на нём не так</t>
        </is>
      </c>
      <c r="R124" s="38" t="n">
        <v>1</v>
      </c>
      <c r="S124" s="38" t="inlineStr">
        <is>
          <t>Краснодарский край</t>
        </is>
      </c>
      <c r="T124" s="38" t="inlineStr">
        <is>
          <t>Здравствуйте! Смотрел в 2ГИС кровельные компании в Анапе, зашёл на ваш сайт с телефона: [ЧТО НЕ ТАК НА САЙТЕ].
Могу за вечер собрать вариант под «Cool House», где это исправлено, и показать. Собрать?</t>
        </is>
      </c>
      <c r="U124" s="38">
        <f>B124&amp;IF(D124&lt;&gt;""," · "&amp;D124,"")&amp;IF(F124&lt;&gt;"",CHAR(10)&amp;F124,"")</f>
        <v/>
      </c>
      <c r="V124" s="38">
        <f>IF(OR(F124="просрочено",F124="сегодня",F124="укажи дату",LEFT(F124,6)="молчит"),1,0)</f>
        <v/>
      </c>
    </row>
    <row r="125" ht="24" customHeight="1">
      <c r="A125" s="38" t="n">
        <v>124</v>
      </c>
      <c r="B125" s="32" t="inlineStr">
        <is>
          <t>СтройГарантАнапа</t>
        </is>
      </c>
      <c r="C125" s="49" t="inlineStr">
        <is>
          <t>Очередь</t>
        </is>
      </c>
      <c r="D125" s="49" t="n"/>
      <c r="E125" s="50" t="n"/>
      <c r="F125" s="51">
        <f>IF(OR(C125="",C125="Очередь",C125="Клиент",C125="Отказ",C125="Не писать"),"",IF(E125="",IF(AND(C125="Отправлено",I125&lt;&gt;"",TODAY()-INT(I125)&gt;=3),"молчит "&amp;(TODAY()-INT(I125))&amp;" дн.",IF(OR(C125="Перезвонить",C125="Созвон"),"укажи дату","")),IF(INT(E125)&lt;TODAY(),"просрочено",IF(INT(E125)=TODAY(),"сегодня",IF(INT(E125)=TODAY()+1,"завтра",TEXT(E125,"dd.mm"))))))</f>
        <v/>
      </c>
      <c r="G125" s="52" t="n"/>
      <c r="H125" s="36" t="inlineStr">
        <is>
          <t>79892291333</t>
        </is>
      </c>
      <c r="I125" s="53" t="n"/>
      <c r="J125" s="38">
        <f>IFERROR(MATCH(C125,'Справка'!$A$12:$A$21,0),99)</f>
        <v/>
      </c>
      <c r="K125" s="39">
        <f>HYPERLINK("https://wa.me/"&amp;H125&amp;"?text="&amp;ENCODEURL(T125),"✉ Написать")</f>
        <v/>
      </c>
      <c r="L125" s="39">
        <f>HYPERLINK("https://wa.me/"&amp;H125,"Открыть чат")</f>
        <v/>
      </c>
      <c r="M125" s="38" t="inlineStr">
        <is>
          <t>Краснодарский край</t>
        </is>
      </c>
      <c r="N125" s="38" t="n">
        <v>4</v>
      </c>
      <c r="O125" s="38" t="n">
        <v>5</v>
      </c>
      <c r="P125" s="38" t="inlineStr">
        <is>
          <t>SGA23.ru</t>
        </is>
      </c>
      <c r="Q125" s="38" t="inlineStr">
        <is>
          <t>есть сайт: сначала впиши в текст, что на нём не так, WhatsApp не подтверждён</t>
        </is>
      </c>
      <c r="R125" s="38" t="n">
        <v>1</v>
      </c>
      <c r="S125" s="38" t="inlineStr">
        <is>
          <t>Краснодарский край</t>
        </is>
      </c>
      <c r="T125" s="38" t="inlineStr">
        <is>
          <t>Здравствуйте! Смотрел в 2ГИС кровельные компании в Краснодарском крае, зашёл на ваш сайт с телефона: [ЧТО НЕ ТАК НА САЙТЕ].
Могу за вечер собрать вариант под «СтройГарантАнапа», где это исправлено, и показать. Собрать?</t>
        </is>
      </c>
      <c r="U125" s="38">
        <f>B125&amp;IF(D125&lt;&gt;""," · "&amp;D125,"")&amp;IF(F125&lt;&gt;"",CHAR(10)&amp;F125,"")</f>
        <v/>
      </c>
      <c r="V125" s="38">
        <f>IF(OR(F125="просрочено",F125="сегодня",F125="укажи дату",LEFT(F125,6)="молчит"),1,0)</f>
        <v/>
      </c>
    </row>
    <row r="126" ht="24" customHeight="1">
      <c r="A126" s="38" t="n">
        <v>125</v>
      </c>
      <c r="B126" s="32" t="inlineStr">
        <is>
          <t>Служба покраски крыш</t>
        </is>
      </c>
      <c r="C126" s="49" t="inlineStr">
        <is>
          <t>Очередь</t>
        </is>
      </c>
      <c r="D126" s="49" t="n"/>
      <c r="E126" s="50" t="n"/>
      <c r="F126" s="51">
        <f>IF(OR(C126="",C126="Очередь",C126="Клиент",C126="Отказ",C126="Не писать"),"",IF(E126="",IF(AND(C126="Отправлено",I126&lt;&gt;"",TODAY()-INT(I126)&gt;=3),"молчит "&amp;(TODAY()-INT(I126))&amp;" дн.",IF(OR(C126="Перезвонить",C126="Созвон"),"укажи дату","")),IF(INT(E126)&lt;TODAY(),"просрочено",IF(INT(E126)=TODAY(),"сегодня",IF(INT(E126)=TODAY()+1,"завтра",TEXT(E126,"dd.mm"))))))</f>
        <v/>
      </c>
      <c r="G126" s="52" t="n"/>
      <c r="H126" s="36" t="inlineStr">
        <is>
          <t>79282564275</t>
        </is>
      </c>
      <c r="I126" s="53" t="n"/>
      <c r="J126" s="38">
        <f>IFERROR(MATCH(C126,'Справка'!$A$12:$A$21,0),99)</f>
        <v/>
      </c>
      <c r="K126" s="39">
        <f>HYPERLINK("https://wa.me/"&amp;H126&amp;"?text="&amp;ENCODEURL(T126),"✉ Написать")</f>
        <v/>
      </c>
      <c r="L126" s="39">
        <f>HYPERLINK("https://wa.me/"&amp;H126,"Открыть чат")</f>
        <v/>
      </c>
      <c r="M126" s="38" t="inlineStr">
        <is>
          <t>пгт Тлюстенхабль</t>
        </is>
      </c>
      <c r="N126" s="38" t="n"/>
      <c r="O126" s="38" t="n"/>
      <c r="P126" s="38" t="inlineStr">
        <is>
          <t>pokraska-krysh.ru</t>
        </is>
      </c>
      <c r="Q126" s="38" t="inlineStr">
        <is>
          <t>есть сайт: сначала впиши в текст, что на нём не так, WhatsApp не подтверждён</t>
        </is>
      </c>
      <c r="R126" s="38" t="n">
        <v>1</v>
      </c>
      <c r="S126" s="38" t="inlineStr">
        <is>
          <t>Краснодарский край</t>
        </is>
      </c>
      <c r="T126" s="38" t="inlineStr">
        <is>
          <t>Здравствуйте! Смотрел в 2ГИС кровельные компании в Тлюстенхабле, зашёл на ваш сайт с телефона: [ЧТО НЕ ТАК НА САЙТЕ].
Могу за вечер собрать вариант под «Служба покраски крыш», где это исправлено, и показать. Собрать?</t>
        </is>
      </c>
      <c r="U126" s="38">
        <f>B126&amp;IF(D126&lt;&gt;""," · "&amp;D126,"")&amp;IF(F126&lt;&gt;"",CHAR(10)&amp;F126,"")</f>
        <v/>
      </c>
      <c r="V126" s="38">
        <f>IF(OR(F126="просрочено",F126="сегодня",F126="укажи дату",LEFT(F126,6)="молчит"),1,0)</f>
        <v/>
      </c>
    </row>
    <row r="127" ht="24" customHeight="1">
      <c r="A127" s="38" t="n">
        <v>126</v>
      </c>
      <c r="B127" s="32" t="inlineStr">
        <is>
          <t>Комфортный дом</t>
        </is>
      </c>
      <c r="C127" s="49" t="inlineStr">
        <is>
          <t>Очередь</t>
        </is>
      </c>
      <c r="D127" s="49" t="n"/>
      <c r="E127" s="50" t="n"/>
      <c r="F127" s="51">
        <f>IF(OR(C127="",C127="Очередь",C127="Клиент",C127="Отказ",C127="Не писать"),"",IF(E127="",IF(AND(C127="Отправлено",I127&lt;&gt;"",TODAY()-INT(I127)&gt;=3),"молчит "&amp;(TODAY()-INT(I127))&amp;" дн.",IF(OR(C127="Перезвонить",C127="Созвон"),"укажи дату","")),IF(INT(E127)&lt;TODAY(),"просрочено",IF(INT(E127)=TODAY(),"сегодня",IF(INT(E127)=TODAY()+1,"завтра",TEXT(E127,"dd.mm"))))))</f>
        <v/>
      </c>
      <c r="G127" s="52" t="n"/>
      <c r="H127" s="36" t="inlineStr">
        <is>
          <t>79182596862</t>
        </is>
      </c>
      <c r="I127" s="53" t="n"/>
      <c r="J127" s="38">
        <f>IFERROR(MATCH(C127,'Справка'!$A$12:$A$21,0),99)</f>
        <v/>
      </c>
      <c r="K127" s="39">
        <f>HYPERLINK("https://wa.me/"&amp;H127&amp;"?text="&amp;ENCODEURL(T127),"✉ Написать")</f>
        <v/>
      </c>
      <c r="L127" s="39">
        <f>HYPERLINK("https://wa.me/"&amp;H127,"Открыть чат")</f>
        <v/>
      </c>
      <c r="M127" s="38" t="inlineStr">
        <is>
          <t>Горячий Ключ</t>
        </is>
      </c>
      <c r="N127" s="38" t="n"/>
      <c r="O127" s="38" t="n"/>
      <c r="P127" s="38" t="inlineStr">
        <is>
          <t>Перейти в Telegram-канал</t>
        </is>
      </c>
      <c r="Q127" s="38" t="inlineStr">
        <is>
          <t>есть сайт: сначала впиши в текст, что на нём не так, WhatsApp не подтверждён</t>
        </is>
      </c>
      <c r="R127" s="38" t="n">
        <v>1</v>
      </c>
      <c r="S127" s="38" t="inlineStr">
        <is>
          <t>Краснодарский край</t>
        </is>
      </c>
      <c r="T127" s="38" t="inlineStr">
        <is>
          <t>Здравствуйте! Смотрел в 2ГИС кровельные компании в Горячем Ключе, зашёл на ваш сайт с телефона: [ЧТО НЕ ТАК НА САЙТЕ].
Могу за вечер собрать вариант под «Комфортный дом», где это исправлено, и показать. Собрать?</t>
        </is>
      </c>
      <c r="U127" s="38">
        <f>B127&amp;IF(D127&lt;&gt;""," · "&amp;D127,"")&amp;IF(F127&lt;&gt;"",CHAR(10)&amp;F127,"")</f>
        <v/>
      </c>
      <c r="V127" s="38">
        <f>IF(OR(F127="просрочено",F127="сегодня",F127="укажи дату",LEFT(F127,6)="молчит"),1,0)</f>
        <v/>
      </c>
    </row>
    <row r="128" ht="24" customHeight="1">
      <c r="A128" s="38" t="n">
        <v>127</v>
      </c>
      <c r="B128" s="32" t="inlineStr">
        <is>
          <t>Кровли. Нет</t>
        </is>
      </c>
      <c r="C128" s="49" t="inlineStr">
        <is>
          <t>Очередь</t>
        </is>
      </c>
      <c r="D128" s="49" t="n"/>
      <c r="E128" s="50" t="n"/>
      <c r="F128" s="51">
        <f>IF(OR(C128="",C128="Очередь",C128="Клиент",C128="Отказ",C128="Не писать"),"",IF(E128="",IF(AND(C128="Отправлено",I128&lt;&gt;"",TODAY()-INT(I128)&gt;=3),"молчит "&amp;(TODAY()-INT(I128))&amp;" дн.",IF(OR(C128="Перезвонить",C128="Созвон"),"укажи дату","")),IF(INT(E128)&lt;TODAY(),"просрочено",IF(INT(E128)=TODAY(),"сегодня",IF(INT(E128)=TODAY()+1,"завтра",TEXT(E128,"dd.mm"))))))</f>
        <v/>
      </c>
      <c r="G128" s="52" t="n"/>
      <c r="H128" s="36" t="inlineStr">
        <is>
          <t>79883453456</t>
        </is>
      </c>
      <c r="I128" s="53" t="n"/>
      <c r="J128" s="38">
        <f>IFERROR(MATCH(C128,'Справка'!$A$12:$A$21,0),99)</f>
        <v/>
      </c>
      <c r="K128" s="39">
        <f>HYPERLINK("https://wa.me/"&amp;H128&amp;"?text="&amp;ENCODEURL(T128),"✉ Написать")</f>
        <v/>
      </c>
      <c r="L128" s="39">
        <f>HYPERLINK("https://wa.me/"&amp;H128,"Открыть чат")</f>
        <v/>
      </c>
      <c r="M128" s="38" t="inlineStr">
        <is>
          <t>Геленджик</t>
        </is>
      </c>
      <c r="N128" s="38" t="n"/>
      <c r="O128" s="38" t="n"/>
      <c r="P128" s="38" t="inlineStr">
        <is>
          <t>krovli.net</t>
        </is>
      </c>
      <c r="Q128" s="38" t="inlineStr">
        <is>
          <t>есть сайт: сначала впиши в текст, что на нём не так, WhatsApp не подтверждён</t>
        </is>
      </c>
      <c r="R128" s="38" t="n">
        <v>1</v>
      </c>
      <c r="S128" s="38" t="inlineStr">
        <is>
          <t>Краснодарский край</t>
        </is>
      </c>
      <c r="T128" s="38" t="inlineStr">
        <is>
          <t>Здравствуйте! Смотрел в 2ГИС кровельные компании в Геленджике, зашёл на ваш сайт с телефона: [ЧТО НЕ ТАК НА САЙТЕ].
Могу за вечер собрать вариант под «Кровли. Нет», где это исправлено, и показать. Собрать?</t>
        </is>
      </c>
      <c r="U128" s="38">
        <f>B128&amp;IF(D128&lt;&gt;""," · "&amp;D128,"")&amp;IF(F128&lt;&gt;"",CHAR(10)&amp;F128,"")</f>
        <v/>
      </c>
      <c r="V128" s="38">
        <f>IF(OR(F128="просрочено",F128="сегодня",F128="укажи дату",LEFT(F128,6)="молчит"),1,0)</f>
        <v/>
      </c>
    </row>
    <row r="129" ht="24" customHeight="1">
      <c r="A129" s="38" t="n">
        <v>128</v>
      </c>
      <c r="B129" s="32" t="inlineStr">
        <is>
          <t>Про Кровля</t>
        </is>
      </c>
      <c r="C129" s="49" t="inlineStr">
        <is>
          <t>Очередь</t>
        </is>
      </c>
      <c r="D129" s="49" t="n"/>
      <c r="E129" s="50" t="n"/>
      <c r="F129" s="51">
        <f>IF(OR(C129="",C129="Очередь",C129="Клиент",C129="Отказ",C129="Не писать"),"",IF(E129="",IF(AND(C129="Отправлено",I129&lt;&gt;"",TODAY()-INT(I129)&gt;=3),"молчит "&amp;(TODAY()-INT(I129))&amp;" дн.",IF(OR(C129="Перезвонить",C129="Созвон"),"укажи дату","")),IF(INT(E129)&lt;TODAY(),"просрочено",IF(INT(E129)=TODAY(),"сегодня",IF(INT(E129)=TODAY()+1,"завтра",TEXT(E129,"dd.mm"))))))</f>
        <v/>
      </c>
      <c r="G129" s="52" t="n"/>
      <c r="H129" s="36" t="inlineStr">
        <is>
          <t>79183821224</t>
        </is>
      </c>
      <c r="I129" s="53" t="n"/>
      <c r="J129" s="38">
        <f>IFERROR(MATCH(C129,'Справка'!$A$12:$A$21,0),99)</f>
        <v/>
      </c>
      <c r="K129" s="39">
        <f>HYPERLINK("https://wa.me/"&amp;H129&amp;"?text="&amp;ENCODEURL(T129),"✉ Написать")</f>
        <v/>
      </c>
      <c r="L129" s="39">
        <f>HYPERLINK("https://wa.me/"&amp;H129,"Открыть чат")</f>
        <v/>
      </c>
      <c r="M129" s="38" t="inlineStr">
        <is>
          <t>Новороссийск</t>
        </is>
      </c>
      <c r="N129" s="38" t="n"/>
      <c r="O129" s="38" t="n"/>
      <c r="P129" s="38" t="inlineStr">
        <is>
          <t>691330.ru</t>
        </is>
      </c>
      <c r="Q129" s="38" t="inlineStr">
        <is>
          <t>есть сайт: сначала впиши в текст, что на нём не так, WhatsApp не подтверждён</t>
        </is>
      </c>
      <c r="R129" s="38" t="n">
        <v>1</v>
      </c>
      <c r="S129" s="38" t="inlineStr">
        <is>
          <t>Краснодарский край</t>
        </is>
      </c>
      <c r="T129" s="38" t="inlineStr">
        <is>
          <t>Здравствуйте! Смотрел в 2ГИС кровельные компании в Новороссийске, зашёл на ваш сайт с телефона: [ЧТО НЕ ТАК НА САЙТЕ].
Могу за вечер собрать вариант под «Про Кровля», где это исправлено, и показать. Собрать?</t>
        </is>
      </c>
      <c r="U129" s="38">
        <f>B129&amp;IF(D129&lt;&gt;""," · "&amp;D129,"")&amp;IF(F129&lt;&gt;"",CHAR(10)&amp;F129,"")</f>
        <v/>
      </c>
      <c r="V129" s="38">
        <f>IF(OR(F129="просрочено",F129="сегодня",F129="укажи дату",LEFT(F129,6)="молчит"),1,0)</f>
        <v/>
      </c>
    </row>
    <row r="130" ht="24" customHeight="1">
      <c r="A130" s="38" t="n">
        <v>129</v>
      </c>
      <c r="B130" s="32" t="inlineStr">
        <is>
          <t>Новый дом</t>
        </is>
      </c>
      <c r="C130" s="49" t="inlineStr">
        <is>
          <t>Очередь</t>
        </is>
      </c>
      <c r="D130" s="49" t="n"/>
      <c r="E130" s="50" t="n"/>
      <c r="F130" s="51">
        <f>IF(OR(C130="",C130="Очередь",C130="Клиент",C130="Отказ",C130="Не писать"),"",IF(E130="",IF(AND(C130="Отправлено",I130&lt;&gt;"",TODAY()-INT(I130)&gt;=3),"молчит "&amp;(TODAY()-INT(I130))&amp;" дн.",IF(OR(C130="Перезвонить",C130="Созвон"),"укажи дату","")),IF(INT(E130)&lt;TODAY(),"просрочено",IF(INT(E130)=TODAY(),"сегодня",IF(INT(E130)=TODAY()+1,"завтра",TEXT(E130,"dd.mm"))))))</f>
        <v/>
      </c>
      <c r="G130" s="52" t="n"/>
      <c r="H130" s="36" t="inlineStr">
        <is>
          <t>79186678666</t>
        </is>
      </c>
      <c r="I130" s="53" t="n"/>
      <c r="J130" s="38">
        <f>IFERROR(MATCH(C130,'Справка'!$A$12:$A$21,0),99)</f>
        <v/>
      </c>
      <c r="K130" s="39">
        <f>HYPERLINK("https://wa.me/"&amp;H130&amp;"?text="&amp;ENCODEURL(T130),"✉ Написать")</f>
        <v/>
      </c>
      <c r="L130" s="39">
        <f>HYPERLINK("https://wa.me/"&amp;H130,"Открыть чат")</f>
        <v/>
      </c>
      <c r="M130" s="38" t="inlineStr">
        <is>
          <t>Анапа</t>
        </is>
      </c>
      <c r="N130" s="38" t="n">
        <v>4.9</v>
      </c>
      <c r="O130" s="38" t="n">
        <v>16</v>
      </c>
      <c r="P130" s="38" t="n"/>
      <c r="Q130" s="38" t="inlineStr">
        <is>
          <t>без сайта, похоже на магазин</t>
        </is>
      </c>
      <c r="R130" s="38" t="n">
        <v>1</v>
      </c>
      <c r="S130" s="38" t="inlineStr">
        <is>
          <t>Краснодарский край</t>
        </is>
      </c>
      <c r="T130" s="38" t="inlineStr">
        <is>
          <t>Здравствуйте! Нашёл вас в 2ГИС среди кровельных компаний в Анапе: оценки высокие, а сайта нет.
Могу собрать сайт под «Новый дом» за вечер и показать. Не понравится — ничего не должны. Сделать?</t>
        </is>
      </c>
      <c r="U130" s="38">
        <f>B130&amp;IF(D130&lt;&gt;""," · "&amp;D130,"")&amp;IF(F130&lt;&gt;"",CHAR(10)&amp;F130,"")</f>
        <v/>
      </c>
      <c r="V130" s="38">
        <f>IF(OR(F130="просрочено",F130="сегодня",F130="укажи дату",LEFT(F130,6)="молчит"),1,0)</f>
        <v/>
      </c>
    </row>
    <row r="131" ht="24" customHeight="1">
      <c r="A131" s="38" t="n">
        <v>130</v>
      </c>
      <c r="B131" s="32" t="inlineStr">
        <is>
          <t>Кровля на века</t>
        </is>
      </c>
      <c r="C131" s="49" t="inlineStr">
        <is>
          <t>Очередь</t>
        </is>
      </c>
      <c r="D131" s="49" t="n"/>
      <c r="E131" s="50" t="n"/>
      <c r="F131" s="51">
        <f>IF(OR(C131="",C131="Очередь",C131="Клиент",C131="Отказ",C131="Не писать"),"",IF(E131="",IF(AND(C131="Отправлено",I131&lt;&gt;"",TODAY()-INT(I131)&gt;=3),"молчит "&amp;(TODAY()-INT(I131))&amp;" дн.",IF(OR(C131="Перезвонить",C131="Созвон"),"укажи дату","")),IF(INT(E131)&lt;TODAY(),"просрочено",IF(INT(E131)=TODAY(),"сегодня",IF(INT(E131)=TODAY()+1,"завтра",TEXT(E131,"dd.mm"))))))</f>
        <v/>
      </c>
      <c r="G131" s="52" t="n"/>
      <c r="H131" s="36" t="inlineStr">
        <is>
          <t>79184523700</t>
        </is>
      </c>
      <c r="I131" s="53" t="n"/>
      <c r="J131" s="38">
        <f>IFERROR(MATCH(C131,'Справка'!$A$12:$A$21,0),99)</f>
        <v/>
      </c>
      <c r="K131" s="39">
        <f>HYPERLINK("https://wa.me/"&amp;H131&amp;"?text="&amp;ENCODEURL(T131),"✉ Написать")</f>
        <v/>
      </c>
      <c r="L131" s="39">
        <f>HYPERLINK("https://wa.me/"&amp;H131,"Открыть чат")</f>
        <v/>
      </c>
      <c r="M131" s="38" t="inlineStr">
        <is>
          <t>Новороссийск</t>
        </is>
      </c>
      <c r="N131" s="38" t="n">
        <v>2.7</v>
      </c>
      <c r="O131" s="38" t="n">
        <v>3</v>
      </c>
      <c r="P131" s="38" t="n"/>
      <c r="Q131" s="38" t="inlineStr">
        <is>
          <t>без сайта, похоже на магазин</t>
        </is>
      </c>
      <c r="R131" s="38" t="n">
        <v>1</v>
      </c>
      <c r="S131" s="38" t="inlineStr">
        <is>
          <t>Краснодарский край</t>
        </is>
      </c>
      <c r="T131" s="38" t="inlineStr">
        <is>
          <t>Здравствуйте! Искал в 2ГИС кровельные компании в Новороссийске и наткнулся на вас. Сайта в карточке не увидел.
Могу за вечер собрать для «Кровля на века» сайт и показать. Платить не нужно, пока не понравится. Собрать?</t>
        </is>
      </c>
      <c r="U131" s="38">
        <f>B131&amp;IF(D131&lt;&gt;""," · "&amp;D131,"")&amp;IF(F131&lt;&gt;"",CHAR(10)&amp;F131,"")</f>
        <v/>
      </c>
      <c r="V131" s="38">
        <f>IF(OR(F131="просрочено",F131="сегодня",F131="укажи дату",LEFT(F131,6)="молчит"),1,0)</f>
        <v/>
      </c>
    </row>
    <row r="132" ht="24" customHeight="1">
      <c r="A132" s="38" t="n">
        <v>131</v>
      </c>
      <c r="B132" s="32" t="inlineStr">
        <is>
          <t>Все для крепежа</t>
        </is>
      </c>
      <c r="C132" s="49" t="inlineStr">
        <is>
          <t>Очередь</t>
        </is>
      </c>
      <c r="D132" s="49" t="n"/>
      <c r="E132" s="50" t="n"/>
      <c r="F132" s="51">
        <f>IF(OR(C132="",C132="Очередь",C132="Клиент",C132="Отказ",C132="Не писать"),"",IF(E132="",IF(AND(C132="Отправлено",I132&lt;&gt;"",TODAY()-INT(I132)&gt;=3),"молчит "&amp;(TODAY()-INT(I132))&amp;" дн.",IF(OR(C132="Перезвонить",C132="Созвон"),"укажи дату","")),IF(INT(E132)&lt;TODAY(),"просрочено",IF(INT(E132)=TODAY(),"сегодня",IF(INT(E132)=TODAY()+1,"завтра",TEXT(E132,"dd.mm"))))))</f>
        <v/>
      </c>
      <c r="G132" s="52" t="n"/>
      <c r="H132" s="36" t="inlineStr">
        <is>
          <t>79615076454</t>
        </is>
      </c>
      <c r="I132" s="53" t="n"/>
      <c r="J132" s="38">
        <f>IFERROR(MATCH(C132,'Справка'!$A$12:$A$21,0),99)</f>
        <v/>
      </c>
      <c r="K132" s="39">
        <f>HYPERLINK("https://wa.me/"&amp;H132&amp;"?text="&amp;ENCODEURL(T132),"✉ Написать")</f>
        <v/>
      </c>
      <c r="L132" s="39">
        <f>HYPERLINK("https://wa.me/"&amp;H132,"Открыть чат")</f>
        <v/>
      </c>
      <c r="M132" s="38" t="inlineStr">
        <is>
          <t>Новороссийск</t>
        </is>
      </c>
      <c r="N132" s="38" t="n">
        <v>5</v>
      </c>
      <c r="O132" s="38" t="n">
        <v>2</v>
      </c>
      <c r="P132" s="38" t="n"/>
      <c r="Q132" s="38" t="inlineStr">
        <is>
          <t>без сайта, похоже на магазин</t>
        </is>
      </c>
      <c r="R132" s="38" t="n">
        <v>1</v>
      </c>
      <c r="S132" s="38" t="inlineStr">
        <is>
          <t>Краснодарский край</t>
        </is>
      </c>
      <c r="T132" s="38" t="inlineStr">
        <is>
          <t>Здравствуйте! Смотрел в 2ГИС, кто делает кровлю в Новороссийске, и нашёл «Все для крепежа». Сайта в карточке нет.
Готов за вечер собрать сайт для «Все для крепежа» и показать вам. Денег вперёд не беру. Собрать?</t>
        </is>
      </c>
      <c r="U132" s="38">
        <f>B132&amp;IF(D132&lt;&gt;""," · "&amp;D132,"")&amp;IF(F132&lt;&gt;"",CHAR(10)&amp;F132,"")</f>
        <v/>
      </c>
      <c r="V132" s="38">
        <f>IF(OR(F132="просрочено",F132="сегодня",F132="укажи дату",LEFT(F132,6)="молчит"),1,0)</f>
        <v/>
      </c>
    </row>
    <row r="133" ht="24" customHeight="1">
      <c r="A133" s="38" t="n">
        <v>132</v>
      </c>
      <c r="B133" s="32" t="inlineStr">
        <is>
          <t>Югмонтаж</t>
        </is>
      </c>
      <c r="C133" s="49" t="inlineStr">
        <is>
          <t>Очередь</t>
        </is>
      </c>
      <c r="D133" s="49" t="n"/>
      <c r="E133" s="50" t="n"/>
      <c r="F133" s="51">
        <f>IF(OR(C133="",C133="Очередь",C133="Клиент",C133="Отказ",C133="Не писать"),"",IF(E133="",IF(AND(C133="Отправлено",I133&lt;&gt;"",TODAY()-INT(I133)&gt;=3),"молчит "&amp;(TODAY()-INT(I133))&amp;" дн.",IF(OR(C133="Перезвонить",C133="Созвон"),"укажи дату","")),IF(INT(E133)&lt;TODAY(),"просрочено",IF(INT(E133)=TODAY(),"сегодня",IF(INT(E133)=TODAY()+1,"завтра",TEXT(E133,"dd.mm"))))))</f>
        <v/>
      </c>
      <c r="G133" s="52" t="n"/>
      <c r="H133" s="36" t="inlineStr">
        <is>
          <t>79184671055</t>
        </is>
      </c>
      <c r="I133" s="53" t="n"/>
      <c r="J133" s="38">
        <f>IFERROR(MATCH(C133,'Справка'!$A$12:$A$21,0),99)</f>
        <v/>
      </c>
      <c r="K133" s="39">
        <f>HYPERLINK("https://wa.me/"&amp;H133&amp;"?text="&amp;ENCODEURL(T133),"✉ Написать")</f>
        <v/>
      </c>
      <c r="L133" s="39">
        <f>HYPERLINK("https://wa.me/"&amp;H133,"Открыть чат")</f>
        <v/>
      </c>
      <c r="M133" s="38" t="inlineStr">
        <is>
          <t>Темрюк</t>
        </is>
      </c>
      <c r="N133" s="38" t="n">
        <v>5</v>
      </c>
      <c r="O133" s="38" t="n">
        <v>1</v>
      </c>
      <c r="P133" s="38" t="n"/>
      <c r="Q133" s="38" t="inlineStr">
        <is>
          <t>без сайта, похоже на магазин</t>
        </is>
      </c>
      <c r="R133" s="38" t="n">
        <v>1</v>
      </c>
      <c r="S133" s="38" t="inlineStr">
        <is>
          <t>Краснодарский край</t>
        </is>
      </c>
      <c r="T133" s="38" t="inlineStr">
        <is>
          <t>Здравствуйте! Нашёл вас в 2ГИС среди кровельных компаний в Темрюке, а сайта в карточке не нашёл.
Могу собрать сайт под «Югмонтаж» за вечер и показать. Не понравится — ничего не должны. Сделать?</t>
        </is>
      </c>
      <c r="U133" s="38">
        <f>B133&amp;IF(D133&lt;&gt;""," · "&amp;D133,"")&amp;IF(F133&lt;&gt;"",CHAR(10)&amp;F133,"")</f>
        <v/>
      </c>
      <c r="V133" s="38">
        <f>IF(OR(F133="просрочено",F133="сегодня",F133="укажи дату",LEFT(F133,6)="молчит"),1,0)</f>
        <v/>
      </c>
    </row>
    <row r="134" ht="24" customHeight="1">
      <c r="A134" s="38" t="n">
        <v>133</v>
      </c>
      <c r="B134" s="32" t="inlineStr">
        <is>
          <t>Фасады Анапы</t>
        </is>
      </c>
      <c r="C134" s="49" t="inlineStr">
        <is>
          <t>Очередь</t>
        </is>
      </c>
      <c r="D134" s="49" t="n"/>
      <c r="E134" s="50" t="n"/>
      <c r="F134" s="51">
        <f>IF(OR(C134="",C134="Очередь",C134="Клиент",C134="Отказ",C134="Не писать"),"",IF(E134="",IF(AND(C134="Отправлено",I134&lt;&gt;"",TODAY()-INT(I134)&gt;=3),"молчит "&amp;(TODAY()-INT(I134))&amp;" дн.",IF(OR(C134="Перезвонить",C134="Созвон"),"укажи дату","")),IF(INT(E134)&lt;TODAY(),"просрочено",IF(INT(E134)=TODAY(),"сегодня",IF(INT(E134)=TODAY()+1,"завтра",TEXT(E134,"dd.mm"))))))</f>
        <v/>
      </c>
      <c r="G134" s="52" t="n"/>
      <c r="H134" s="36" t="inlineStr">
        <is>
          <t>79385003254</t>
        </is>
      </c>
      <c r="I134" s="53" t="n"/>
      <c r="J134" s="38">
        <f>IFERROR(MATCH(C134,'Справка'!$A$12:$A$21,0),99)</f>
        <v/>
      </c>
      <c r="K134" s="39">
        <f>HYPERLINK("https://wa.me/"&amp;H134&amp;"?text="&amp;ENCODEURL(T134),"✉ Написать")</f>
        <v/>
      </c>
      <c r="L134" s="39">
        <f>HYPERLINK("https://wa.me/"&amp;H134,"Открыть чат")</f>
        <v/>
      </c>
      <c r="M134" s="38" t="inlineStr">
        <is>
          <t>Анапа</t>
        </is>
      </c>
      <c r="N134" s="38" t="n">
        <v>5</v>
      </c>
      <c r="O134" s="38" t="n">
        <v>1</v>
      </c>
      <c r="P134" s="38" t="n"/>
      <c r="Q134" s="38" t="inlineStr">
        <is>
          <t>без сайта, похоже на магазин</t>
        </is>
      </c>
      <c r="R134" s="38" t="n">
        <v>1</v>
      </c>
      <c r="S134" s="38" t="inlineStr">
        <is>
          <t>Краснодарский край</t>
        </is>
      </c>
      <c r="T134" s="38" t="inlineStr">
        <is>
          <t>Здравствуйте! Искал в 2ГИС кровельные компании в Анапе и наткнулся на вас. Сайта в карточке не увидел.
Могу за вечер собрать для «Фасады Анапы» сайт и показать. Платить не нужно, пока не понравится. Собрать?</t>
        </is>
      </c>
      <c r="U134" s="38">
        <f>B134&amp;IF(D134&lt;&gt;""," · "&amp;D134,"")&amp;IF(F134&lt;&gt;"",CHAR(10)&amp;F134,"")</f>
        <v/>
      </c>
      <c r="V134" s="38">
        <f>IF(OR(F134="просрочено",F134="сегодня",F134="укажи дату",LEFT(F134,6)="молчит"),1,0)</f>
        <v/>
      </c>
    </row>
    <row r="135" ht="24" customHeight="1">
      <c r="A135" s="38" t="n">
        <v>134</v>
      </c>
      <c r="B135" s="32" t="inlineStr">
        <is>
          <t>Экспастрой</t>
        </is>
      </c>
      <c r="C135" s="49" t="inlineStr">
        <is>
          <t>Очередь</t>
        </is>
      </c>
      <c r="D135" s="49" t="n"/>
      <c r="E135" s="50" t="n"/>
      <c r="F135" s="51">
        <f>IF(OR(C135="",C135="Очередь",C135="Клиент",C135="Отказ",C135="Не писать"),"",IF(E135="",IF(AND(C135="Отправлено",I135&lt;&gt;"",TODAY()-INT(I135)&gt;=3),"молчит "&amp;(TODAY()-INT(I135))&amp;" дн.",IF(OR(C135="Перезвонить",C135="Созвон"),"укажи дату","")),IF(INT(E135)&lt;TODAY(),"просрочено",IF(INT(E135)=TODAY(),"сегодня",IF(INT(E135)=TODAY()+1,"завтра",TEXT(E135,"dd.mm"))))))</f>
        <v/>
      </c>
      <c r="G135" s="52" t="n"/>
      <c r="H135" s="36" t="inlineStr">
        <is>
          <t>79184903812</t>
        </is>
      </c>
      <c r="I135" s="53" t="n"/>
      <c r="J135" s="38">
        <f>IFERROR(MATCH(C135,'Справка'!$A$12:$A$21,0),99)</f>
        <v/>
      </c>
      <c r="K135" s="39">
        <f>HYPERLINK("https://wa.me/"&amp;H135&amp;"?text="&amp;ENCODEURL(T135),"✉ Написать")</f>
        <v/>
      </c>
      <c r="L135" s="39">
        <f>HYPERLINK("https://wa.me/"&amp;H135,"Открыть чат")</f>
        <v/>
      </c>
      <c r="M135" s="38" t="inlineStr">
        <is>
          <t>Геленджик</t>
        </is>
      </c>
      <c r="N135" s="38" t="n"/>
      <c r="O135" s="38" t="n"/>
      <c r="P135" s="38" t="n"/>
      <c r="Q135" s="38" t="inlineStr">
        <is>
          <t>без сайта, похоже на магазин</t>
        </is>
      </c>
      <c r="R135" s="38" t="n">
        <v>1</v>
      </c>
      <c r="S135" s="38" t="inlineStr">
        <is>
          <t>Краснодарский край</t>
        </is>
      </c>
      <c r="T135" s="38" t="inlineStr">
        <is>
          <t>Здравствуйте! Смотрел в 2ГИС, кто делает кровлю в Геленджике, и нашёл «Экспастрой». Сайта в карточке нет.
Готов за вечер собрать сайт для «Экспастрой» и показать вам. Денег вперёд не беру. Собрать?</t>
        </is>
      </c>
      <c r="U135" s="38">
        <f>B135&amp;IF(D135&lt;&gt;""," · "&amp;D135,"")&amp;IF(F135&lt;&gt;"",CHAR(10)&amp;F135,"")</f>
        <v/>
      </c>
      <c r="V135" s="38">
        <f>IF(OR(F135="просрочено",F135="сегодня",F135="укажи дату",LEFT(F135,6)="молчит"),1,0)</f>
        <v/>
      </c>
    </row>
    <row r="136" ht="24" customHeight="1">
      <c r="A136" s="38" t="n">
        <v>135</v>
      </c>
      <c r="B136" s="32" t="inlineStr">
        <is>
          <t>Новые технологии полимеров</t>
        </is>
      </c>
      <c r="C136" s="49" t="inlineStr">
        <is>
          <t>Очередь</t>
        </is>
      </c>
      <c r="D136" s="49" t="n"/>
      <c r="E136" s="50" t="n"/>
      <c r="F136" s="51">
        <f>IF(OR(C136="",C136="Очередь",C136="Клиент",C136="Отказ",C136="Не писать"),"",IF(E136="",IF(AND(C136="Отправлено",I136&lt;&gt;"",TODAY()-INT(I136)&gt;=3),"молчит "&amp;(TODAY()-INT(I136))&amp;" дн.",IF(OR(C136="Перезвонить",C136="Созвон"),"укажи дату","")),IF(INT(E136)&lt;TODAY(),"просрочено",IF(INT(E136)=TODAY(),"сегодня",IF(INT(E136)=TODAY()+1,"завтра",TEXT(E136,"dd.mm"))))))</f>
        <v/>
      </c>
      <c r="G136" s="52" t="n"/>
      <c r="H136" s="36" t="inlineStr">
        <is>
          <t>79136783561</t>
        </is>
      </c>
      <c r="I136" s="53" t="n"/>
      <c r="J136" s="38">
        <f>IFERROR(MATCH(C136,'Справка'!$A$12:$A$21,0),99)</f>
        <v/>
      </c>
      <c r="K136" s="39">
        <f>HYPERLINK("https://wa.me/"&amp;H136&amp;"?text="&amp;ENCODEURL(T136),"✉ Написать")</f>
        <v/>
      </c>
      <c r="L136" s="39">
        <f>HYPERLINK("https://wa.me/"&amp;H136,"Открыть чат")</f>
        <v/>
      </c>
      <c r="M136" s="38" t="inlineStr">
        <is>
          <t>Новороссийск</t>
        </is>
      </c>
      <c r="N136" s="38" t="n"/>
      <c r="O136" s="38" t="n"/>
      <c r="P136" s="38" t="n"/>
      <c r="Q136" s="38" t="inlineStr">
        <is>
          <t>без сайта, похоже на магазин</t>
        </is>
      </c>
      <c r="R136" s="38" t="n">
        <v>1</v>
      </c>
      <c r="S136" s="38" t="inlineStr">
        <is>
          <t>Краснодарский край</t>
        </is>
      </c>
      <c r="T136" s="38" t="inlineStr">
        <is>
          <t>Здравствуйте! Нашёл вас в 2ГИС среди кровельных компаний в Новороссийске, а сайта в карточке не нашёл.
Могу собрать сайт под «Новые технологии полимеров» за вечер и показать. Не понравится — ничего не должны. Сделать?</t>
        </is>
      </c>
      <c r="U136" s="38">
        <f>B136&amp;IF(D136&lt;&gt;""," · "&amp;D136,"")&amp;IF(F136&lt;&gt;"",CHAR(10)&amp;F136,"")</f>
        <v/>
      </c>
      <c r="V136" s="38">
        <f>IF(OR(F136="просрочено",F136="сегодня",F136="укажи дату",LEFT(F136,6)="молчит"),1,0)</f>
        <v/>
      </c>
    </row>
    <row r="137" ht="24" customHeight="1">
      <c r="A137" s="38" t="n">
        <v>136</v>
      </c>
      <c r="B137" s="32" t="inlineStr">
        <is>
          <t>Bend</t>
        </is>
      </c>
      <c r="C137" s="49" t="inlineStr">
        <is>
          <t>Очередь</t>
        </is>
      </c>
      <c r="D137" s="49" t="n"/>
      <c r="E137" s="50" t="n"/>
      <c r="F137" s="51">
        <f>IF(OR(C137="",C137="Очередь",C137="Клиент",C137="Отказ",C137="Не писать"),"",IF(E137="",IF(AND(C137="Отправлено",I137&lt;&gt;"",TODAY()-INT(I137)&gt;=3),"молчит "&amp;(TODAY()-INT(I137))&amp;" дн.",IF(OR(C137="Перезвонить",C137="Созвон"),"укажи дату","")),IF(INT(E137)&lt;TODAY(),"просрочено",IF(INT(E137)=TODAY(),"сегодня",IF(INT(E137)=TODAY()+1,"завтра",TEXT(E137,"dd.mm"))))))</f>
        <v/>
      </c>
      <c r="G137" s="52" t="n"/>
      <c r="H137" s="36" t="inlineStr">
        <is>
          <t>79182756527</t>
        </is>
      </c>
      <c r="I137" s="53" t="n"/>
      <c r="J137" s="38">
        <f>IFERROR(MATCH(C137,'Справка'!$A$12:$A$21,0),99)</f>
        <v/>
      </c>
      <c r="K137" s="39">
        <f>HYPERLINK("https://wa.me/"&amp;H137&amp;"?text="&amp;ENCODEURL(T137),"✉ Написать")</f>
        <v/>
      </c>
      <c r="L137" s="39">
        <f>HYPERLINK("https://wa.me/"&amp;H137,"Открыть чат")</f>
        <v/>
      </c>
      <c r="M137" s="38" t="inlineStr">
        <is>
          <t>ст-ца Раевская</t>
        </is>
      </c>
      <c r="N137" s="38" t="n"/>
      <c r="O137" s="38" t="n"/>
      <c r="P137" s="38" t="n"/>
      <c r="Q137" s="38" t="inlineStr">
        <is>
          <t>без сайта, похоже на магазин</t>
        </is>
      </c>
      <c r="R137" s="38" t="n">
        <v>1</v>
      </c>
      <c r="S137" s="38" t="inlineStr">
        <is>
          <t>Краснодарский край</t>
        </is>
      </c>
      <c r="T137" s="38" t="inlineStr">
        <is>
          <t>Здравствуйте! Искал в 2ГИС кровельные компании в Раевской и наткнулся на вас. Сайта в карточке не увидел.
Могу за вечер собрать для «Bend» сайт и показать. Платить не нужно, пока не понравится. Собрать?</t>
        </is>
      </c>
      <c r="U137" s="38">
        <f>B137&amp;IF(D137&lt;&gt;""," · "&amp;D137,"")&amp;IF(F137&lt;&gt;"",CHAR(10)&amp;F137,"")</f>
        <v/>
      </c>
      <c r="V137" s="38">
        <f>IF(OR(F137="просрочено",F137="сегодня",F137="укажи дату",LEFT(F137,6)="молчит"),1,0)</f>
        <v/>
      </c>
    </row>
    <row r="138" ht="24" customHeight="1">
      <c r="A138" s="38" t="n">
        <v>137</v>
      </c>
      <c r="B138" s="32" t="inlineStr">
        <is>
          <t>Юг Монтаж 2009</t>
        </is>
      </c>
      <c r="C138" s="49" t="inlineStr">
        <is>
          <t>Очередь</t>
        </is>
      </c>
      <c r="D138" s="49" t="n"/>
      <c r="E138" s="50" t="n"/>
      <c r="F138" s="51">
        <f>IF(OR(C138="",C138="Очередь",C138="Клиент",C138="Отказ",C138="Не писать"),"",IF(E138="",IF(AND(C138="Отправлено",I138&lt;&gt;"",TODAY()-INT(I138)&gt;=3),"молчит "&amp;(TODAY()-INT(I138))&amp;" дн.",IF(OR(C138="Перезвонить",C138="Созвон"),"укажи дату","")),IF(INT(E138)&lt;TODAY(),"просрочено",IF(INT(E138)=TODAY(),"сегодня",IF(INT(E138)=TODAY()+1,"завтра",TEXT(E138,"dd.mm"))))))</f>
        <v/>
      </c>
      <c r="G138" s="52" t="n"/>
      <c r="H138" s="36" t="inlineStr">
        <is>
          <t>79283303284</t>
        </is>
      </c>
      <c r="I138" s="53" t="n"/>
      <c r="J138" s="38">
        <f>IFERROR(MATCH(C138,'Справка'!$A$12:$A$21,0),99)</f>
        <v/>
      </c>
      <c r="K138" s="39">
        <f>HYPERLINK("https://wa.me/"&amp;H138&amp;"?text="&amp;ENCODEURL(T138),"✉ Написать")</f>
        <v/>
      </c>
      <c r="L138" s="39">
        <f>HYPERLINK("https://wa.me/"&amp;H138,"Открыть чат")</f>
        <v/>
      </c>
      <c r="M138" s="38" t="inlineStr">
        <is>
          <t>Анапа</t>
        </is>
      </c>
      <c r="N138" s="38" t="n"/>
      <c r="O138" s="38" t="n"/>
      <c r="P138" s="38" t="n"/>
      <c r="Q138" s="38" t="inlineStr">
        <is>
          <t>без сайта, похоже на магазин</t>
        </is>
      </c>
      <c r="R138" s="38" t="n">
        <v>1</v>
      </c>
      <c r="S138" s="38" t="inlineStr">
        <is>
          <t>Краснодарский край</t>
        </is>
      </c>
      <c r="T138" s="38" t="inlineStr">
        <is>
          <t>Здравствуйте! Смотрел в 2ГИС, кто делает кровлю в Анапе, и нашёл «Юг Монтаж 2009». Сайта в карточке нет.
Готов за вечер собрать сайт для «Юг Монтаж 2009» и показать вам. Денег вперёд не беру. Собрать?</t>
        </is>
      </c>
      <c r="U138" s="38">
        <f>B138&amp;IF(D138&lt;&gt;""," · "&amp;D138,"")&amp;IF(F138&lt;&gt;"",CHAR(10)&amp;F138,"")</f>
        <v/>
      </c>
      <c r="V138" s="38">
        <f>IF(OR(F138="просрочено",F138="сегодня",F138="укажи дату",LEFT(F138,6)="молчит"),1,0)</f>
        <v/>
      </c>
    </row>
    <row r="139" ht="24" customHeight="1">
      <c r="A139" s="38" t="n">
        <v>138</v>
      </c>
      <c r="B139" s="32" t="inlineStr">
        <is>
          <t>Магазин кровельных материалов</t>
        </is>
      </c>
      <c r="C139" s="49" t="inlineStr">
        <is>
          <t>Очередь</t>
        </is>
      </c>
      <c r="D139" s="49" t="n"/>
      <c r="E139" s="50" t="n"/>
      <c r="F139" s="51">
        <f>IF(OR(C139="",C139="Очередь",C139="Клиент",C139="Отказ",C139="Не писать"),"",IF(E139="",IF(AND(C139="Отправлено",I139&lt;&gt;"",TODAY()-INT(I139)&gt;=3),"молчит "&amp;(TODAY()-INT(I139))&amp;" дн.",IF(OR(C139="Перезвонить",C139="Созвон"),"укажи дату","")),IF(INT(E139)&lt;TODAY(),"просрочено",IF(INT(E139)=TODAY(),"сегодня",IF(INT(E139)=TODAY()+1,"завтра",TEXT(E139,"dd.mm"))))))</f>
        <v/>
      </c>
      <c r="G139" s="52" t="n"/>
      <c r="H139" s="36" t="inlineStr">
        <is>
          <t>79183943129</t>
        </is>
      </c>
      <c r="I139" s="53" t="n"/>
      <c r="J139" s="38">
        <f>IFERROR(MATCH(C139,'Справка'!$A$12:$A$21,0),99)</f>
        <v/>
      </c>
      <c r="K139" s="39">
        <f>HYPERLINK("https://wa.me/"&amp;H139&amp;"?text="&amp;ENCODEURL(T139),"✉ Написать")</f>
        <v/>
      </c>
      <c r="L139" s="39">
        <f>HYPERLINK("https://wa.me/"&amp;H139,"Открыть чат")</f>
        <v/>
      </c>
      <c r="M139" s="38" t="inlineStr">
        <is>
          <t>Анапа</t>
        </is>
      </c>
      <c r="N139" s="38" t="n"/>
      <c r="O139" s="38" t="n"/>
      <c r="P139" s="38" t="n"/>
      <c r="Q139" s="38" t="inlineStr">
        <is>
          <t>без сайта, похоже на магазин</t>
        </is>
      </c>
      <c r="R139" s="38" t="n">
        <v>1</v>
      </c>
      <c r="S139" s="38" t="inlineStr">
        <is>
          <t>Краснодарский край</t>
        </is>
      </c>
      <c r="T139" s="38" t="inlineStr">
        <is>
          <t>Здравствуйте! Нашёл вас в 2ГИС среди кровельных компаний в Анапе, а сайта в карточке не нашёл.
Могу собрать сайт под «Магазин кровельных материалов» за вечер и показать. Не понравится — ничего не должны. Сделать?</t>
        </is>
      </c>
      <c r="U139" s="38">
        <f>B139&amp;IF(D139&lt;&gt;""," · "&amp;D139,"")&amp;IF(F139&lt;&gt;"",CHAR(10)&amp;F139,"")</f>
        <v/>
      </c>
      <c r="V139" s="38">
        <f>IF(OR(F139="просрочено",F139="сегодня",F139="укажи дату",LEFT(F139,6)="молчит"),1,0)</f>
        <v/>
      </c>
    </row>
    <row r="140" ht="24" customHeight="1">
      <c r="A140" s="38" t="n">
        <v>139</v>
      </c>
      <c r="B140" s="32" t="inlineStr">
        <is>
          <t>Профиль</t>
        </is>
      </c>
      <c r="C140" s="49" t="inlineStr">
        <is>
          <t>Очередь</t>
        </is>
      </c>
      <c r="D140" s="49" t="n"/>
      <c r="E140" s="50" t="n"/>
      <c r="F140" s="51">
        <f>IF(OR(C140="",C140="Очередь",C140="Клиент",C140="Отказ",C140="Не писать"),"",IF(E140="",IF(AND(C140="Отправлено",I140&lt;&gt;"",TODAY()-INT(I140)&gt;=3),"молчит "&amp;(TODAY()-INT(I140))&amp;" дн.",IF(OR(C140="Перезвонить",C140="Созвон"),"укажи дату","")),IF(INT(E140)&lt;TODAY(),"просрочено",IF(INT(E140)=TODAY(),"сегодня",IF(INT(E140)=TODAY()+1,"завтра",TEXT(E140,"dd.mm"))))))</f>
        <v/>
      </c>
      <c r="G140" s="52" t="n"/>
      <c r="H140" s="36" t="inlineStr">
        <is>
          <t>79282587667</t>
        </is>
      </c>
      <c r="I140" s="53" t="n"/>
      <c r="J140" s="38">
        <f>IFERROR(MATCH(C140,'Справка'!$A$12:$A$21,0),99)</f>
        <v/>
      </c>
      <c r="K140" s="39">
        <f>HYPERLINK("https://wa.me/"&amp;H140&amp;"?text="&amp;ENCODEURL(T140),"✉ Написать")</f>
        <v/>
      </c>
      <c r="L140" s="39">
        <f>HYPERLINK("https://wa.me/"&amp;H140,"Открыть чат")</f>
        <v/>
      </c>
      <c r="M140" s="38" t="inlineStr">
        <is>
          <t>Усть-Лабинск</t>
        </is>
      </c>
      <c r="N140" s="38" t="n"/>
      <c r="O140" s="38" t="n"/>
      <c r="P140" s="38" t="n"/>
      <c r="Q140" s="38" t="inlineStr">
        <is>
          <t>без сайта, похоже на магазин</t>
        </is>
      </c>
      <c r="R140" s="38" t="n">
        <v>1</v>
      </c>
      <c r="S140" s="38" t="inlineStr">
        <is>
          <t>Краснодарский край</t>
        </is>
      </c>
      <c r="T140" s="38" t="inlineStr">
        <is>
          <t>Здравствуйте! Искал в 2ГИС кровельные компании в Усть-Лабинске и наткнулся на вас. Сайта в карточке не увидел.
Могу за вечер собрать для «Профиль» сайт и показать. Платить не нужно, пока не понравится. Собрать?</t>
        </is>
      </c>
      <c r="U140" s="38">
        <f>B140&amp;IF(D140&lt;&gt;""," · "&amp;D140,"")&amp;IF(F140&lt;&gt;"",CHAR(10)&amp;F140,"")</f>
        <v/>
      </c>
      <c r="V140" s="38">
        <f>IF(OR(F140="просрочено",F140="сегодня",F140="укажи дату",LEFT(F140,6)="молчит"),1,0)</f>
        <v/>
      </c>
    </row>
    <row r="141" ht="24" customHeight="1">
      <c r="A141" s="38" t="n">
        <v>140</v>
      </c>
      <c r="B141" s="32" t="inlineStr">
        <is>
          <t>Портал</t>
        </is>
      </c>
      <c r="C141" s="49" t="inlineStr">
        <is>
          <t>Очередь</t>
        </is>
      </c>
      <c r="D141" s="49" t="n"/>
      <c r="E141" s="50" t="n"/>
      <c r="F141" s="51">
        <f>IF(OR(C141="",C141="Очередь",C141="Клиент",C141="Отказ",C141="Не писать"),"",IF(E141="",IF(AND(C141="Отправлено",I141&lt;&gt;"",TODAY()-INT(I141)&gt;=3),"молчит "&amp;(TODAY()-INT(I141))&amp;" дн.",IF(OR(C141="Перезвонить",C141="Созвон"),"укажи дату","")),IF(INT(E141)&lt;TODAY(),"просрочено",IF(INT(E141)=TODAY(),"сегодня",IF(INT(E141)=TODAY()+1,"завтра",TEXT(E141,"dd.mm"))))))</f>
        <v/>
      </c>
      <c r="G141" s="52" t="n"/>
      <c r="H141" s="36" t="inlineStr">
        <is>
          <t>79654644659</t>
        </is>
      </c>
      <c r="I141" s="53" t="n"/>
      <c r="J141" s="38">
        <f>IFERROR(MATCH(C141,'Справка'!$A$12:$A$21,0),99)</f>
        <v/>
      </c>
      <c r="K141" s="39">
        <f>HYPERLINK("https://wa.me/"&amp;H141&amp;"?text="&amp;ENCODEURL(T141),"✉ Написать")</f>
        <v/>
      </c>
      <c r="L141" s="39">
        <f>HYPERLINK("https://wa.me/"&amp;H141,"Открыть чат")</f>
        <v/>
      </c>
      <c r="M141" s="38" t="inlineStr">
        <is>
          <t>Новороссийск</t>
        </is>
      </c>
      <c r="N141" s="38" t="n">
        <v>5</v>
      </c>
      <c r="O141" s="38" t="n">
        <v>3</v>
      </c>
      <c r="P141" s="38" t="inlineStr">
        <is>
          <t>portalfirma.ru</t>
        </is>
      </c>
      <c r="Q141" s="38" t="inlineStr">
        <is>
          <t>есть сайт: сначала впиши в текст, что на нём не так, похоже на магазин</t>
        </is>
      </c>
      <c r="R141" s="38" t="n">
        <v>1</v>
      </c>
      <c r="S141" s="38" t="inlineStr">
        <is>
          <t>Краснодарский край</t>
        </is>
      </c>
      <c r="T141" s="38" t="inlineStr">
        <is>
          <t>Здравствуйте! Смотрел в 2ГИС кровельные компании в Новороссийске, зашёл на ваш сайт с телефона: [ЧТО НЕ ТАК НА САЙТЕ].
Могу за вечер собрать вариант под «Портал», где это исправлено, и показать. Собрать?</t>
        </is>
      </c>
      <c r="U141" s="38">
        <f>B141&amp;IF(D141&lt;&gt;""," · "&amp;D141,"")&amp;IF(F141&lt;&gt;"",CHAR(10)&amp;F141,"")</f>
        <v/>
      </c>
      <c r="V141" s="38">
        <f>IF(OR(F141="просрочено",F141="сегодня",F141="укажи дату",LEFT(F141,6)="молчит"),1,0)</f>
        <v/>
      </c>
    </row>
    <row r="142" ht="24" customHeight="1">
      <c r="A142" s="38" t="n">
        <v>141</v>
      </c>
      <c r="B142" s="32" t="inlineStr">
        <is>
          <t>Стандарт</t>
        </is>
      </c>
      <c r="C142" s="49" t="inlineStr">
        <is>
          <t>Очередь</t>
        </is>
      </c>
      <c r="D142" s="49" t="n"/>
      <c r="E142" s="50" t="n"/>
      <c r="F142" s="51">
        <f>IF(OR(C142="",C142="Очередь",C142="Клиент",C142="Отказ",C142="Не писать"),"",IF(E142="",IF(AND(C142="Отправлено",I142&lt;&gt;"",TODAY()-INT(I142)&gt;=3),"молчит "&amp;(TODAY()-INT(I142))&amp;" дн.",IF(OR(C142="Перезвонить",C142="Созвон"),"укажи дату","")),IF(INT(E142)&lt;TODAY(),"просрочено",IF(INT(E142)=TODAY(),"сегодня",IF(INT(E142)=TODAY()+1,"завтра",TEXT(E142,"dd.mm"))))))</f>
        <v/>
      </c>
      <c r="G142" s="52" t="n"/>
      <c r="H142" s="36" t="inlineStr">
        <is>
          <t>79189999943</t>
        </is>
      </c>
      <c r="I142" s="53" t="n"/>
      <c r="J142" s="38">
        <f>IFERROR(MATCH(C142,'Справка'!$A$12:$A$21,0),99)</f>
        <v/>
      </c>
      <c r="K142" s="39">
        <f>HYPERLINK("https://wa.me/"&amp;H142&amp;"?text="&amp;ENCODEURL(T142),"✉ Написать")</f>
        <v/>
      </c>
      <c r="L142" s="39">
        <f>HYPERLINK("https://wa.me/"&amp;H142,"Открыть чат")</f>
        <v/>
      </c>
      <c r="M142" s="38" t="inlineStr">
        <is>
          <t>Анапа</t>
        </is>
      </c>
      <c r="N142" s="38" t="n"/>
      <c r="O142" s="38" t="n"/>
      <c r="P142" s="38" t="inlineStr">
        <is>
          <t>standart-krovlya.ru</t>
        </is>
      </c>
      <c r="Q142" s="38" t="inlineStr">
        <is>
          <t>есть сайт: сначала впиши в текст, что на нём не так, похоже на магазин</t>
        </is>
      </c>
      <c r="R142" s="38" t="n">
        <v>1</v>
      </c>
      <c r="S142" s="38" t="inlineStr">
        <is>
          <t>Краснодарский край</t>
        </is>
      </c>
      <c r="T142" s="38" t="inlineStr">
        <is>
          <t>Здравствуйте! Смотрел в 2ГИС кровельные компании в Анапе, зашёл на ваш сайт с телефона: [ЧТО НЕ ТАК НА САЙТЕ].
Могу за вечер собрать вариант под «Стандарт», где это исправлено, и показать. Собрать?</t>
        </is>
      </c>
      <c r="U142" s="38">
        <f>B142&amp;IF(D142&lt;&gt;""," · "&amp;D142,"")&amp;IF(F142&lt;&gt;"",CHAR(10)&amp;F142,"")</f>
        <v/>
      </c>
      <c r="V142" s="38">
        <f>IF(OR(F142="просрочено",F142="сегодня",F142="укажи дату",LEFT(F142,6)="молчит"),1,0)</f>
        <v/>
      </c>
    </row>
    <row r="143" ht="24" customHeight="1">
      <c r="A143" s="38" t="n">
        <v>142</v>
      </c>
      <c r="B143" s="32" t="inlineStr">
        <is>
          <t>Портал</t>
        </is>
      </c>
      <c r="C143" s="49" t="inlineStr">
        <is>
          <t>Очередь</t>
        </is>
      </c>
      <c r="D143" s="49" t="n"/>
      <c r="E143" s="50" t="n"/>
      <c r="F143" s="51">
        <f>IF(OR(C143="",C143="Очередь",C143="Клиент",C143="Отказ",C143="Не писать"),"",IF(E143="",IF(AND(C143="Отправлено",I143&lt;&gt;"",TODAY()-INT(I143)&gt;=3),"молчит "&amp;(TODAY()-INT(I143))&amp;" дн.",IF(OR(C143="Перезвонить",C143="Созвон"),"укажи дату","")),IF(INT(E143)&lt;TODAY(),"просрочено",IF(INT(E143)=TODAY(),"сегодня",IF(INT(E143)=TODAY()+1,"завтра",TEXT(E143,"dd.mm"))))))</f>
        <v/>
      </c>
      <c r="G143" s="52" t="n"/>
      <c r="H143" s="36" t="inlineStr">
        <is>
          <t>79186644409</t>
        </is>
      </c>
      <c r="I143" s="53" t="n"/>
      <c r="J143" s="38">
        <f>IFERROR(MATCH(C143,'Справка'!$A$12:$A$21,0),99)</f>
        <v/>
      </c>
      <c r="K143" s="39">
        <f>HYPERLINK("https://wa.me/"&amp;H143&amp;"?text="&amp;ENCODEURL(T143),"✉ Написать")</f>
        <v/>
      </c>
      <c r="L143" s="39">
        <f>HYPERLINK("https://wa.me/"&amp;H143,"Открыть чат")</f>
        <v/>
      </c>
      <c r="M143" s="38" t="inlineStr">
        <is>
          <t>Абинск</t>
        </is>
      </c>
      <c r="N143" s="38" t="n"/>
      <c r="O143" s="38" t="n"/>
      <c r="P143" s="38" t="inlineStr">
        <is>
          <t>portalfirma.ru</t>
        </is>
      </c>
      <c r="Q143" s="38" t="inlineStr">
        <is>
          <t>есть сайт: сначала впиши в текст, что на нём не так, WhatsApp не подтверждён, похоже на магазин</t>
        </is>
      </c>
      <c r="R143" s="38" t="n">
        <v>1</v>
      </c>
      <c r="S143" s="38" t="inlineStr">
        <is>
          <t>Краснодарский край</t>
        </is>
      </c>
      <c r="T143" s="38" t="inlineStr">
        <is>
          <t>Здравствуйте! Смотрел в 2ГИС кровельные компании в Абинске, зашёл на ваш сайт с телефона: [ЧТО НЕ ТАК НА САЙТЕ].
Могу за вечер собрать вариант под «Портал», где это исправлено, и показать. Собрать?</t>
        </is>
      </c>
      <c r="U143" s="38">
        <f>B143&amp;IF(D143&lt;&gt;""," · "&amp;D143,"")&amp;IF(F143&lt;&gt;"",CHAR(10)&amp;F143,"")</f>
        <v/>
      </c>
      <c r="V143" s="38">
        <f>IF(OR(F143="просрочено",F143="сегодня",F143="укажи дату",LEFT(F143,6)="молчит"),1,0)</f>
        <v/>
      </c>
    </row>
    <row r="144" ht="24" customHeight="1">
      <c r="A144" s="38" t="n">
        <v>143</v>
      </c>
      <c r="B144" s="32" t="inlineStr">
        <is>
          <t>Metal_stroi34</t>
        </is>
      </c>
      <c r="C144" s="49" t="inlineStr">
        <is>
          <t>Очередь</t>
        </is>
      </c>
      <c r="D144" s="49" t="n"/>
      <c r="E144" s="50" t="n"/>
      <c r="F144" s="51">
        <f>IF(OR(C144="",C144="Очередь",C144="Клиент",C144="Отказ",C144="Не писать"),"",IF(E144="",IF(AND(C144="Отправлено",I144&lt;&gt;"",TODAY()-INT(I144)&gt;=3),"молчит "&amp;(TODAY()-INT(I144))&amp;" дн.",IF(OR(C144="Перезвонить",C144="Созвон"),"укажи дату","")),IF(INT(E144)&lt;TODAY(),"просрочено",IF(INT(E144)=TODAY(),"сегодня",IF(INT(E144)=TODAY()+1,"завтра",TEXT(E144,"dd.mm"))))))</f>
        <v/>
      </c>
      <c r="G144" s="52" t="n"/>
      <c r="H144" s="36" t="inlineStr">
        <is>
          <t>79275032921</t>
        </is>
      </c>
      <c r="I144" s="53" t="n"/>
      <c r="J144" s="38">
        <f>IFERROR(MATCH(C144,'Справка'!$A$12:$A$21,0),99)</f>
        <v/>
      </c>
      <c r="K144" s="39">
        <f>HYPERLINK("https://wa.me/"&amp;H144&amp;"?text="&amp;ENCODEURL(T144),"✉ Написать")</f>
        <v/>
      </c>
      <c r="L144" s="39">
        <f>HYPERLINK("https://wa.me/"&amp;H144,"Открыть чат")</f>
        <v/>
      </c>
      <c r="M144" s="38" t="inlineStr">
        <is>
          <t>Михайловка</t>
        </is>
      </c>
      <c r="N144" s="38" t="n">
        <v>5</v>
      </c>
      <c r="O144" s="38" t="n">
        <v>2</v>
      </c>
      <c r="P144" s="38" t="n"/>
      <c r="Q144" s="38" t="inlineStr">
        <is>
          <t>без сайта</t>
        </is>
      </c>
      <c r="R144" s="38" t="n">
        <v>2</v>
      </c>
      <c r="S144" s="38" t="inlineStr">
        <is>
          <t>Волгоградская область</t>
        </is>
      </c>
      <c r="T144" s="38" t="inlineStr">
        <is>
          <t>Здравствуйте! Искал в 2ГИС кровельные компании в Михайловке и наткнулся на вас. Сайта в карточке не увидел.
Могу за вечер собрать для «Metal_stroi34» сайт и показать. Платить не нужно, пока не понравится. Собрать?</t>
        </is>
      </c>
      <c r="U144" s="38">
        <f>B144&amp;IF(D144&lt;&gt;""," · "&amp;D144,"")&amp;IF(F144&lt;&gt;"",CHAR(10)&amp;F144,"")</f>
        <v/>
      </c>
      <c r="V144" s="38">
        <f>IF(OR(F144="просрочено",F144="сегодня",F144="укажи дату",LEFT(F144,6)="молчит"),1,0)</f>
        <v/>
      </c>
    </row>
    <row r="145" ht="24" customHeight="1">
      <c r="A145" s="38" t="n">
        <v>144</v>
      </c>
      <c r="B145" s="32" t="inlineStr">
        <is>
          <t>РеалКлимат</t>
        </is>
      </c>
      <c r="C145" s="49" t="inlineStr">
        <is>
          <t>Очередь</t>
        </is>
      </c>
      <c r="D145" s="49" t="n"/>
      <c r="E145" s="50" t="n"/>
      <c r="F145" s="51">
        <f>IF(OR(C145="",C145="Очередь",C145="Клиент",C145="Отказ",C145="Не писать"),"",IF(E145="",IF(AND(C145="Отправлено",I145&lt;&gt;"",TODAY()-INT(I145)&gt;=3),"молчит "&amp;(TODAY()-INT(I145))&amp;" дн.",IF(OR(C145="Перезвонить",C145="Созвон"),"укажи дату","")),IF(INT(E145)&lt;TODAY(),"просрочено",IF(INT(E145)=TODAY(),"сегодня",IF(INT(E145)=TODAY()+1,"завтра",TEXT(E145,"dd.mm"))))))</f>
        <v/>
      </c>
      <c r="G145" s="52" t="n"/>
      <c r="H145" s="36" t="inlineStr">
        <is>
          <t>79173385855</t>
        </is>
      </c>
      <c r="I145" s="53" t="n"/>
      <c r="J145" s="38">
        <f>IFERROR(MATCH(C145,'Справка'!$A$12:$A$21,0),99)</f>
        <v/>
      </c>
      <c r="K145" s="39">
        <f>HYPERLINK("https://wa.me/"&amp;H145&amp;"?text="&amp;ENCODEURL(T145),"✉ Написать")</f>
        <v/>
      </c>
      <c r="L145" s="39">
        <f>HYPERLINK("https://wa.me/"&amp;H145,"Открыть чат")</f>
        <v/>
      </c>
      <c r="M145" s="38" t="inlineStr">
        <is>
          <t>Волгоград</t>
        </is>
      </c>
      <c r="N145" s="38" t="n">
        <v>5</v>
      </c>
      <c r="O145" s="38" t="n">
        <v>1</v>
      </c>
      <c r="P145" s="38" t="n"/>
      <c r="Q145" s="38" t="inlineStr">
        <is>
          <t>без сайта</t>
        </is>
      </c>
      <c r="R145" s="38" t="n">
        <v>2</v>
      </c>
      <c r="S145" s="38" t="inlineStr">
        <is>
          <t>Волгоградская область</t>
        </is>
      </c>
      <c r="T145" s="38" t="inlineStr">
        <is>
          <t>Здравствуйте! Смотрел в 2ГИС, кто делает кровлю в Волгограде, и нашёл «РеалКлимат». Сайта в карточке нет.
Готов за вечер собрать сайт для «РеалКлимат» и показать вам. Денег вперёд не беру. Собрать?</t>
        </is>
      </c>
      <c r="U145" s="38">
        <f>B145&amp;IF(D145&lt;&gt;""," · "&amp;D145,"")&amp;IF(F145&lt;&gt;"",CHAR(10)&amp;F145,"")</f>
        <v/>
      </c>
      <c r="V145" s="38">
        <f>IF(OR(F145="просрочено",F145="сегодня",F145="укажи дату",LEFT(F145,6)="молчит"),1,0)</f>
        <v/>
      </c>
    </row>
    <row r="146" ht="24" customHeight="1">
      <c r="A146" s="38" t="n">
        <v>145</v>
      </c>
      <c r="B146" s="32" t="inlineStr">
        <is>
          <t>Глория</t>
        </is>
      </c>
      <c r="C146" s="49" t="inlineStr">
        <is>
          <t>Очередь</t>
        </is>
      </c>
      <c r="D146" s="49" t="n"/>
      <c r="E146" s="50" t="n"/>
      <c r="F146" s="51">
        <f>IF(OR(C146="",C146="Очередь",C146="Клиент",C146="Отказ",C146="Не писать"),"",IF(E146="",IF(AND(C146="Отправлено",I146&lt;&gt;"",TODAY()-INT(I146)&gt;=3),"молчит "&amp;(TODAY()-INT(I146))&amp;" дн.",IF(OR(C146="Перезвонить",C146="Созвон"),"укажи дату","")),IF(INT(E146)&lt;TODAY(),"просрочено",IF(INT(E146)=TODAY(),"сегодня",IF(INT(E146)=TODAY()+1,"завтра",TEXT(E146,"dd.mm"))))))</f>
        <v/>
      </c>
      <c r="G146" s="52" t="n"/>
      <c r="H146" s="36" t="inlineStr">
        <is>
          <t>79053386282</t>
        </is>
      </c>
      <c r="I146" s="53" t="n"/>
      <c r="J146" s="38">
        <f>IFERROR(MATCH(C146,'Справка'!$A$12:$A$21,0),99)</f>
        <v/>
      </c>
      <c r="K146" s="39">
        <f>HYPERLINK("https://wa.me/"&amp;H146&amp;"?text="&amp;ENCODEURL(T146),"✉ Написать")</f>
        <v/>
      </c>
      <c r="L146" s="39">
        <f>HYPERLINK("https://wa.me/"&amp;H146,"Открыть чат")</f>
        <v/>
      </c>
      <c r="M146" s="38" t="inlineStr">
        <is>
          <t>Волгоград</t>
        </is>
      </c>
      <c r="N146" s="38" t="n"/>
      <c r="O146" s="38" t="n"/>
      <c r="P146" s="38" t="n"/>
      <c r="Q146" s="38" t="inlineStr">
        <is>
          <t>без сайта</t>
        </is>
      </c>
      <c r="R146" s="38" t="n">
        <v>2</v>
      </c>
      <c r="S146" s="38" t="inlineStr">
        <is>
          <t>Волгоградская область</t>
        </is>
      </c>
      <c r="T146" s="38" t="inlineStr">
        <is>
          <t>Здравствуйте! Нашёл вас в 2ГИС среди кровельных компаний в Волгограде, а сайта в карточке не нашёл.
Могу собрать сайт под «Глория» за вечер и показать. Не понравится — ничего не должны. Сделать?</t>
        </is>
      </c>
      <c r="U146" s="38">
        <f>B146&amp;IF(D146&lt;&gt;""," · "&amp;D146,"")&amp;IF(F146&lt;&gt;"",CHAR(10)&amp;F146,"")</f>
        <v/>
      </c>
      <c r="V146" s="38">
        <f>IF(OR(F146="просрочено",F146="сегодня",F146="укажи дату",LEFT(F146,6)="молчит"),1,0)</f>
        <v/>
      </c>
    </row>
    <row r="147" ht="24" customHeight="1">
      <c r="A147" s="38" t="n">
        <v>146</v>
      </c>
      <c r="B147" s="32" t="inlineStr">
        <is>
          <t>Новая Линия-Волгоград</t>
        </is>
      </c>
      <c r="C147" s="49" t="inlineStr">
        <is>
          <t>Очередь</t>
        </is>
      </c>
      <c r="D147" s="49" t="n"/>
      <c r="E147" s="50" t="n"/>
      <c r="F147" s="51">
        <f>IF(OR(C147="",C147="Очередь",C147="Клиент",C147="Отказ",C147="Не писать"),"",IF(E147="",IF(AND(C147="Отправлено",I147&lt;&gt;"",TODAY()-INT(I147)&gt;=3),"молчит "&amp;(TODAY()-INT(I147))&amp;" дн.",IF(OR(C147="Перезвонить",C147="Созвон"),"укажи дату","")),IF(INT(E147)&lt;TODAY(),"просрочено",IF(INT(E147)=TODAY(),"сегодня",IF(INT(E147)=TODAY()+1,"завтра",TEXT(E147,"dd.mm"))))))</f>
        <v/>
      </c>
      <c r="G147" s="52" t="n"/>
      <c r="H147" s="36" t="inlineStr">
        <is>
          <t>79608824105</t>
        </is>
      </c>
      <c r="I147" s="53" t="n"/>
      <c r="J147" s="38">
        <f>IFERROR(MATCH(C147,'Справка'!$A$12:$A$21,0),99)</f>
        <v/>
      </c>
      <c r="K147" s="39">
        <f>HYPERLINK("https://wa.me/"&amp;H147&amp;"?text="&amp;ENCODEURL(T147),"✉ Написать")</f>
        <v/>
      </c>
      <c r="L147" s="39">
        <f>HYPERLINK("https://wa.me/"&amp;H147,"Открыть чат")</f>
        <v/>
      </c>
      <c r="M147" s="38" t="inlineStr">
        <is>
          <t>Волгоград</t>
        </is>
      </c>
      <c r="N147" s="38" t="n"/>
      <c r="O147" s="38" t="n"/>
      <c r="P147" s="38" t="n"/>
      <c r="Q147" s="38" t="inlineStr">
        <is>
          <t>без сайта</t>
        </is>
      </c>
      <c r="R147" s="38" t="n">
        <v>2</v>
      </c>
      <c r="S147" s="38" t="inlineStr">
        <is>
          <t>Волгоградская область</t>
        </is>
      </c>
      <c r="T147" s="38" t="inlineStr">
        <is>
          <t>Здравствуйте! Искал в 2ГИС кровельные компании в Волгограде и наткнулся на вас. Сайта в карточке не увидел.
Могу за вечер собрать для «Новая Линия-Волгоград» сайт и показать. Платить не нужно, пока не понравится. Собрать?</t>
        </is>
      </c>
      <c r="U147" s="38">
        <f>B147&amp;IF(D147&lt;&gt;""," · "&amp;D147,"")&amp;IF(F147&lt;&gt;"",CHAR(10)&amp;F147,"")</f>
        <v/>
      </c>
      <c r="V147" s="38">
        <f>IF(OR(F147="просрочено",F147="сегодня",F147="укажи дату",LEFT(F147,6)="молчит"),1,0)</f>
        <v/>
      </c>
    </row>
    <row r="148" ht="24" customHeight="1">
      <c r="A148" s="38" t="n">
        <v>147</v>
      </c>
      <c r="B148" s="32" t="inlineStr">
        <is>
          <t>Апофеоз</t>
        </is>
      </c>
      <c r="C148" s="49" t="inlineStr">
        <is>
          <t>Очередь</t>
        </is>
      </c>
      <c r="D148" s="49" t="n"/>
      <c r="E148" s="50" t="n"/>
      <c r="F148" s="51">
        <f>IF(OR(C148="",C148="Очередь",C148="Клиент",C148="Отказ",C148="Не писать"),"",IF(E148="",IF(AND(C148="Отправлено",I148&lt;&gt;"",TODAY()-INT(I148)&gt;=3),"молчит "&amp;(TODAY()-INT(I148))&amp;" дн.",IF(OR(C148="Перезвонить",C148="Созвон"),"укажи дату","")),IF(INT(E148)&lt;TODAY(),"просрочено",IF(INT(E148)=TODAY(),"сегодня",IF(INT(E148)=TODAY()+1,"завтра",TEXT(E148,"dd.mm"))))))</f>
        <v/>
      </c>
      <c r="G148" s="52" t="n"/>
      <c r="H148" s="36" t="inlineStr">
        <is>
          <t>79377361313</t>
        </is>
      </c>
      <c r="I148" s="53" t="n"/>
      <c r="J148" s="38">
        <f>IFERROR(MATCH(C148,'Справка'!$A$12:$A$21,0),99)</f>
        <v/>
      </c>
      <c r="K148" s="39">
        <f>HYPERLINK("https://wa.me/"&amp;H148&amp;"?text="&amp;ENCODEURL(T148),"✉ Написать")</f>
        <v/>
      </c>
      <c r="L148" s="39">
        <f>HYPERLINK("https://wa.me/"&amp;H148,"Открыть чат")</f>
        <v/>
      </c>
      <c r="M148" s="38" t="inlineStr">
        <is>
          <t>Волгоград</t>
        </is>
      </c>
      <c r="N148" s="38" t="n"/>
      <c r="O148" s="38" t="n"/>
      <c r="P148" s="38" t="n"/>
      <c r="Q148" s="38" t="inlineStr">
        <is>
          <t>без сайта</t>
        </is>
      </c>
      <c r="R148" s="38" t="n">
        <v>2</v>
      </c>
      <c r="S148" s="38" t="inlineStr">
        <is>
          <t>Волгоградская область</t>
        </is>
      </c>
      <c r="T148" s="38" t="inlineStr">
        <is>
          <t>Здравствуйте! Смотрел в 2ГИС, кто делает кровлю в Волгограде, и нашёл «Апофеоз». Сайта в карточке нет.
Готов за вечер собрать сайт для «Апофеоз» и показать вам. Денег вперёд не беру. Собрать?</t>
        </is>
      </c>
      <c r="U148" s="38">
        <f>B148&amp;IF(D148&lt;&gt;""," · "&amp;D148,"")&amp;IF(F148&lt;&gt;"",CHAR(10)&amp;F148,"")</f>
        <v/>
      </c>
      <c r="V148" s="38">
        <f>IF(OR(F148="просрочено",F148="сегодня",F148="укажи дату",LEFT(F148,6)="молчит"),1,0)</f>
        <v/>
      </c>
    </row>
    <row r="149" ht="24" customHeight="1">
      <c r="A149" s="38" t="n">
        <v>148</v>
      </c>
      <c r="B149" s="32" t="inlineStr">
        <is>
          <t>Инпрострой</t>
        </is>
      </c>
      <c r="C149" s="49" t="inlineStr">
        <is>
          <t>Очередь</t>
        </is>
      </c>
      <c r="D149" s="49" t="n"/>
      <c r="E149" s="50" t="n"/>
      <c r="F149" s="51">
        <f>IF(OR(C149="",C149="Очередь",C149="Клиент",C149="Отказ",C149="Не писать"),"",IF(E149="",IF(AND(C149="Отправлено",I149&lt;&gt;"",TODAY()-INT(I149)&gt;=3),"молчит "&amp;(TODAY()-INT(I149))&amp;" дн.",IF(OR(C149="Перезвонить",C149="Созвон"),"укажи дату","")),IF(INT(E149)&lt;TODAY(),"просрочено",IF(INT(E149)=TODAY(),"сегодня",IF(INT(E149)=TODAY()+1,"завтра",TEXT(E149,"dd.mm"))))))</f>
        <v/>
      </c>
      <c r="G149" s="52" t="n"/>
      <c r="H149" s="36" t="inlineStr">
        <is>
          <t>79616647441</t>
        </is>
      </c>
      <c r="I149" s="53" t="n"/>
      <c r="J149" s="38">
        <f>IFERROR(MATCH(C149,'Справка'!$A$12:$A$21,0),99)</f>
        <v/>
      </c>
      <c r="K149" s="39">
        <f>HYPERLINK("https://wa.me/"&amp;H149&amp;"?text="&amp;ENCODEURL(T149),"✉ Написать")</f>
        <v/>
      </c>
      <c r="L149" s="39">
        <f>HYPERLINK("https://wa.me/"&amp;H149,"Открыть чат")</f>
        <v/>
      </c>
      <c r="M149" s="38" t="inlineStr">
        <is>
          <t>Волгоград</t>
        </is>
      </c>
      <c r="N149" s="38" t="n"/>
      <c r="O149" s="38" t="n"/>
      <c r="P149" s="38" t="n"/>
      <c r="Q149" s="38" t="inlineStr">
        <is>
          <t>без сайта</t>
        </is>
      </c>
      <c r="R149" s="38" t="n">
        <v>2</v>
      </c>
      <c r="S149" s="38" t="inlineStr">
        <is>
          <t>Волгоградская область</t>
        </is>
      </c>
      <c r="T149" s="38" t="inlineStr">
        <is>
          <t>Здравствуйте! Нашёл вас в 2ГИС среди кровельных компаний в Волгограде, а сайта в карточке не нашёл.
Могу собрать сайт под «Инпрострой» за вечер и показать. Не понравится — ничего не должны. Сделать?</t>
        </is>
      </c>
      <c r="U149" s="38">
        <f>B149&amp;IF(D149&lt;&gt;""," · "&amp;D149,"")&amp;IF(F149&lt;&gt;"",CHAR(10)&amp;F149,"")</f>
        <v/>
      </c>
      <c r="V149" s="38">
        <f>IF(OR(F149="просрочено",F149="сегодня",F149="укажи дату",LEFT(F149,6)="молчит"),1,0)</f>
        <v/>
      </c>
    </row>
    <row r="150" ht="24" customHeight="1">
      <c r="A150" s="38" t="n">
        <v>149</v>
      </c>
      <c r="B150" s="32" t="inlineStr">
        <is>
          <t>Строительная бригада</t>
        </is>
      </c>
      <c r="C150" s="49" t="inlineStr">
        <is>
          <t>Очередь</t>
        </is>
      </c>
      <c r="D150" s="49" t="n"/>
      <c r="E150" s="50" t="n"/>
      <c r="F150" s="51">
        <f>IF(OR(C150="",C150="Очередь",C150="Клиент",C150="Отказ",C150="Не писать"),"",IF(E150="",IF(AND(C150="Отправлено",I150&lt;&gt;"",TODAY()-INT(I150)&gt;=3),"молчит "&amp;(TODAY()-INT(I150))&amp;" дн.",IF(OR(C150="Перезвонить",C150="Созвон"),"укажи дату","")),IF(INT(E150)&lt;TODAY(),"просрочено",IF(INT(E150)=TODAY(),"сегодня",IF(INT(E150)=TODAY()+1,"завтра",TEXT(E150,"dd.mm"))))))</f>
        <v/>
      </c>
      <c r="G150" s="52" t="n"/>
      <c r="H150" s="36" t="inlineStr">
        <is>
          <t>79033763370</t>
        </is>
      </c>
      <c r="I150" s="53" t="n"/>
      <c r="J150" s="38">
        <f>IFERROR(MATCH(C150,'Справка'!$A$12:$A$21,0),99)</f>
        <v/>
      </c>
      <c r="K150" s="39">
        <f>HYPERLINK("https://wa.me/"&amp;H150&amp;"?text="&amp;ENCODEURL(T150),"✉ Написать")</f>
        <v/>
      </c>
      <c r="L150" s="39">
        <f>HYPERLINK("https://wa.me/"&amp;H150,"Открыть чат")</f>
        <v/>
      </c>
      <c r="M150" s="38" t="inlineStr">
        <is>
          <t>Волгоград</t>
        </is>
      </c>
      <c r="N150" s="38" t="n"/>
      <c r="O150" s="38" t="n"/>
      <c r="P150" s="38" t="n"/>
      <c r="Q150" s="38" t="inlineStr">
        <is>
          <t>без сайта</t>
        </is>
      </c>
      <c r="R150" s="38" t="n">
        <v>2</v>
      </c>
      <c r="S150" s="38" t="inlineStr">
        <is>
          <t>Волгоградская область</t>
        </is>
      </c>
      <c r="T150" s="38" t="inlineStr">
        <is>
          <t>Здравствуйте! Искал в 2ГИС кровельные компании в Волгограде и наткнулся на вас. Сайта в карточке не увидел.
Могу за вечер собрать для «Строительная бригада» сайт и показать. Платить не нужно, пока не понравится. Собрать?</t>
        </is>
      </c>
      <c r="U150" s="38">
        <f>B150&amp;IF(D150&lt;&gt;""," · "&amp;D150,"")&amp;IF(F150&lt;&gt;"",CHAR(10)&amp;F150,"")</f>
        <v/>
      </c>
      <c r="V150" s="38">
        <f>IF(OR(F150="просрочено",F150="сегодня",F150="укажи дату",LEFT(F150,6)="молчит"),1,0)</f>
        <v/>
      </c>
    </row>
    <row r="151" ht="24" customHeight="1">
      <c r="A151" s="38" t="n">
        <v>150</v>
      </c>
      <c r="B151" s="32" t="inlineStr">
        <is>
          <t>Компания по металлообработке</t>
        </is>
      </c>
      <c r="C151" s="49" t="inlineStr">
        <is>
          <t>Очередь</t>
        </is>
      </c>
      <c r="D151" s="49" t="n"/>
      <c r="E151" s="50" t="n"/>
      <c r="F151" s="51">
        <f>IF(OR(C151="",C151="Очередь",C151="Клиент",C151="Отказ",C151="Не писать"),"",IF(E151="",IF(AND(C151="Отправлено",I151&lt;&gt;"",TODAY()-INT(I151)&gt;=3),"молчит "&amp;(TODAY()-INT(I151))&amp;" дн.",IF(OR(C151="Перезвонить",C151="Созвон"),"укажи дату","")),IF(INT(E151)&lt;TODAY(),"просрочено",IF(INT(E151)=TODAY(),"сегодня",IF(INT(E151)=TODAY()+1,"завтра",TEXT(E151,"dd.mm"))))))</f>
        <v/>
      </c>
      <c r="G151" s="52" t="n"/>
      <c r="H151" s="36" t="inlineStr">
        <is>
          <t>79195453663</t>
        </is>
      </c>
      <c r="I151" s="53" t="n"/>
      <c r="J151" s="38">
        <f>IFERROR(MATCH(C151,'Справка'!$A$12:$A$21,0),99)</f>
        <v/>
      </c>
      <c r="K151" s="39">
        <f>HYPERLINK("https://wa.me/"&amp;H151&amp;"?text="&amp;ENCODEURL(T151),"✉ Написать")</f>
        <v/>
      </c>
      <c r="L151" s="39">
        <f>HYPERLINK("https://wa.me/"&amp;H151,"Открыть чат")</f>
        <v/>
      </c>
      <c r="M151" s="38" t="inlineStr">
        <is>
          <t>Краснослободск</t>
        </is>
      </c>
      <c r="N151" s="38" t="n"/>
      <c r="O151" s="38" t="n"/>
      <c r="P151" s="38" t="n"/>
      <c r="Q151" s="38" t="inlineStr">
        <is>
          <t>без сайта</t>
        </is>
      </c>
      <c r="R151" s="38" t="n">
        <v>2</v>
      </c>
      <c r="S151" s="38" t="inlineStr">
        <is>
          <t>Волгоградская область</t>
        </is>
      </c>
      <c r="T151" s="38" t="inlineStr">
        <is>
          <t>Здравствуйте! Смотрел в 2ГИС, кто делает кровлю в Краснослободске, и нашёл «Компания по металлообработке». Сайта в карточке нет.
Готов за вечер собрать сайт для «Компания по металлообработке» и показать вам. Денег вперёд не беру. Собрать?</t>
        </is>
      </c>
      <c r="U151" s="38">
        <f>B151&amp;IF(D151&lt;&gt;""," · "&amp;D151,"")&amp;IF(F151&lt;&gt;"",CHAR(10)&amp;F151,"")</f>
        <v/>
      </c>
      <c r="V151" s="38">
        <f>IF(OR(F151="просрочено",F151="сегодня",F151="укажи дату",LEFT(F151,6)="молчит"),1,0)</f>
        <v/>
      </c>
    </row>
    <row r="152" ht="24" customHeight="1">
      <c r="A152" s="38" t="n">
        <v>151</v>
      </c>
      <c r="B152" s="32" t="inlineStr">
        <is>
          <t>Строительная компания</t>
        </is>
      </c>
      <c r="C152" s="49" t="inlineStr">
        <is>
          <t>Очередь</t>
        </is>
      </c>
      <c r="D152" s="49" t="n"/>
      <c r="E152" s="50" t="n"/>
      <c r="F152" s="51">
        <f>IF(OR(C152="",C152="Очередь",C152="Клиент",C152="Отказ",C152="Не писать"),"",IF(E152="",IF(AND(C152="Отправлено",I152&lt;&gt;"",TODAY()-INT(I152)&gt;=3),"молчит "&amp;(TODAY()-INT(I152))&amp;" дн.",IF(OR(C152="Перезвонить",C152="Созвон"),"укажи дату","")),IF(INT(E152)&lt;TODAY(),"просрочено",IF(INT(E152)=TODAY(),"сегодня",IF(INT(E152)=TODAY()+1,"завтра",TEXT(E152,"dd.mm"))))))</f>
        <v/>
      </c>
      <c r="G152" s="52" t="n"/>
      <c r="H152" s="36" t="inlineStr">
        <is>
          <t>79377400044</t>
        </is>
      </c>
      <c r="I152" s="53" t="n"/>
      <c r="J152" s="38">
        <f>IFERROR(MATCH(C152,'Справка'!$A$12:$A$21,0),99)</f>
        <v/>
      </c>
      <c r="K152" s="39">
        <f>HYPERLINK("https://wa.me/"&amp;H152&amp;"?text="&amp;ENCODEURL(T152),"✉ Написать")</f>
        <v/>
      </c>
      <c r="L152" s="39">
        <f>HYPERLINK("https://wa.me/"&amp;H152,"Открыть чат")</f>
        <v/>
      </c>
      <c r="M152" s="38" t="inlineStr">
        <is>
          <t>Волгоград</t>
        </is>
      </c>
      <c r="N152" s="38" t="n"/>
      <c r="O152" s="38" t="n"/>
      <c r="P152" s="38" t="n"/>
      <c r="Q152" s="38" t="inlineStr">
        <is>
          <t>без сайта</t>
        </is>
      </c>
      <c r="R152" s="38" t="n">
        <v>2</v>
      </c>
      <c r="S152" s="38" t="inlineStr">
        <is>
          <t>Волгоградская область</t>
        </is>
      </c>
      <c r="T152" s="38" t="inlineStr">
        <is>
          <t>Здравствуйте! Нашёл вас в 2ГИС среди кровельных компаний в Волгограде, а сайта в карточке не нашёл.
Могу собрать сайт под «Строительная компания» за вечер и показать. Не понравится — ничего не должны. Сделать?</t>
        </is>
      </c>
      <c r="U152" s="38">
        <f>B152&amp;IF(D152&lt;&gt;""," · "&amp;D152,"")&amp;IF(F152&lt;&gt;"",CHAR(10)&amp;F152,"")</f>
        <v/>
      </c>
      <c r="V152" s="38">
        <f>IF(OR(F152="просрочено",F152="сегодня",F152="укажи дату",LEFT(F152,6)="молчит"),1,0)</f>
        <v/>
      </c>
    </row>
    <row r="153" ht="24" customHeight="1">
      <c r="A153" s="38" t="n">
        <v>152</v>
      </c>
      <c r="B153" s="32" t="inlineStr">
        <is>
          <t>Эльба</t>
        </is>
      </c>
      <c r="C153" s="49" t="inlineStr">
        <is>
          <t>Очередь</t>
        </is>
      </c>
      <c r="D153" s="49" t="n"/>
      <c r="E153" s="50" t="n"/>
      <c r="F153" s="51">
        <f>IF(OR(C153="",C153="Очередь",C153="Клиент",C153="Отказ",C153="Не писать"),"",IF(E153="",IF(AND(C153="Отправлено",I153&lt;&gt;"",TODAY()-INT(I153)&gt;=3),"молчит "&amp;(TODAY()-INT(I153))&amp;" дн.",IF(OR(C153="Перезвонить",C153="Созвон"),"укажи дату","")),IF(INT(E153)&lt;TODAY(),"просрочено",IF(INT(E153)=TODAY(),"сегодня",IF(INT(E153)=TODAY()+1,"завтра",TEXT(E153,"dd.mm"))))))</f>
        <v/>
      </c>
      <c r="G153" s="52" t="n"/>
      <c r="H153" s="36" t="inlineStr">
        <is>
          <t>79054339782</t>
        </is>
      </c>
      <c r="I153" s="53" t="n"/>
      <c r="J153" s="38">
        <f>IFERROR(MATCH(C153,'Справка'!$A$12:$A$21,0),99)</f>
        <v/>
      </c>
      <c r="K153" s="39">
        <f>HYPERLINK("https://wa.me/"&amp;H153&amp;"?text="&amp;ENCODEURL(T153),"✉ Написать")</f>
        <v/>
      </c>
      <c r="L153" s="39">
        <f>HYPERLINK("https://wa.me/"&amp;H153,"Открыть чат")</f>
        <v/>
      </c>
      <c r="M153" s="38" t="inlineStr">
        <is>
          <t>Волжский</t>
        </is>
      </c>
      <c r="N153" s="38" t="n"/>
      <c r="O153" s="38" t="n"/>
      <c r="P153" s="38" t="n"/>
      <c r="Q153" s="38" t="inlineStr">
        <is>
          <t>без сайта</t>
        </is>
      </c>
      <c r="R153" s="38" t="n">
        <v>2</v>
      </c>
      <c r="S153" s="38" t="inlineStr">
        <is>
          <t>Волгоградская область</t>
        </is>
      </c>
      <c r="T153" s="38" t="inlineStr">
        <is>
          <t>Здравствуйте! Искал в 2ГИС кровельные компании в Волжском и наткнулся на вас. Сайта в карточке не увидел.
Могу за вечер собрать для «Эльба» сайт и показать. Платить не нужно, пока не понравится. Собрать?</t>
        </is>
      </c>
      <c r="U153" s="38">
        <f>B153&amp;IF(D153&lt;&gt;""," · "&amp;D153,"")&amp;IF(F153&lt;&gt;"",CHAR(10)&amp;F153,"")</f>
        <v/>
      </c>
      <c r="V153" s="38">
        <f>IF(OR(F153="просрочено",F153="сегодня",F153="укажи дату",LEFT(F153,6)="молчит"),1,0)</f>
        <v/>
      </c>
    </row>
    <row r="154" ht="24" customHeight="1">
      <c r="A154" s="38" t="n">
        <v>153</v>
      </c>
      <c r="B154" s="32" t="inlineStr">
        <is>
          <t>Строй-инвест</t>
        </is>
      </c>
      <c r="C154" s="49" t="inlineStr">
        <is>
          <t>Очередь</t>
        </is>
      </c>
      <c r="D154" s="49" t="n"/>
      <c r="E154" s="50" t="n"/>
      <c r="F154" s="51">
        <f>IF(OR(C154="",C154="Очередь",C154="Клиент",C154="Отказ",C154="Не писать"),"",IF(E154="",IF(AND(C154="Отправлено",I154&lt;&gt;"",TODAY()-INT(I154)&gt;=3),"молчит "&amp;(TODAY()-INT(I154))&amp;" дн.",IF(OR(C154="Перезвонить",C154="Созвон"),"укажи дату","")),IF(INT(E154)&lt;TODAY(),"просрочено",IF(INT(E154)=TODAY(),"сегодня",IF(INT(E154)=TODAY()+1,"завтра",TEXT(E154,"dd.mm"))))))</f>
        <v/>
      </c>
      <c r="G154" s="52" t="n"/>
      <c r="H154" s="36" t="inlineStr">
        <is>
          <t>79377119909</t>
        </is>
      </c>
      <c r="I154" s="53" t="n"/>
      <c r="J154" s="38">
        <f>IFERROR(MATCH(C154,'Справка'!$A$12:$A$21,0),99)</f>
        <v/>
      </c>
      <c r="K154" s="39">
        <f>HYPERLINK("https://wa.me/"&amp;H154&amp;"?text="&amp;ENCODEURL(T154),"✉ Написать")</f>
        <v/>
      </c>
      <c r="L154" s="39">
        <f>HYPERLINK("https://wa.me/"&amp;H154,"Открыть чат")</f>
        <v/>
      </c>
      <c r="M154" s="38" t="inlineStr">
        <is>
          <t>Волгоград</t>
        </is>
      </c>
      <c r="N154" s="38" t="n"/>
      <c r="O154" s="38" t="n"/>
      <c r="P154" s="38" t="n"/>
      <c r="Q154" s="38" t="inlineStr">
        <is>
          <t>без сайта</t>
        </is>
      </c>
      <c r="R154" s="38" t="n">
        <v>2</v>
      </c>
      <c r="S154" s="38" t="inlineStr">
        <is>
          <t>Волгоградская область</t>
        </is>
      </c>
      <c r="T154" s="38" t="inlineStr">
        <is>
          <t>Здравствуйте! Смотрел в 2ГИС, кто делает кровлю в Волгограде, и нашёл «Строй-инвест». Сайта в карточке нет.
Готов за вечер собрать сайт для «Строй-инвест» и показать вам. Денег вперёд не беру. Собрать?</t>
        </is>
      </c>
      <c r="U154" s="38">
        <f>B154&amp;IF(D154&lt;&gt;""," · "&amp;D154,"")&amp;IF(F154&lt;&gt;"",CHAR(10)&amp;F154,"")</f>
        <v/>
      </c>
      <c r="V154" s="38">
        <f>IF(OR(F154="просрочено",F154="сегодня",F154="укажи дату",LEFT(F154,6)="молчит"),1,0)</f>
        <v/>
      </c>
    </row>
    <row r="155" ht="24" customHeight="1">
      <c r="A155" s="38" t="n">
        <v>154</v>
      </c>
      <c r="B155" s="32" t="inlineStr">
        <is>
          <t>Премиум</t>
        </is>
      </c>
      <c r="C155" s="49" t="inlineStr">
        <is>
          <t>Очередь</t>
        </is>
      </c>
      <c r="D155" s="49" t="n"/>
      <c r="E155" s="50" t="n"/>
      <c r="F155" s="51">
        <f>IF(OR(C155="",C155="Очередь",C155="Клиент",C155="Отказ",C155="Не писать"),"",IF(E155="",IF(AND(C155="Отправлено",I155&lt;&gt;"",TODAY()-INT(I155)&gt;=3),"молчит "&amp;(TODAY()-INT(I155))&amp;" дн.",IF(OR(C155="Перезвонить",C155="Созвон"),"укажи дату","")),IF(INT(E155)&lt;TODAY(),"просрочено",IF(INT(E155)=TODAY(),"сегодня",IF(INT(E155)=TODAY()+1,"завтра",TEXT(E155,"dd.mm"))))))</f>
        <v/>
      </c>
      <c r="G155" s="52" t="n"/>
      <c r="H155" s="36" t="inlineStr">
        <is>
          <t>79047727358</t>
        </is>
      </c>
      <c r="I155" s="53" t="n"/>
      <c r="J155" s="38">
        <f>IFERROR(MATCH(C155,'Справка'!$A$12:$A$21,0),99)</f>
        <v/>
      </c>
      <c r="K155" s="39">
        <f>HYPERLINK("https://wa.me/"&amp;H155&amp;"?text="&amp;ENCODEURL(T155),"✉ Написать")</f>
        <v/>
      </c>
      <c r="L155" s="39">
        <f>HYPERLINK("https://wa.me/"&amp;H155,"Открыть чат")</f>
        <v/>
      </c>
      <c r="M155" s="38" t="inlineStr">
        <is>
          <t>рп. Средняя Ахтуба</t>
        </is>
      </c>
      <c r="N155" s="38" t="n"/>
      <c r="O155" s="38" t="n"/>
      <c r="P155" s="38" t="n"/>
      <c r="Q155" s="38" t="inlineStr">
        <is>
          <t>без сайта</t>
        </is>
      </c>
      <c r="R155" s="38" t="n">
        <v>2</v>
      </c>
      <c r="S155" s="38" t="inlineStr">
        <is>
          <t>Волгоградская область</t>
        </is>
      </c>
      <c r="T155" s="38" t="inlineStr">
        <is>
          <t>Здравствуйте! Нашёл вас в 2ГИС среди кровельных компаний в Волгоградской области, а сайта в карточке не нашёл.
Могу собрать сайт под «Премиум» за вечер и показать. Не понравится — ничего не должны. Сделать?</t>
        </is>
      </c>
      <c r="U155" s="38">
        <f>B155&amp;IF(D155&lt;&gt;""," · "&amp;D155,"")&amp;IF(F155&lt;&gt;"",CHAR(10)&amp;F155,"")</f>
        <v/>
      </c>
      <c r="V155" s="38">
        <f>IF(OR(F155="просрочено",F155="сегодня",F155="укажи дату",LEFT(F155,6)="молчит"),1,0)</f>
        <v/>
      </c>
    </row>
    <row r="156" ht="24" customHeight="1">
      <c r="A156" s="38" t="n">
        <v>155</v>
      </c>
      <c r="B156" s="32" t="inlineStr">
        <is>
          <t>Компания по кровельным работам</t>
        </is>
      </c>
      <c r="C156" s="49" t="inlineStr">
        <is>
          <t>Очередь</t>
        </is>
      </c>
      <c r="D156" s="49" t="n"/>
      <c r="E156" s="50" t="n"/>
      <c r="F156" s="51">
        <f>IF(OR(C156="",C156="Очередь",C156="Клиент",C156="Отказ",C156="Не писать"),"",IF(E156="",IF(AND(C156="Отправлено",I156&lt;&gt;"",TODAY()-INT(I156)&gt;=3),"молчит "&amp;(TODAY()-INT(I156))&amp;" дн.",IF(OR(C156="Перезвонить",C156="Созвон"),"укажи дату","")),IF(INT(E156)&lt;TODAY(),"просрочено",IF(INT(E156)=TODAY(),"сегодня",IF(INT(E156)=TODAY()+1,"завтра",TEXT(E156,"dd.mm"))))))</f>
        <v/>
      </c>
      <c r="G156" s="52" t="n"/>
      <c r="H156" s="36" t="inlineStr">
        <is>
          <t>79272555653</t>
        </is>
      </c>
      <c r="I156" s="53" t="n"/>
      <c r="J156" s="38">
        <f>IFERROR(MATCH(C156,'Справка'!$A$12:$A$21,0),99)</f>
        <v/>
      </c>
      <c r="K156" s="39">
        <f>HYPERLINK("https://wa.me/"&amp;H156&amp;"?text="&amp;ENCODEURL(T156),"✉ Написать")</f>
        <v/>
      </c>
      <c r="L156" s="39">
        <f>HYPERLINK("https://wa.me/"&amp;H156,"Открыть чат")</f>
        <v/>
      </c>
      <c r="M156" s="38" t="inlineStr">
        <is>
          <t>рп. Светлый Яр</t>
        </is>
      </c>
      <c r="N156" s="38" t="n"/>
      <c r="O156" s="38" t="n"/>
      <c r="P156" s="38" t="n"/>
      <c r="Q156" s="38" t="inlineStr">
        <is>
          <t>без сайта</t>
        </is>
      </c>
      <c r="R156" s="38" t="n">
        <v>2</v>
      </c>
      <c r="S156" s="38" t="inlineStr">
        <is>
          <t>Волгоградская область</t>
        </is>
      </c>
      <c r="T156" s="38" t="inlineStr">
        <is>
          <t>Здравствуйте! Искал в 2ГИС кровельные компании в Волгоградской области и наткнулся на вас. Сайта в карточке не увидел.
Могу за вечер собрать для «Компания по кровельным работам» сайт и показать. Платить не нужно, пока не понравится. Собрать?</t>
        </is>
      </c>
      <c r="U156" s="38">
        <f>B156&amp;IF(D156&lt;&gt;""," · "&amp;D156,"")&amp;IF(F156&lt;&gt;"",CHAR(10)&amp;F156,"")</f>
        <v/>
      </c>
      <c r="V156" s="38">
        <f>IF(OR(F156="просрочено",F156="сегодня",F156="укажи дату",LEFT(F156,6)="молчит"),1,0)</f>
        <v/>
      </c>
    </row>
    <row r="157" ht="24" customHeight="1">
      <c r="A157" s="38" t="n">
        <v>156</v>
      </c>
      <c r="B157" s="32" t="inlineStr">
        <is>
          <t>Four seasons roofing store</t>
        </is>
      </c>
      <c r="C157" s="49" t="inlineStr">
        <is>
          <t>Очередь</t>
        </is>
      </c>
      <c r="D157" s="49" t="n"/>
      <c r="E157" s="50" t="n"/>
      <c r="F157" s="51">
        <f>IF(OR(C157="",C157="Очередь",C157="Клиент",C157="Отказ",C157="Не писать"),"",IF(E157="",IF(AND(C157="Отправлено",I157&lt;&gt;"",TODAY()-INT(I157)&gt;=3),"молчит "&amp;(TODAY()-INT(I157))&amp;" дн.",IF(OR(C157="Перезвонить",C157="Созвон"),"укажи дату","")),IF(INT(E157)&lt;TODAY(),"просрочено",IF(INT(E157)=TODAY(),"сегодня",IF(INT(E157)=TODAY()+1,"завтра",TEXT(E157,"dd.mm"))))))</f>
        <v/>
      </c>
      <c r="G157" s="52" t="n"/>
      <c r="H157" s="36" t="inlineStr">
        <is>
          <t>79601341062</t>
        </is>
      </c>
      <c r="I157" s="53" t="n"/>
      <c r="J157" s="38">
        <f>IFERROR(MATCH(C157,'Справка'!$A$12:$A$21,0),99)</f>
        <v/>
      </c>
      <c r="K157" s="39">
        <f>HYPERLINK("https://wa.me/"&amp;H157&amp;"?text="&amp;ENCODEURL(T157),"✉ Написать")</f>
        <v/>
      </c>
      <c r="L157" s="39">
        <f>HYPERLINK("https://wa.me/"&amp;H157,"Открыть чат")</f>
        <v/>
      </c>
      <c r="M157" s="38" t="inlineStr">
        <is>
          <t>Воронеж</t>
        </is>
      </c>
      <c r="N157" s="38" t="n">
        <v>5</v>
      </c>
      <c r="O157" s="38" t="n">
        <v>8</v>
      </c>
      <c r="P157" s="38" t="n"/>
      <c r="Q157" s="38" t="inlineStr">
        <is>
          <t>без сайта</t>
        </is>
      </c>
      <c r="R157" s="38" t="n">
        <v>2</v>
      </c>
      <c r="S157" s="38" t="inlineStr">
        <is>
          <t>Воронежская область</t>
        </is>
      </c>
      <c r="T157" s="38" t="inlineStr">
        <is>
          <t>Здравствуйте! Смотрел в 2ГИС, кто делает кровлю в Воронеже. У «Four seasons roofing store» хорошие отзывы, но сайта в карточке я не нашёл.
Готов за вечер собрать сайт для «Four seasons roofing store» и показать вам. Денег вперёд не беру. Собрать?</t>
        </is>
      </c>
      <c r="U157" s="38">
        <f>B157&amp;IF(D157&lt;&gt;""," · "&amp;D157,"")&amp;IF(F157&lt;&gt;"",CHAR(10)&amp;F157,"")</f>
        <v/>
      </c>
      <c r="V157" s="38">
        <f>IF(OR(F157="просрочено",F157="сегодня",F157="укажи дату",LEFT(F157,6)="молчит"),1,0)</f>
        <v/>
      </c>
    </row>
    <row r="158" ht="24" customHeight="1">
      <c r="A158" s="38" t="n">
        <v>157</v>
      </c>
      <c r="B158" s="32" t="inlineStr">
        <is>
          <t>Кровстав</t>
        </is>
      </c>
      <c r="C158" s="49" t="inlineStr">
        <is>
          <t>Очередь</t>
        </is>
      </c>
      <c r="D158" s="49" t="n"/>
      <c r="E158" s="50" t="n"/>
      <c r="F158" s="51">
        <f>IF(OR(C158="",C158="Очередь",C158="Клиент",C158="Отказ",C158="Не писать"),"",IF(E158="",IF(AND(C158="Отправлено",I158&lt;&gt;"",TODAY()-INT(I158)&gt;=3),"молчит "&amp;(TODAY()-INT(I158))&amp;" дн.",IF(OR(C158="Перезвонить",C158="Созвон"),"укажи дату","")),IF(INT(E158)&lt;TODAY(),"просрочено",IF(INT(E158)=TODAY(),"сегодня",IF(INT(E158)=TODAY()+1,"завтра",TEXT(E158,"dd.mm"))))))</f>
        <v/>
      </c>
      <c r="G158" s="52" t="n"/>
      <c r="H158" s="36" t="inlineStr">
        <is>
          <t>79529549083</t>
        </is>
      </c>
      <c r="I158" s="53" t="n"/>
      <c r="J158" s="38">
        <f>IFERROR(MATCH(C158,'Справка'!$A$12:$A$21,0),99)</f>
        <v/>
      </c>
      <c r="K158" s="39">
        <f>HYPERLINK("https://wa.me/"&amp;H158&amp;"?text="&amp;ENCODEURL(T158),"✉ Написать")</f>
        <v/>
      </c>
      <c r="L158" s="39">
        <f>HYPERLINK("https://wa.me/"&amp;H158,"Открыть чат")</f>
        <v/>
      </c>
      <c r="M158" s="38" t="inlineStr">
        <is>
          <t>Воронеж</t>
        </is>
      </c>
      <c r="N158" s="38" t="n">
        <v>4.5</v>
      </c>
      <c r="O158" s="38" t="n">
        <v>2</v>
      </c>
      <c r="P158" s="38" t="n"/>
      <c r="Q158" s="38" t="inlineStr">
        <is>
          <t>без сайта</t>
        </is>
      </c>
      <c r="R158" s="38" t="n">
        <v>2</v>
      </c>
      <c r="S158" s="38" t="inlineStr">
        <is>
          <t>Воронежская область</t>
        </is>
      </c>
      <c r="T158" s="38" t="inlineStr">
        <is>
          <t>Здравствуйте! Нашёл вас в 2ГИС среди кровельных компаний в Воронеже, а сайта в карточке не нашёл.
Могу собрать сайт под «Кровстав» за вечер и показать. Не понравится — ничего не должны. Сделать?</t>
        </is>
      </c>
      <c r="U158" s="38">
        <f>B158&amp;IF(D158&lt;&gt;""," · "&amp;D158,"")&amp;IF(F158&lt;&gt;"",CHAR(10)&amp;F158,"")</f>
        <v/>
      </c>
      <c r="V158" s="38">
        <f>IF(OR(F158="просрочено",F158="сегодня",F158="укажи дату",LEFT(F158,6)="молчит"),1,0)</f>
        <v/>
      </c>
    </row>
    <row r="159" ht="24" customHeight="1">
      <c r="A159" s="38" t="n">
        <v>158</v>
      </c>
      <c r="B159" s="32" t="inlineStr">
        <is>
          <t>Деревянное домостроение</t>
        </is>
      </c>
      <c r="C159" s="49" t="inlineStr">
        <is>
          <t>Очередь</t>
        </is>
      </c>
      <c r="D159" s="49" t="n"/>
      <c r="E159" s="50" t="n"/>
      <c r="F159" s="51">
        <f>IF(OR(C159="",C159="Очередь",C159="Клиент",C159="Отказ",C159="Не писать"),"",IF(E159="",IF(AND(C159="Отправлено",I159&lt;&gt;"",TODAY()-INT(I159)&gt;=3),"молчит "&amp;(TODAY()-INT(I159))&amp;" дн.",IF(OR(C159="Перезвонить",C159="Созвон"),"укажи дату","")),IF(INT(E159)&lt;TODAY(),"просрочено",IF(INT(E159)=TODAY(),"сегодня",IF(INT(E159)=TODAY()+1,"завтра",TEXT(E159,"dd.mm"))))))</f>
        <v/>
      </c>
      <c r="G159" s="52" t="n"/>
      <c r="H159" s="36" t="inlineStr">
        <is>
          <t>79304093337</t>
        </is>
      </c>
      <c r="I159" s="53" t="n"/>
      <c r="J159" s="38">
        <f>IFERROR(MATCH(C159,'Справка'!$A$12:$A$21,0),99)</f>
        <v/>
      </c>
      <c r="K159" s="39">
        <f>HYPERLINK("https://wa.me/"&amp;H159&amp;"?text="&amp;ENCODEURL(T159),"✉ Написать")</f>
        <v/>
      </c>
      <c r="L159" s="39">
        <f>HYPERLINK("https://wa.me/"&amp;H159,"Открыть чат")</f>
        <v/>
      </c>
      <c r="M159" s="38" t="inlineStr">
        <is>
          <t>с. Бабяково</t>
        </is>
      </c>
      <c r="N159" s="38" t="n">
        <v>1</v>
      </c>
      <c r="O159" s="38" t="n">
        <v>1</v>
      </c>
      <c r="P159" s="38" t="n"/>
      <c r="Q159" s="38" t="inlineStr">
        <is>
          <t>без сайта</t>
        </is>
      </c>
      <c r="R159" s="38" t="n">
        <v>2</v>
      </c>
      <c r="S159" s="38" t="inlineStr">
        <is>
          <t>Воронежская область</t>
        </is>
      </c>
      <c r="T159" s="38" t="inlineStr">
        <is>
          <t>Здравствуйте! Искал в 2ГИС кровельные компании в Воронежской области и наткнулся на вас. Сайта в карточке не увидел.
Могу за вечер собрать для «Деревянное домостроение» сайт и показать. Платить не нужно, пока не понравится. Собрать?</t>
        </is>
      </c>
      <c r="U159" s="38">
        <f>B159&amp;IF(D159&lt;&gt;""," · "&amp;D159,"")&amp;IF(F159&lt;&gt;"",CHAR(10)&amp;F159,"")</f>
        <v/>
      </c>
      <c r="V159" s="38">
        <f>IF(OR(F159="просрочено",F159="сегодня",F159="укажи дату",LEFT(F159,6)="молчит"),1,0)</f>
        <v/>
      </c>
    </row>
    <row r="160" ht="24" customHeight="1">
      <c r="A160" s="38" t="n">
        <v>159</v>
      </c>
      <c r="B160" s="32" t="inlineStr">
        <is>
          <t>Ефрат</t>
        </is>
      </c>
      <c r="C160" s="49" t="inlineStr">
        <is>
          <t>Очередь</t>
        </is>
      </c>
      <c r="D160" s="49" t="n"/>
      <c r="E160" s="50" t="n"/>
      <c r="F160" s="51">
        <f>IF(OR(C160="",C160="Очередь",C160="Клиент",C160="Отказ",C160="Не писать"),"",IF(E160="",IF(AND(C160="Отправлено",I160&lt;&gt;"",TODAY()-INT(I160)&gt;=3),"молчит "&amp;(TODAY()-INT(I160))&amp;" дн.",IF(OR(C160="Перезвонить",C160="Созвон"),"укажи дату","")),IF(INT(E160)&lt;TODAY(),"просрочено",IF(INT(E160)=TODAY(),"сегодня",IF(INT(E160)=TODAY()+1,"завтра",TEXT(E160,"dd.mm"))))))</f>
        <v/>
      </c>
      <c r="G160" s="52" t="n"/>
      <c r="H160" s="36" t="inlineStr">
        <is>
          <t>79805327291</t>
        </is>
      </c>
      <c r="I160" s="53" t="n"/>
      <c r="J160" s="38">
        <f>IFERROR(MATCH(C160,'Справка'!$A$12:$A$21,0),99)</f>
        <v/>
      </c>
      <c r="K160" s="39">
        <f>HYPERLINK("https://wa.me/"&amp;H160&amp;"?text="&amp;ENCODEURL(T160),"✉ Написать")</f>
        <v/>
      </c>
      <c r="L160" s="39">
        <f>HYPERLINK("https://wa.me/"&amp;H160,"Открыть чат")</f>
        <v/>
      </c>
      <c r="M160" s="38" t="inlineStr">
        <is>
          <t>Воронеж</t>
        </is>
      </c>
      <c r="N160" s="38" t="n"/>
      <c r="O160" s="38" t="n"/>
      <c r="P160" s="38" t="n"/>
      <c r="Q160" s="38" t="inlineStr">
        <is>
          <t>без сайта</t>
        </is>
      </c>
      <c r="R160" s="38" t="n">
        <v>2</v>
      </c>
      <c r="S160" s="38" t="inlineStr">
        <is>
          <t>Воронежская область</t>
        </is>
      </c>
      <c r="T160" s="38" t="inlineStr">
        <is>
          <t>Здравствуйте! Смотрел в 2ГИС, кто делает кровлю в Воронеже, и нашёл «Ефрат». Сайта в карточке нет.
Готов за вечер собрать сайт для «Ефрат» и показать вам. Денег вперёд не беру. Собрать?</t>
        </is>
      </c>
      <c r="U160" s="38">
        <f>B160&amp;IF(D160&lt;&gt;""," · "&amp;D160,"")&amp;IF(F160&lt;&gt;"",CHAR(10)&amp;F160,"")</f>
        <v/>
      </c>
      <c r="V160" s="38">
        <f>IF(OR(F160="просрочено",F160="сегодня",F160="укажи дату",LEFT(F160,6)="молчит"),1,0)</f>
        <v/>
      </c>
    </row>
    <row r="161" ht="24" customHeight="1">
      <c r="A161" s="38" t="n">
        <v>160</v>
      </c>
      <c r="B161" s="32" t="inlineStr">
        <is>
          <t>Альянс</t>
        </is>
      </c>
      <c r="C161" s="49" t="inlineStr">
        <is>
          <t>Очередь</t>
        </is>
      </c>
      <c r="D161" s="49" t="n"/>
      <c r="E161" s="50" t="n"/>
      <c r="F161" s="51">
        <f>IF(OR(C161="",C161="Очередь",C161="Клиент",C161="Отказ",C161="Не писать"),"",IF(E161="",IF(AND(C161="Отправлено",I161&lt;&gt;"",TODAY()-INT(I161)&gt;=3),"молчит "&amp;(TODAY()-INT(I161))&amp;" дн.",IF(OR(C161="Перезвонить",C161="Созвон"),"укажи дату","")),IF(INT(E161)&lt;TODAY(),"просрочено",IF(INT(E161)=TODAY(),"сегодня",IF(INT(E161)=TODAY()+1,"завтра",TEXT(E161,"dd.mm"))))))</f>
        <v/>
      </c>
      <c r="G161" s="52" t="n"/>
      <c r="H161" s="36" t="inlineStr">
        <is>
          <t>79202295792</t>
        </is>
      </c>
      <c r="I161" s="53" t="n"/>
      <c r="J161" s="38">
        <f>IFERROR(MATCH(C161,'Справка'!$A$12:$A$21,0),99)</f>
        <v/>
      </c>
      <c r="K161" s="39">
        <f>HYPERLINK("https://wa.me/"&amp;H161&amp;"?text="&amp;ENCODEURL(T161),"✉ Написать")</f>
        <v/>
      </c>
      <c r="L161" s="39">
        <f>HYPERLINK("https://wa.me/"&amp;H161,"Открыть чат")</f>
        <v/>
      </c>
      <c r="M161" s="38" t="inlineStr">
        <is>
          <t>Воронеж</t>
        </is>
      </c>
      <c r="N161" s="38" t="n"/>
      <c r="O161" s="38" t="n"/>
      <c r="P161" s="38" t="n"/>
      <c r="Q161" s="38" t="inlineStr">
        <is>
          <t>без сайта</t>
        </is>
      </c>
      <c r="R161" s="38" t="n">
        <v>2</v>
      </c>
      <c r="S161" s="38" t="inlineStr">
        <is>
          <t>Воронежская область</t>
        </is>
      </c>
      <c r="T161" s="38" t="inlineStr">
        <is>
          <t>Здравствуйте! Нашёл вас в 2ГИС среди кровельных компаний в Воронеже, а сайта в карточке не нашёл.
Могу собрать сайт под «Альянс» за вечер и показать. Не понравится — ничего не должны. Сделать?</t>
        </is>
      </c>
      <c r="U161" s="38">
        <f>B161&amp;IF(D161&lt;&gt;""," · "&amp;D161,"")&amp;IF(F161&lt;&gt;"",CHAR(10)&amp;F161,"")</f>
        <v/>
      </c>
      <c r="V161" s="38">
        <f>IF(OR(F161="просрочено",F161="сегодня",F161="укажи дату",LEFT(F161,6)="молчит"),1,0)</f>
        <v/>
      </c>
    </row>
    <row r="162" ht="24" customHeight="1">
      <c r="A162" s="38" t="n">
        <v>161</v>
      </c>
      <c r="B162" s="32" t="inlineStr">
        <is>
          <t>Кровельный центр</t>
        </is>
      </c>
      <c r="C162" s="49" t="inlineStr">
        <is>
          <t>Очередь</t>
        </is>
      </c>
      <c r="D162" s="49" t="n"/>
      <c r="E162" s="50" t="n"/>
      <c r="F162" s="51">
        <f>IF(OR(C162="",C162="Очередь",C162="Клиент",C162="Отказ",C162="Не писать"),"",IF(E162="",IF(AND(C162="Отправлено",I162&lt;&gt;"",TODAY()-INT(I162)&gt;=3),"молчит "&amp;(TODAY()-INT(I162))&amp;" дн.",IF(OR(C162="Перезвонить",C162="Созвон"),"укажи дату","")),IF(INT(E162)&lt;TODAY(),"просрочено",IF(INT(E162)=TODAY(),"сегодня",IF(INT(E162)=TODAY()+1,"завтра",TEXT(E162,"dd.mm"))))))</f>
        <v/>
      </c>
      <c r="G162" s="52" t="n"/>
      <c r="H162" s="36" t="inlineStr">
        <is>
          <t>79204444999</t>
        </is>
      </c>
      <c r="I162" s="53" t="n"/>
      <c r="J162" s="38">
        <f>IFERROR(MATCH(C162,'Справка'!$A$12:$A$21,0),99)</f>
        <v/>
      </c>
      <c r="K162" s="39">
        <f>HYPERLINK("https://wa.me/"&amp;H162&amp;"?text="&amp;ENCODEURL(T162),"✉ Написать")</f>
        <v/>
      </c>
      <c r="L162" s="39">
        <f>HYPERLINK("https://wa.me/"&amp;H162,"Открыть чат")</f>
        <v/>
      </c>
      <c r="M162" s="38" t="inlineStr">
        <is>
          <t>Воронеж</t>
        </is>
      </c>
      <c r="N162" s="38" t="n"/>
      <c r="O162" s="38" t="n"/>
      <c r="P162" s="38" t="n"/>
      <c r="Q162" s="38" t="inlineStr">
        <is>
          <t>без сайта</t>
        </is>
      </c>
      <c r="R162" s="38" t="n">
        <v>2</v>
      </c>
      <c r="S162" s="38" t="inlineStr">
        <is>
          <t>Воронежская область</t>
        </is>
      </c>
      <c r="T162" s="38" t="inlineStr">
        <is>
          <t>Здравствуйте! Искал в 2ГИС кровельные компании в Воронеже и наткнулся на вас. Сайта в карточке не увидел.
Могу за вечер собрать для «Кровельный центр» сайт и показать. Платить не нужно, пока не понравится. Собрать?</t>
        </is>
      </c>
      <c r="U162" s="38">
        <f>B162&amp;IF(D162&lt;&gt;""," · "&amp;D162,"")&amp;IF(F162&lt;&gt;"",CHAR(10)&amp;F162,"")</f>
        <v/>
      </c>
      <c r="V162" s="38">
        <f>IF(OR(F162="просрочено",F162="сегодня",F162="укажи дату",LEFT(F162,6)="молчит"),1,0)</f>
        <v/>
      </c>
    </row>
    <row r="163" ht="24" customHeight="1">
      <c r="A163" s="38" t="n">
        <v>162</v>
      </c>
      <c r="B163" s="32" t="inlineStr">
        <is>
          <t>Ресурс Комплект</t>
        </is>
      </c>
      <c r="C163" s="49" t="inlineStr">
        <is>
          <t>Очередь</t>
        </is>
      </c>
      <c r="D163" s="49" t="n"/>
      <c r="E163" s="50" t="n"/>
      <c r="F163" s="51">
        <f>IF(OR(C163="",C163="Очередь",C163="Клиент",C163="Отказ",C163="Не писать"),"",IF(E163="",IF(AND(C163="Отправлено",I163&lt;&gt;"",TODAY()-INT(I163)&gt;=3),"молчит "&amp;(TODAY()-INT(I163))&amp;" дн.",IF(OR(C163="Перезвонить",C163="Созвон"),"укажи дату","")),IF(INT(E163)&lt;TODAY(),"просрочено",IF(INT(E163)=TODAY(),"сегодня",IF(INT(E163)=TODAY()+1,"завтра",TEXT(E163,"dd.mm"))))))</f>
        <v/>
      </c>
      <c r="G163" s="52" t="n"/>
      <c r="H163" s="36" t="inlineStr">
        <is>
          <t>79515405311</t>
        </is>
      </c>
      <c r="I163" s="53" t="n"/>
      <c r="J163" s="38">
        <f>IFERROR(MATCH(C163,'Справка'!$A$12:$A$21,0),99)</f>
        <v/>
      </c>
      <c r="K163" s="39">
        <f>HYPERLINK("https://wa.me/"&amp;H163&amp;"?text="&amp;ENCODEURL(T163),"✉ Написать")</f>
        <v/>
      </c>
      <c r="L163" s="39">
        <f>HYPERLINK("https://wa.me/"&amp;H163,"Открыть чат")</f>
        <v/>
      </c>
      <c r="M163" s="38" t="inlineStr">
        <is>
          <t>Воронеж</t>
        </is>
      </c>
      <c r="N163" s="38" t="n"/>
      <c r="O163" s="38" t="n"/>
      <c r="P163" s="38" t="n"/>
      <c r="Q163" s="38" t="inlineStr">
        <is>
          <t>без сайта</t>
        </is>
      </c>
      <c r="R163" s="38" t="n">
        <v>2</v>
      </c>
      <c r="S163" s="38" t="inlineStr">
        <is>
          <t>Воронежская область</t>
        </is>
      </c>
      <c r="T163" s="38" t="inlineStr">
        <is>
          <t>Здравствуйте! Смотрел в 2ГИС, кто делает кровлю в Воронеже, и нашёл «Ресурс Комплект». Сайта в карточке нет.
Готов за вечер собрать сайт для «Ресурс Комплект» и показать вам. Денег вперёд не беру. Собрать?</t>
        </is>
      </c>
      <c r="U163" s="38">
        <f>B163&amp;IF(D163&lt;&gt;""," · "&amp;D163,"")&amp;IF(F163&lt;&gt;"",CHAR(10)&amp;F163,"")</f>
        <v/>
      </c>
      <c r="V163" s="38">
        <f>IF(OR(F163="просрочено",F163="сегодня",F163="укажи дату",LEFT(F163,6)="молчит"),1,0)</f>
        <v/>
      </c>
    </row>
    <row r="164" ht="24" customHeight="1">
      <c r="A164" s="38" t="n">
        <v>163</v>
      </c>
      <c r="B164" s="32" t="inlineStr">
        <is>
          <t>СтройГрад-П</t>
        </is>
      </c>
      <c r="C164" s="49" t="inlineStr">
        <is>
          <t>Очередь</t>
        </is>
      </c>
      <c r="D164" s="49" t="n"/>
      <c r="E164" s="50" t="n"/>
      <c r="F164" s="51">
        <f>IF(OR(C164="",C164="Очередь",C164="Клиент",C164="Отказ",C164="Не писать"),"",IF(E164="",IF(AND(C164="Отправлено",I164&lt;&gt;"",TODAY()-INT(I164)&gt;=3),"молчит "&amp;(TODAY()-INT(I164))&amp;" дн.",IF(OR(C164="Перезвонить",C164="Созвон"),"укажи дату","")),IF(INT(E164)&lt;TODAY(),"просрочено",IF(INT(E164)=TODAY(),"сегодня",IF(INT(E164)=TODAY()+1,"завтра",TEXT(E164,"dd.mm"))))))</f>
        <v/>
      </c>
      <c r="G164" s="52" t="n"/>
      <c r="H164" s="36" t="inlineStr">
        <is>
          <t>79202296166</t>
        </is>
      </c>
      <c r="I164" s="53" t="n"/>
      <c r="J164" s="38">
        <f>IFERROR(MATCH(C164,'Справка'!$A$12:$A$21,0),99)</f>
        <v/>
      </c>
      <c r="K164" s="39">
        <f>HYPERLINK("https://wa.me/"&amp;H164&amp;"?text="&amp;ENCODEURL(T164),"✉ Написать")</f>
        <v/>
      </c>
      <c r="L164" s="39">
        <f>HYPERLINK("https://wa.me/"&amp;H164,"Открыть чат")</f>
        <v/>
      </c>
      <c r="M164" s="38" t="inlineStr">
        <is>
          <t>Воронеж</t>
        </is>
      </c>
      <c r="N164" s="38" t="n"/>
      <c r="O164" s="38" t="n"/>
      <c r="P164" s="38" t="n"/>
      <c r="Q164" s="38" t="inlineStr">
        <is>
          <t>без сайта</t>
        </is>
      </c>
      <c r="R164" s="38" t="n">
        <v>2</v>
      </c>
      <c r="S164" s="38" t="inlineStr">
        <is>
          <t>Воронежская область</t>
        </is>
      </c>
      <c r="T164" s="38" t="inlineStr">
        <is>
          <t>Здравствуйте! Нашёл вас в 2ГИС среди кровельных компаний в Воронеже, а сайта в карточке не нашёл.
Могу собрать сайт под «СтройГрад-П» за вечер и показать. Не понравится — ничего не должны. Сделать?</t>
        </is>
      </c>
      <c r="U164" s="38">
        <f>B164&amp;IF(D164&lt;&gt;""," · "&amp;D164,"")&amp;IF(F164&lt;&gt;"",CHAR(10)&amp;F164,"")</f>
        <v/>
      </c>
      <c r="V164" s="38">
        <f>IF(OR(F164="просрочено",F164="сегодня",F164="укажи дату",LEFT(F164,6)="молчит"),1,0)</f>
        <v/>
      </c>
    </row>
    <row r="165" ht="24" customHeight="1">
      <c r="A165" s="38" t="n">
        <v>164</v>
      </c>
      <c r="B165" s="32" t="inlineStr">
        <is>
          <t>Кровельные российские технологии</t>
        </is>
      </c>
      <c r="C165" s="49" t="inlineStr">
        <is>
          <t>Очередь</t>
        </is>
      </c>
      <c r="D165" s="49" t="n"/>
      <c r="E165" s="50" t="n"/>
      <c r="F165" s="51">
        <f>IF(OR(C165="",C165="Очередь",C165="Клиент",C165="Отказ",C165="Не писать"),"",IF(E165="",IF(AND(C165="Отправлено",I165&lt;&gt;"",TODAY()-INT(I165)&gt;=3),"молчит "&amp;(TODAY()-INT(I165))&amp;" дн.",IF(OR(C165="Перезвонить",C165="Созвон"),"укажи дату","")),IF(INT(E165)&lt;TODAY(),"просрочено",IF(INT(E165)=TODAY(),"сегодня",IF(INT(E165)=TODAY()+1,"завтра",TEXT(E165,"dd.mm"))))))</f>
        <v/>
      </c>
      <c r="G165" s="52" t="n"/>
      <c r="H165" s="36" t="inlineStr">
        <is>
          <t>79081423980</t>
        </is>
      </c>
      <c r="I165" s="53" t="n"/>
      <c r="J165" s="38">
        <f>IFERROR(MATCH(C165,'Справка'!$A$12:$A$21,0),99)</f>
        <v/>
      </c>
      <c r="K165" s="39">
        <f>HYPERLINK("https://wa.me/"&amp;H165&amp;"?text="&amp;ENCODEURL(T165),"✉ Написать")</f>
        <v/>
      </c>
      <c r="L165" s="39">
        <f>HYPERLINK("https://wa.me/"&amp;H165,"Открыть чат")</f>
        <v/>
      </c>
      <c r="M165" s="38" t="inlineStr">
        <is>
          <t>Воронеж</t>
        </is>
      </c>
      <c r="N165" s="38" t="n"/>
      <c r="O165" s="38" t="n"/>
      <c r="P165" s="38" t="n"/>
      <c r="Q165" s="38" t="inlineStr">
        <is>
          <t>без сайта</t>
        </is>
      </c>
      <c r="R165" s="38" t="n">
        <v>2</v>
      </c>
      <c r="S165" s="38" t="inlineStr">
        <is>
          <t>Воронежская область</t>
        </is>
      </c>
      <c r="T165" s="38" t="inlineStr">
        <is>
          <t>Здравствуйте! Искал в 2ГИС кровельные компании в Воронеже и наткнулся на вас. Сайта в карточке не увидел.
Могу за вечер собрать для «Кровельные российские технологии» сайт и показать. Платить не нужно, пока не понравится. Собрать?</t>
        </is>
      </c>
      <c r="U165" s="38">
        <f>B165&amp;IF(D165&lt;&gt;""," · "&amp;D165,"")&amp;IF(F165&lt;&gt;"",CHAR(10)&amp;F165,"")</f>
        <v/>
      </c>
      <c r="V165" s="38">
        <f>IF(OR(F165="просрочено",F165="сегодня",F165="укажи дату",LEFT(F165,6)="молчит"),1,0)</f>
        <v/>
      </c>
    </row>
    <row r="166" ht="24" customHeight="1">
      <c r="A166" s="38" t="n">
        <v>165</v>
      </c>
      <c r="B166" s="32" t="inlineStr">
        <is>
          <t>Домстрой</t>
        </is>
      </c>
      <c r="C166" s="49" t="inlineStr">
        <is>
          <t>Очередь</t>
        </is>
      </c>
      <c r="D166" s="49" t="n"/>
      <c r="E166" s="50" t="n"/>
      <c r="F166" s="51">
        <f>IF(OR(C166="",C166="Очередь",C166="Клиент",C166="Отказ",C166="Не писать"),"",IF(E166="",IF(AND(C166="Отправлено",I166&lt;&gt;"",TODAY()-INT(I166)&gt;=3),"молчит "&amp;(TODAY()-INT(I166))&amp;" дн.",IF(OR(C166="Перезвонить",C166="Созвон"),"укажи дату","")),IF(INT(E166)&lt;TODAY(),"просрочено",IF(INT(E166)=TODAY(),"сегодня",IF(INT(E166)=TODAY()+1,"завтра",TEXT(E166,"dd.mm"))))))</f>
        <v/>
      </c>
      <c r="G166" s="52" t="n"/>
      <c r="H166" s="36" t="inlineStr">
        <is>
          <t>79507509979</t>
        </is>
      </c>
      <c r="I166" s="53" t="n"/>
      <c r="J166" s="38">
        <f>IFERROR(MATCH(C166,'Справка'!$A$12:$A$21,0),99)</f>
        <v/>
      </c>
      <c r="K166" s="39">
        <f>HYPERLINK("https://wa.me/"&amp;H166&amp;"?text="&amp;ENCODEURL(T166),"✉ Написать")</f>
        <v/>
      </c>
      <c r="L166" s="39">
        <f>HYPERLINK("https://wa.me/"&amp;H166,"Открыть чат")</f>
        <v/>
      </c>
      <c r="M166" s="38" t="inlineStr">
        <is>
          <t>Воронеж</t>
        </is>
      </c>
      <c r="N166" s="38" t="n"/>
      <c r="O166" s="38" t="n"/>
      <c r="P166" s="38" t="n"/>
      <c r="Q166" s="38" t="inlineStr">
        <is>
          <t>без сайта</t>
        </is>
      </c>
      <c r="R166" s="38" t="n">
        <v>2</v>
      </c>
      <c r="S166" s="38" t="inlineStr">
        <is>
          <t>Воронежская область</t>
        </is>
      </c>
      <c r="T166" s="38" t="inlineStr">
        <is>
          <t>Здравствуйте! Смотрел в 2ГИС, кто делает кровлю в Воронеже, и нашёл «Домстрой». Сайта в карточке нет.
Готов за вечер собрать сайт для «Домстрой» и показать вам. Денег вперёд не беру. Собрать?</t>
        </is>
      </c>
      <c r="U166" s="38">
        <f>B166&amp;IF(D166&lt;&gt;""," · "&amp;D166,"")&amp;IF(F166&lt;&gt;"",CHAR(10)&amp;F166,"")</f>
        <v/>
      </c>
      <c r="V166" s="38">
        <f>IF(OR(F166="просрочено",F166="сегодня",F166="укажи дату",LEFT(F166,6)="молчит"),1,0)</f>
        <v/>
      </c>
    </row>
    <row r="167" ht="24" customHeight="1">
      <c r="A167" s="38" t="n">
        <v>166</v>
      </c>
      <c r="B167" s="32" t="inlineStr">
        <is>
          <t>Стройсервис</t>
        </is>
      </c>
      <c r="C167" s="49" t="inlineStr">
        <is>
          <t>Очередь</t>
        </is>
      </c>
      <c r="D167" s="49" t="n"/>
      <c r="E167" s="50" t="n"/>
      <c r="F167" s="51">
        <f>IF(OR(C167="",C167="Очередь",C167="Клиент",C167="Отказ",C167="Не писать"),"",IF(E167="",IF(AND(C167="Отправлено",I167&lt;&gt;"",TODAY()-INT(I167)&gt;=3),"молчит "&amp;(TODAY()-INT(I167))&amp;" дн.",IF(OR(C167="Перезвонить",C167="Созвон"),"укажи дату","")),IF(INT(E167)&lt;TODAY(),"просрочено",IF(INT(E167)=TODAY(),"сегодня",IF(INT(E167)=TODAY()+1,"завтра",TEXT(E167,"dd.mm"))))))</f>
        <v/>
      </c>
      <c r="G167" s="52" t="n"/>
      <c r="H167" s="36" t="inlineStr">
        <is>
          <t>79518538802</t>
        </is>
      </c>
      <c r="I167" s="53" t="n"/>
      <c r="J167" s="38">
        <f>IFERROR(MATCH(C167,'Справка'!$A$12:$A$21,0),99)</f>
        <v/>
      </c>
      <c r="K167" s="39">
        <f>HYPERLINK("https://wa.me/"&amp;H167&amp;"?text="&amp;ENCODEURL(T167),"✉ Написать")</f>
        <v/>
      </c>
      <c r="L167" s="39">
        <f>HYPERLINK("https://wa.me/"&amp;H167,"Открыть чат")</f>
        <v/>
      </c>
      <c r="M167" s="38" t="inlineStr">
        <is>
          <t>Воронеж</t>
        </is>
      </c>
      <c r="N167" s="38" t="n"/>
      <c r="O167" s="38" t="n"/>
      <c r="P167" s="38" t="n"/>
      <c r="Q167" s="38" t="inlineStr">
        <is>
          <t>без сайта</t>
        </is>
      </c>
      <c r="R167" s="38" t="n">
        <v>2</v>
      </c>
      <c r="S167" s="38" t="inlineStr">
        <is>
          <t>Воронежская область</t>
        </is>
      </c>
      <c r="T167" s="38" t="inlineStr">
        <is>
          <t>Здравствуйте! Нашёл вас в 2ГИС среди кровельных компаний в Воронеже, а сайта в карточке не нашёл.
Могу собрать сайт под «Стройсервис» за вечер и показать. Не понравится — ничего не должны. Сделать?</t>
        </is>
      </c>
      <c r="U167" s="38">
        <f>B167&amp;IF(D167&lt;&gt;""," · "&amp;D167,"")&amp;IF(F167&lt;&gt;"",CHAR(10)&amp;F167,"")</f>
        <v/>
      </c>
      <c r="V167" s="38">
        <f>IF(OR(F167="просрочено",F167="сегодня",F167="укажи дату",LEFT(F167,6)="молчит"),1,0)</f>
        <v/>
      </c>
    </row>
    <row r="168" ht="24" customHeight="1">
      <c r="A168" s="38" t="n">
        <v>167</v>
      </c>
      <c r="B168" s="32" t="inlineStr">
        <is>
          <t>Новая высота</t>
        </is>
      </c>
      <c r="C168" s="49" t="inlineStr">
        <is>
          <t>Очередь</t>
        </is>
      </c>
      <c r="D168" s="49" t="n"/>
      <c r="E168" s="50" t="n"/>
      <c r="F168" s="51">
        <f>IF(OR(C168="",C168="Очередь",C168="Клиент",C168="Отказ",C168="Не писать"),"",IF(E168="",IF(AND(C168="Отправлено",I168&lt;&gt;"",TODAY()-INT(I168)&gt;=3),"молчит "&amp;(TODAY()-INT(I168))&amp;" дн.",IF(OR(C168="Перезвонить",C168="Созвон"),"укажи дату","")),IF(INT(E168)&lt;TODAY(),"просрочено",IF(INT(E168)=TODAY(),"сегодня",IF(INT(E168)=TODAY()+1,"завтра",TEXT(E168,"dd.mm"))))))</f>
        <v/>
      </c>
      <c r="G168" s="52" t="n"/>
      <c r="H168" s="36" t="inlineStr">
        <is>
          <t>79304066111</t>
        </is>
      </c>
      <c r="I168" s="53" t="n"/>
      <c r="J168" s="38">
        <f>IFERROR(MATCH(C168,'Справка'!$A$12:$A$21,0),99)</f>
        <v/>
      </c>
      <c r="K168" s="39">
        <f>HYPERLINK("https://wa.me/"&amp;H168&amp;"?text="&amp;ENCODEURL(T168),"✉ Написать")</f>
        <v/>
      </c>
      <c r="L168" s="39">
        <f>HYPERLINK("https://wa.me/"&amp;H168,"Открыть чат")</f>
        <v/>
      </c>
      <c r="M168" s="38" t="inlineStr">
        <is>
          <t>Воронеж</t>
        </is>
      </c>
      <c r="N168" s="38" t="n"/>
      <c r="O168" s="38" t="n"/>
      <c r="P168" s="38" t="n"/>
      <c r="Q168" s="38" t="inlineStr">
        <is>
          <t>без сайта</t>
        </is>
      </c>
      <c r="R168" s="38" t="n">
        <v>2</v>
      </c>
      <c r="S168" s="38" t="inlineStr">
        <is>
          <t>Воронежская область</t>
        </is>
      </c>
      <c r="T168" s="38" t="inlineStr">
        <is>
          <t>Здравствуйте! Искал в 2ГИС кровельные компании в Воронеже и наткнулся на вас. Сайта в карточке не увидел.
Могу за вечер собрать для «Новая высота» сайт и показать. Платить не нужно, пока не понравится. Собрать?</t>
        </is>
      </c>
      <c r="U168" s="38">
        <f>B168&amp;IF(D168&lt;&gt;""," · "&amp;D168,"")&amp;IF(F168&lt;&gt;"",CHAR(10)&amp;F168,"")</f>
        <v/>
      </c>
      <c r="V168" s="38">
        <f>IF(OR(F168="просрочено",F168="сегодня",F168="укажи дату",LEFT(F168,6)="молчит"),1,0)</f>
        <v/>
      </c>
    </row>
    <row r="169" ht="24" customHeight="1">
      <c r="A169" s="38" t="n">
        <v>168</v>
      </c>
      <c r="B169" s="32" t="inlineStr">
        <is>
          <t>ДомСтройКомплекс36</t>
        </is>
      </c>
      <c r="C169" s="49" t="inlineStr">
        <is>
          <t>Очередь</t>
        </is>
      </c>
      <c r="D169" s="49" t="n"/>
      <c r="E169" s="50" t="n"/>
      <c r="F169" s="51">
        <f>IF(OR(C169="",C169="Очередь",C169="Клиент",C169="Отказ",C169="Не писать"),"",IF(E169="",IF(AND(C169="Отправлено",I169&lt;&gt;"",TODAY()-INT(I169)&gt;=3),"молчит "&amp;(TODAY()-INT(I169))&amp;" дн.",IF(OR(C169="Перезвонить",C169="Созвон"),"укажи дату","")),IF(INT(E169)&lt;TODAY(),"просрочено",IF(INT(E169)=TODAY(),"сегодня",IF(INT(E169)=TODAY()+1,"завтра",TEXT(E169,"dd.mm"))))))</f>
        <v/>
      </c>
      <c r="G169" s="52" t="n"/>
      <c r="H169" s="36" t="inlineStr">
        <is>
          <t>79202116578</t>
        </is>
      </c>
      <c r="I169" s="53" t="n"/>
      <c r="J169" s="38">
        <f>IFERROR(MATCH(C169,'Справка'!$A$12:$A$21,0),99)</f>
        <v/>
      </c>
      <c r="K169" s="39">
        <f>HYPERLINK("https://wa.me/"&amp;H169&amp;"?text="&amp;ENCODEURL(T169),"✉ Написать")</f>
        <v/>
      </c>
      <c r="L169" s="39">
        <f>HYPERLINK("https://wa.me/"&amp;H169,"Открыть чат")</f>
        <v/>
      </c>
      <c r="M169" s="38" t="inlineStr">
        <is>
          <t>Воронеж</t>
        </is>
      </c>
      <c r="N169" s="38" t="n"/>
      <c r="O169" s="38" t="n"/>
      <c r="P169" s="38" t="n"/>
      <c r="Q169" s="38" t="inlineStr">
        <is>
          <t>без сайта</t>
        </is>
      </c>
      <c r="R169" s="38" t="n">
        <v>2</v>
      </c>
      <c r="S169" s="38" t="inlineStr">
        <is>
          <t>Воронежская область</t>
        </is>
      </c>
      <c r="T169" s="38" t="inlineStr">
        <is>
          <t>Здравствуйте! Смотрел в 2ГИС, кто делает кровлю в Воронеже, и нашёл «ДомСтройКомплекс36». Сайта в карточке нет.
Готов за вечер собрать сайт для «ДомСтройКомплекс36» и показать вам. Денег вперёд не беру. Собрать?</t>
        </is>
      </c>
      <c r="U169" s="38">
        <f>B169&amp;IF(D169&lt;&gt;""," · "&amp;D169,"")&amp;IF(F169&lt;&gt;"",CHAR(10)&amp;F169,"")</f>
        <v/>
      </c>
      <c r="V169" s="38">
        <f>IF(OR(F169="просрочено",F169="сегодня",F169="укажи дату",LEFT(F169,6)="молчит"),1,0)</f>
        <v/>
      </c>
    </row>
    <row r="170" ht="24" customHeight="1">
      <c r="A170" s="38" t="n">
        <v>169</v>
      </c>
      <c r="B170" s="32" t="inlineStr">
        <is>
          <t>Стройтэп</t>
        </is>
      </c>
      <c r="C170" s="49" t="inlineStr">
        <is>
          <t>Очередь</t>
        </is>
      </c>
      <c r="D170" s="49" t="n"/>
      <c r="E170" s="50" t="n"/>
      <c r="F170" s="51">
        <f>IF(OR(C170="",C170="Очередь",C170="Клиент",C170="Отказ",C170="Не писать"),"",IF(E170="",IF(AND(C170="Отправлено",I170&lt;&gt;"",TODAY()-INT(I170)&gt;=3),"молчит "&amp;(TODAY()-INT(I170))&amp;" дн.",IF(OR(C170="Перезвонить",C170="Созвон"),"укажи дату","")),IF(INT(E170)&lt;TODAY(),"просрочено",IF(INT(E170)=TODAY(),"сегодня",IF(INT(E170)=TODAY()+1,"завтра",TEXT(E170,"dd.mm"))))))</f>
        <v/>
      </c>
      <c r="G170" s="52" t="n"/>
      <c r="H170" s="36" t="inlineStr">
        <is>
          <t>79050510004</t>
        </is>
      </c>
      <c r="I170" s="53" t="n"/>
      <c r="J170" s="38">
        <f>IFERROR(MATCH(C170,'Справка'!$A$12:$A$21,0),99)</f>
        <v/>
      </c>
      <c r="K170" s="39">
        <f>HYPERLINK("https://wa.me/"&amp;H170&amp;"?text="&amp;ENCODEURL(T170),"✉ Написать")</f>
        <v/>
      </c>
      <c r="L170" s="39">
        <f>HYPERLINK("https://wa.me/"&amp;H170,"Открыть чат")</f>
        <v/>
      </c>
      <c r="M170" s="38" t="inlineStr">
        <is>
          <t>пос. Солнечный</t>
        </is>
      </c>
      <c r="N170" s="38" t="n"/>
      <c r="O170" s="38" t="n"/>
      <c r="P170" s="38" t="n"/>
      <c r="Q170" s="38" t="inlineStr">
        <is>
          <t>без сайта</t>
        </is>
      </c>
      <c r="R170" s="38" t="n">
        <v>2</v>
      </c>
      <c r="S170" s="38" t="inlineStr">
        <is>
          <t>Воронежская область</t>
        </is>
      </c>
      <c r="T170" s="38" t="inlineStr">
        <is>
          <t>Здравствуйте! Нашёл вас в 2ГИС среди кровельных компаний в Воронежской области, а сайта в карточке не нашёл.
Могу собрать сайт под «Стройтэп» за вечер и показать. Не понравится — ничего не должны. Сделать?</t>
        </is>
      </c>
      <c r="U170" s="38">
        <f>B170&amp;IF(D170&lt;&gt;""," · "&amp;D170,"")&amp;IF(F170&lt;&gt;"",CHAR(10)&amp;F170,"")</f>
        <v/>
      </c>
      <c r="V170" s="38">
        <f>IF(OR(F170="просрочено",F170="сегодня",F170="укажи дату",LEFT(F170,6)="молчит"),1,0)</f>
        <v/>
      </c>
    </row>
    <row r="171" ht="24" customHeight="1">
      <c r="A171" s="38" t="n">
        <v>170</v>
      </c>
      <c r="B171" s="32" t="inlineStr">
        <is>
          <t>HausDach</t>
        </is>
      </c>
      <c r="C171" s="49" t="inlineStr">
        <is>
          <t>Очередь</t>
        </is>
      </c>
      <c r="D171" s="49" t="n"/>
      <c r="E171" s="50" t="n"/>
      <c r="F171" s="51">
        <f>IF(OR(C171="",C171="Очередь",C171="Клиент",C171="Отказ",C171="Не писать"),"",IF(E171="",IF(AND(C171="Отправлено",I171&lt;&gt;"",TODAY()-INT(I171)&gt;=3),"молчит "&amp;(TODAY()-INT(I171))&amp;" дн.",IF(OR(C171="Перезвонить",C171="Созвон"),"укажи дату","")),IF(INT(E171)&lt;TODAY(),"просрочено",IF(INT(E171)=TODAY(),"сегодня",IF(INT(E171)=TODAY()+1,"завтра",TEXT(E171,"dd.mm"))))))</f>
        <v/>
      </c>
      <c r="G171" s="52" t="n"/>
      <c r="H171" s="36" t="inlineStr">
        <is>
          <t>79997222996</t>
        </is>
      </c>
      <c r="I171" s="53" t="n"/>
      <c r="J171" s="38">
        <f>IFERROR(MATCH(C171,'Справка'!$A$12:$A$21,0),99)</f>
        <v/>
      </c>
      <c r="K171" s="39">
        <f>HYPERLINK("https://wa.me/"&amp;H171&amp;"?text="&amp;ENCODEURL(T171),"✉ Написать")</f>
        <v/>
      </c>
      <c r="L171" s="39">
        <f>HYPERLINK("https://wa.me/"&amp;H171,"Открыть чат")</f>
        <v/>
      </c>
      <c r="M171" s="38" t="inlineStr">
        <is>
          <t>с. Ямное</t>
        </is>
      </c>
      <c r="N171" s="38" t="n"/>
      <c r="O171" s="38" t="n"/>
      <c r="P171" s="38" t="n"/>
      <c r="Q171" s="38" t="inlineStr">
        <is>
          <t>без сайта</t>
        </is>
      </c>
      <c r="R171" s="38" t="n">
        <v>2</v>
      </c>
      <c r="S171" s="38" t="inlineStr">
        <is>
          <t>Воронежская область</t>
        </is>
      </c>
      <c r="T171" s="38" t="inlineStr">
        <is>
          <t>Здравствуйте! Искал в 2ГИС кровельные компании в Воронежской области и наткнулся на вас. Сайта в карточке не увидел.
Могу за вечер собрать для «HausDach» сайт и показать. Платить не нужно, пока не понравится. Собрать?</t>
        </is>
      </c>
      <c r="U171" s="38">
        <f>B171&amp;IF(D171&lt;&gt;""," · "&amp;D171,"")&amp;IF(F171&lt;&gt;"",CHAR(10)&amp;F171,"")</f>
        <v/>
      </c>
      <c r="V171" s="38">
        <f>IF(OR(F171="просрочено",F171="сегодня",F171="укажи дату",LEFT(F171,6)="молчит"),1,0)</f>
        <v/>
      </c>
    </row>
    <row r="172" ht="24" customHeight="1">
      <c r="A172" s="38" t="n">
        <v>171</v>
      </c>
      <c r="B172" s="32" t="inlineStr">
        <is>
          <t>Кровельно-строительная компания</t>
        </is>
      </c>
      <c r="C172" s="49" t="inlineStr">
        <is>
          <t>Очередь</t>
        </is>
      </c>
      <c r="D172" s="49" t="n"/>
      <c r="E172" s="50" t="n"/>
      <c r="F172" s="51">
        <f>IF(OR(C172="",C172="Очередь",C172="Клиент",C172="Отказ",C172="Не писать"),"",IF(E172="",IF(AND(C172="Отправлено",I172&lt;&gt;"",TODAY()-INT(I172)&gt;=3),"молчит "&amp;(TODAY()-INT(I172))&amp;" дн.",IF(OR(C172="Перезвонить",C172="Созвон"),"укажи дату","")),IF(INT(E172)&lt;TODAY(),"просрочено",IF(INT(E172)=TODAY(),"сегодня",IF(INT(E172)=TODAY()+1,"завтра",TEXT(E172,"dd.mm"))))))</f>
        <v/>
      </c>
      <c r="G172" s="52" t="n"/>
      <c r="H172" s="36" t="inlineStr">
        <is>
          <t>79003040775</t>
        </is>
      </c>
      <c r="I172" s="53" t="n"/>
      <c r="J172" s="38">
        <f>IFERROR(MATCH(C172,'Справка'!$A$12:$A$21,0),99)</f>
        <v/>
      </c>
      <c r="K172" s="39">
        <f>HYPERLINK("https://wa.me/"&amp;H172&amp;"?text="&amp;ENCODEURL(T172),"✉ Написать")</f>
        <v/>
      </c>
      <c r="L172" s="39">
        <f>HYPERLINK("https://wa.me/"&amp;H172,"Открыть чат")</f>
        <v/>
      </c>
      <c r="M172" s="38" t="inlineStr">
        <is>
          <t>Россошь</t>
        </is>
      </c>
      <c r="N172" s="38" t="n"/>
      <c r="O172" s="38" t="n"/>
      <c r="P172" s="38" t="n"/>
      <c r="Q172" s="38" t="inlineStr">
        <is>
          <t>без сайта</t>
        </is>
      </c>
      <c r="R172" s="38" t="n">
        <v>2</v>
      </c>
      <c r="S172" s="38" t="inlineStr">
        <is>
          <t>Воронежская область</t>
        </is>
      </c>
      <c r="T172" s="38" t="inlineStr">
        <is>
          <t>Здравствуйте! Смотрел в 2ГИС, кто делает кровлю в Россоши, и нашёл «Кровельно-строительная компания». Сайта в карточке нет.
Готов за вечер собрать сайт для «Кровельно-строительная компания» и показать вам. Денег вперёд не беру. Собрать?</t>
        </is>
      </c>
      <c r="U172" s="38">
        <f>B172&amp;IF(D172&lt;&gt;""," · "&amp;D172,"")&amp;IF(F172&lt;&gt;"",CHAR(10)&amp;F172,"")</f>
        <v/>
      </c>
      <c r="V172" s="38">
        <f>IF(OR(F172="просрочено",F172="сегодня",F172="укажи дату",LEFT(F172,6)="молчит"),1,0)</f>
        <v/>
      </c>
    </row>
    <row r="173" ht="24" customHeight="1">
      <c r="A173" s="38" t="n">
        <v>172</v>
      </c>
      <c r="B173" s="32" t="inlineStr">
        <is>
          <t>Компания по строительным и ремонтным услугам</t>
        </is>
      </c>
      <c r="C173" s="49" t="inlineStr">
        <is>
          <t>Очередь</t>
        </is>
      </c>
      <c r="D173" s="49" t="n"/>
      <c r="E173" s="50" t="n"/>
      <c r="F173" s="51">
        <f>IF(OR(C173="",C173="Очередь",C173="Клиент",C173="Отказ",C173="Не писать"),"",IF(E173="",IF(AND(C173="Отправлено",I173&lt;&gt;"",TODAY()-INT(I173)&gt;=3),"молчит "&amp;(TODAY()-INT(I173))&amp;" дн.",IF(OR(C173="Перезвонить",C173="Созвон"),"укажи дату","")),IF(INT(E173)&lt;TODAY(),"просрочено",IF(INT(E173)=TODAY(),"сегодня",IF(INT(E173)=TODAY()+1,"завтра",TEXT(E173,"dd.mm"))))))</f>
        <v/>
      </c>
      <c r="G173" s="52" t="n"/>
      <c r="H173" s="36" t="inlineStr">
        <is>
          <t>79284577359</t>
        </is>
      </c>
      <c r="I173" s="53" t="n"/>
      <c r="J173" s="38">
        <f>IFERROR(MATCH(C173,'Справка'!$A$12:$A$21,0),99)</f>
        <v/>
      </c>
      <c r="K173" s="39">
        <f>HYPERLINK("https://wa.me/"&amp;H173&amp;"?text="&amp;ENCODEURL(T173),"✉ Написать")</f>
        <v/>
      </c>
      <c r="L173" s="39">
        <f>HYPERLINK("https://wa.me/"&amp;H173,"Открыть чат")</f>
        <v/>
      </c>
      <c r="M173" s="38" t="inlineStr">
        <is>
          <t>Сочи</t>
        </is>
      </c>
      <c r="N173" s="38" t="n">
        <v>4.9</v>
      </c>
      <c r="O173" s="38" t="n">
        <v>48</v>
      </c>
      <c r="P173" s="38" t="n"/>
      <c r="Q173" s="38" t="inlineStr">
        <is>
          <t>без сайта</t>
        </is>
      </c>
      <c r="R173" s="38" t="n">
        <v>2</v>
      </c>
      <c r="S173" s="38" t="inlineStr">
        <is>
          <t>Краснодарский край</t>
        </is>
      </c>
      <c r="T173" s="38" t="inlineStr">
        <is>
          <t>Здравствуйте! Нашёл вас в 2ГИС среди кровельных компаний в Сочи: оценки высокие, а сайта нет.
Могу собрать сайт под «Компания по строительным и ремонтным услугам» за вечер и показать. Не понравится — ничего не должны. Сделать?</t>
        </is>
      </c>
      <c r="U173" s="38">
        <f>B173&amp;IF(D173&lt;&gt;""," · "&amp;D173,"")&amp;IF(F173&lt;&gt;"",CHAR(10)&amp;F173,"")</f>
        <v/>
      </c>
      <c r="V173" s="38">
        <f>IF(OR(F173="просрочено",F173="сегодня",F173="укажи дату",LEFT(F173,6)="молчит"),1,0)</f>
        <v/>
      </c>
    </row>
    <row r="174" ht="24" customHeight="1">
      <c r="A174" s="38" t="n">
        <v>173</v>
      </c>
      <c r="B174" s="32" t="inlineStr">
        <is>
          <t>Компания по изготовлению и монтажу перил из нержавеющей стали и стекла</t>
        </is>
      </c>
      <c r="C174" s="49" t="inlineStr">
        <is>
          <t>Очередь</t>
        </is>
      </c>
      <c r="D174" s="49" t="n"/>
      <c r="E174" s="50" t="n"/>
      <c r="F174" s="51">
        <f>IF(OR(C174="",C174="Очередь",C174="Клиент",C174="Отказ",C174="Не писать"),"",IF(E174="",IF(AND(C174="Отправлено",I174&lt;&gt;"",TODAY()-INT(I174)&gt;=3),"молчит "&amp;(TODAY()-INT(I174))&amp;" дн.",IF(OR(C174="Перезвонить",C174="Созвон"),"укажи дату","")),IF(INT(E174)&lt;TODAY(),"просрочено",IF(INT(E174)=TODAY(),"сегодня",IF(INT(E174)=TODAY()+1,"завтра",TEXT(E174,"dd.mm"))))))</f>
        <v/>
      </c>
      <c r="G174" s="52" t="n"/>
      <c r="H174" s="36" t="inlineStr">
        <is>
          <t>79881645889</t>
        </is>
      </c>
      <c r="I174" s="53" t="n"/>
      <c r="J174" s="38">
        <f>IFERROR(MATCH(C174,'Справка'!$A$12:$A$21,0),99)</f>
        <v/>
      </c>
      <c r="K174" s="39">
        <f>HYPERLINK("https://wa.me/"&amp;H174&amp;"?text="&amp;ENCODEURL(T174),"✉ Написать")</f>
        <v/>
      </c>
      <c r="L174" s="39">
        <f>HYPERLINK("https://wa.me/"&amp;H174,"Открыть чат")</f>
        <v/>
      </c>
      <c r="M174" s="38" t="inlineStr">
        <is>
          <t>Сочи</t>
        </is>
      </c>
      <c r="N174" s="38" t="n">
        <v>5</v>
      </c>
      <c r="O174" s="38" t="n">
        <v>8</v>
      </c>
      <c r="P174" s="38" t="n"/>
      <c r="Q174" s="38" t="inlineStr">
        <is>
          <t>без сайта</t>
        </is>
      </c>
      <c r="R174" s="38" t="n">
        <v>2</v>
      </c>
      <c r="S174" s="38" t="inlineStr">
        <is>
          <t>Краснодарский край</t>
        </is>
      </c>
      <c r="T174" s="38" t="inlineStr">
        <is>
          <t>Здравствуйте! Искал в 2ГИС кровельные компании в Сочи и наткнулся на вас: отзывы хорошие, а сайта нет.
Могу за вечер собрать для «Компания по изготовлению и монтажу перил из нержавеющей стали и стекла» сайт и показать. Платить не нужно, пока не понравится. Собрать?</t>
        </is>
      </c>
      <c r="U174" s="38">
        <f>B174&amp;IF(D174&lt;&gt;""," · "&amp;D174,"")&amp;IF(F174&lt;&gt;"",CHAR(10)&amp;F174,"")</f>
        <v/>
      </c>
      <c r="V174" s="38">
        <f>IF(OR(F174="просрочено",F174="сегодня",F174="укажи дату",LEFT(F174,6)="молчит"),1,0)</f>
        <v/>
      </c>
    </row>
    <row r="175" ht="24" customHeight="1">
      <c r="A175" s="38" t="n">
        <v>174</v>
      </c>
      <c r="B175" s="32" t="inlineStr">
        <is>
          <t>Сервис по ремонту крыш</t>
        </is>
      </c>
      <c r="C175" s="49" t="inlineStr">
        <is>
          <t>Очередь</t>
        </is>
      </c>
      <c r="D175" s="49" t="n"/>
      <c r="E175" s="50" t="n"/>
      <c r="F175" s="51">
        <f>IF(OR(C175="",C175="Очередь",C175="Клиент",C175="Отказ",C175="Не писать"),"",IF(E175="",IF(AND(C175="Отправлено",I175&lt;&gt;"",TODAY()-INT(I175)&gt;=3),"молчит "&amp;(TODAY()-INT(I175))&amp;" дн.",IF(OR(C175="Перезвонить",C175="Созвон"),"укажи дату","")),IF(INT(E175)&lt;TODAY(),"просрочено",IF(INT(E175)=TODAY(),"сегодня",IF(INT(E175)=TODAY()+1,"завтра",TEXT(E175,"dd.mm"))))))</f>
        <v/>
      </c>
      <c r="G175" s="52" t="n"/>
      <c r="H175" s="36" t="inlineStr">
        <is>
          <t>79996513472</t>
        </is>
      </c>
      <c r="I175" s="53" t="n"/>
      <c r="J175" s="38">
        <f>IFERROR(MATCH(C175,'Справка'!$A$12:$A$21,0),99)</f>
        <v/>
      </c>
      <c r="K175" s="39">
        <f>HYPERLINK("https://wa.me/"&amp;H175&amp;"?text="&amp;ENCODEURL(T175),"✉ Написать")</f>
        <v/>
      </c>
      <c r="L175" s="39">
        <f>HYPERLINK("https://wa.me/"&amp;H175,"Открыть чат")</f>
        <v/>
      </c>
      <c r="M175" s="38" t="inlineStr">
        <is>
          <t>Сочи</t>
        </is>
      </c>
      <c r="N175" s="38" t="n">
        <v>4.4</v>
      </c>
      <c r="O175" s="38" t="n">
        <v>7</v>
      </c>
      <c r="P175" s="38" t="n"/>
      <c r="Q175" s="38" t="inlineStr">
        <is>
          <t>без сайта</t>
        </is>
      </c>
      <c r="R175" s="38" t="n">
        <v>2</v>
      </c>
      <c r="S175" s="38" t="inlineStr">
        <is>
          <t>Краснодарский край</t>
        </is>
      </c>
      <c r="T175" s="38" t="inlineStr">
        <is>
          <t>Здравствуйте! Смотрел в 2ГИС, кто делает кровлю в Сочи, и нашёл «Сервис по ремонту крыш». Сайта в карточке нет.
Готов за вечер собрать сайт для «Сервис по ремонту крыш» и показать вам. Денег вперёд не беру. Собрать?</t>
        </is>
      </c>
      <c r="U175" s="38">
        <f>B175&amp;IF(D175&lt;&gt;""," · "&amp;D175,"")&amp;IF(F175&lt;&gt;"",CHAR(10)&amp;F175,"")</f>
        <v/>
      </c>
      <c r="V175" s="38">
        <f>IF(OR(F175="просрочено",F175="сегодня",F175="укажи дату",LEFT(F175,6)="молчит"),1,0)</f>
        <v/>
      </c>
    </row>
    <row r="176" ht="24" customHeight="1">
      <c r="A176" s="38" t="n">
        <v>175</v>
      </c>
      <c r="B176" s="32" t="inlineStr">
        <is>
          <t>Академия Строительства</t>
        </is>
      </c>
      <c r="C176" s="49" t="inlineStr">
        <is>
          <t>Очередь</t>
        </is>
      </c>
      <c r="D176" s="49" t="n"/>
      <c r="E176" s="50" t="n"/>
      <c r="F176" s="51">
        <f>IF(OR(C176="",C176="Очередь",C176="Клиент",C176="Отказ",C176="Не писать"),"",IF(E176="",IF(AND(C176="Отправлено",I176&lt;&gt;"",TODAY()-INT(I176)&gt;=3),"молчит "&amp;(TODAY()-INT(I176))&amp;" дн.",IF(OR(C176="Перезвонить",C176="Созвон"),"укажи дату","")),IF(INT(E176)&lt;TODAY(),"просрочено",IF(INT(E176)=TODAY(),"сегодня",IF(INT(E176)=TODAY()+1,"завтра",TEXT(E176,"dd.mm"))))))</f>
        <v/>
      </c>
      <c r="G176" s="52" t="n"/>
      <c r="H176" s="36" t="inlineStr">
        <is>
          <t>79221516869</t>
        </is>
      </c>
      <c r="I176" s="53" t="n"/>
      <c r="J176" s="38">
        <f>IFERROR(MATCH(C176,'Справка'!$A$12:$A$21,0),99)</f>
        <v/>
      </c>
      <c r="K176" s="39">
        <f>HYPERLINK("https://wa.me/"&amp;H176&amp;"?text="&amp;ENCODEURL(T176),"✉ Написать")</f>
        <v/>
      </c>
      <c r="L176" s="39">
        <f>HYPERLINK("https://wa.me/"&amp;H176,"Открыть чат")</f>
        <v/>
      </c>
      <c r="M176" s="38" t="inlineStr">
        <is>
          <t>Сочи</t>
        </is>
      </c>
      <c r="N176" s="38" t="n">
        <v>1</v>
      </c>
      <c r="O176" s="38" t="n">
        <v>1</v>
      </c>
      <c r="P176" s="38" t="n"/>
      <c r="Q176" s="38" t="inlineStr">
        <is>
          <t>без сайта</t>
        </is>
      </c>
      <c r="R176" s="38" t="n">
        <v>2</v>
      </c>
      <c r="S176" s="38" t="inlineStr">
        <is>
          <t>Краснодарский край</t>
        </is>
      </c>
      <c r="T176" s="38" t="inlineStr">
        <is>
          <t>Здравствуйте! Нашёл вас в 2ГИС среди кровельных компаний в Сочи, а сайта в карточке не нашёл.
Могу собрать сайт под «Академия Строительства» за вечер и показать. Не понравится — ничего не должны. Сделать?</t>
        </is>
      </c>
      <c r="U176" s="38">
        <f>B176&amp;IF(D176&lt;&gt;""," · "&amp;D176,"")&amp;IF(F176&lt;&gt;"",CHAR(10)&amp;F176,"")</f>
        <v/>
      </c>
      <c r="V176" s="38">
        <f>IF(OR(F176="просрочено",F176="сегодня",F176="укажи дату",LEFT(F176,6)="молчит"),1,0)</f>
        <v/>
      </c>
    </row>
    <row r="177" ht="24" customHeight="1">
      <c r="A177" s="38" t="n">
        <v>176</v>
      </c>
      <c r="B177" s="32" t="inlineStr">
        <is>
          <t>Green-Land</t>
        </is>
      </c>
      <c r="C177" s="49" t="inlineStr">
        <is>
          <t>Очередь</t>
        </is>
      </c>
      <c r="D177" s="49" t="n"/>
      <c r="E177" s="50" t="n"/>
      <c r="F177" s="51">
        <f>IF(OR(C177="",C177="Очередь",C177="Клиент",C177="Отказ",C177="Не писать"),"",IF(E177="",IF(AND(C177="Отправлено",I177&lt;&gt;"",TODAY()-INT(I177)&gt;=3),"молчит "&amp;(TODAY()-INT(I177))&amp;" дн.",IF(OR(C177="Перезвонить",C177="Созвон"),"укажи дату","")),IF(INT(E177)&lt;TODAY(),"просрочено",IF(INT(E177)=TODAY(),"сегодня",IF(INT(E177)=TODAY()+1,"завтра",TEXT(E177,"dd.mm"))))))</f>
        <v/>
      </c>
      <c r="G177" s="52" t="n"/>
      <c r="H177" s="36" t="inlineStr">
        <is>
          <t>79884048283</t>
        </is>
      </c>
      <c r="I177" s="53" t="n"/>
      <c r="J177" s="38">
        <f>IFERROR(MATCH(C177,'Справка'!$A$12:$A$21,0),99)</f>
        <v/>
      </c>
      <c r="K177" s="39">
        <f>HYPERLINK("https://wa.me/"&amp;H177&amp;"?text="&amp;ENCODEURL(T177),"✉ Написать")</f>
        <v/>
      </c>
      <c r="L177" s="39">
        <f>HYPERLINK("https://wa.me/"&amp;H177,"Открыть чат")</f>
        <v/>
      </c>
      <c r="M177" s="38" t="inlineStr">
        <is>
          <t>с. Раздольное</t>
        </is>
      </c>
      <c r="N177" s="38" t="n">
        <v>5</v>
      </c>
      <c r="O177" s="38" t="n">
        <v>1</v>
      </c>
      <c r="P177" s="38" t="n"/>
      <c r="Q177" s="38" t="inlineStr">
        <is>
          <t>без сайта</t>
        </is>
      </c>
      <c r="R177" s="38" t="n">
        <v>2</v>
      </c>
      <c r="S177" s="38" t="inlineStr">
        <is>
          <t>Краснодарский край</t>
        </is>
      </c>
      <c r="T177" s="38" t="inlineStr">
        <is>
          <t>Здравствуйте! Искал в 2ГИС кровельные компании в Сочи и наткнулся на вас. Сайта в карточке не увидел.
Могу за вечер собрать для «Green-Land» сайт и показать. Платить не нужно, пока не понравится. Собрать?</t>
        </is>
      </c>
      <c r="U177" s="38">
        <f>B177&amp;IF(D177&lt;&gt;""," · "&amp;D177,"")&amp;IF(F177&lt;&gt;"",CHAR(10)&amp;F177,"")</f>
        <v/>
      </c>
      <c r="V177" s="38">
        <f>IF(OR(F177="просрочено",F177="сегодня",F177="укажи дату",LEFT(F177,6)="молчит"),1,0)</f>
        <v/>
      </c>
    </row>
    <row r="178" ht="24" customHeight="1">
      <c r="A178" s="38" t="n">
        <v>177</v>
      </c>
      <c r="B178" s="32" t="inlineStr">
        <is>
          <t>КровляСочи.рф</t>
        </is>
      </c>
      <c r="C178" s="49" t="inlineStr">
        <is>
          <t>Очередь</t>
        </is>
      </c>
      <c r="D178" s="49" t="n"/>
      <c r="E178" s="50" t="n"/>
      <c r="F178" s="51">
        <f>IF(OR(C178="",C178="Очередь",C178="Клиент",C178="Отказ",C178="Не писать"),"",IF(E178="",IF(AND(C178="Отправлено",I178&lt;&gt;"",TODAY()-INT(I178)&gt;=3),"молчит "&amp;(TODAY()-INT(I178))&amp;" дн.",IF(OR(C178="Перезвонить",C178="Созвон"),"укажи дату","")),IF(INT(E178)&lt;TODAY(),"просрочено",IF(INT(E178)=TODAY(),"сегодня",IF(INT(E178)=TODAY()+1,"завтра",TEXT(E178,"dd.mm"))))))</f>
        <v/>
      </c>
      <c r="G178" s="52" t="n"/>
      <c r="H178" s="36" t="inlineStr">
        <is>
          <t>79881890616</t>
        </is>
      </c>
      <c r="I178" s="53" t="n"/>
      <c r="J178" s="38">
        <f>IFERROR(MATCH(C178,'Справка'!$A$12:$A$21,0),99)</f>
        <v/>
      </c>
      <c r="K178" s="39">
        <f>HYPERLINK("https://wa.me/"&amp;H178&amp;"?text="&amp;ENCODEURL(T178),"✉ Написать")</f>
        <v/>
      </c>
      <c r="L178" s="39">
        <f>HYPERLINK("https://wa.me/"&amp;H178,"Открыть чат")</f>
        <v/>
      </c>
      <c r="M178" s="38" t="inlineStr">
        <is>
          <t>Сочи</t>
        </is>
      </c>
      <c r="N178" s="38" t="n"/>
      <c r="O178" s="38" t="n"/>
      <c r="P178" s="38" t="n"/>
      <c r="Q178" s="38" t="inlineStr">
        <is>
          <t>без сайта</t>
        </is>
      </c>
      <c r="R178" s="38" t="n">
        <v>2</v>
      </c>
      <c r="S178" s="38" t="inlineStr">
        <is>
          <t>Краснодарский край</t>
        </is>
      </c>
      <c r="T178" s="38" t="inlineStr">
        <is>
          <t>Здравствуйте! Смотрел в 2ГИС, кто делает кровлю в Сочи, и нашёл «КровляСочи.рф». Сайта в карточке нет.
Готов за вечер собрать сайт для «КровляСочи.рф» и показать вам. Денег вперёд не беру. Собрать?</t>
        </is>
      </c>
      <c r="U178" s="38">
        <f>B178&amp;IF(D178&lt;&gt;""," · "&amp;D178,"")&amp;IF(F178&lt;&gt;"",CHAR(10)&amp;F178,"")</f>
        <v/>
      </c>
      <c r="V178" s="38">
        <f>IF(OR(F178="просрочено",F178="сегодня",F178="укажи дату",LEFT(F178,6)="молчит"),1,0)</f>
        <v/>
      </c>
    </row>
    <row r="179" ht="24" customHeight="1">
      <c r="A179" s="38" t="n">
        <v>178</v>
      </c>
      <c r="B179" s="32" t="inlineStr">
        <is>
          <t>ДЭТком</t>
        </is>
      </c>
      <c r="C179" s="49" t="inlineStr">
        <is>
          <t>Очередь</t>
        </is>
      </c>
      <c r="D179" s="49" t="n"/>
      <c r="E179" s="50" t="n"/>
      <c r="F179" s="51">
        <f>IF(OR(C179="",C179="Очередь",C179="Клиент",C179="Отказ",C179="Не писать"),"",IF(E179="",IF(AND(C179="Отправлено",I179&lt;&gt;"",TODAY()-INT(I179)&gt;=3),"молчит "&amp;(TODAY()-INT(I179))&amp;" дн.",IF(OR(C179="Перезвонить",C179="Созвон"),"укажи дату","")),IF(INT(E179)&lt;TODAY(),"просрочено",IF(INT(E179)=TODAY(),"сегодня",IF(INT(E179)=TODAY()+1,"завтра",TEXT(E179,"dd.mm"))))))</f>
        <v/>
      </c>
      <c r="G179" s="52" t="n"/>
      <c r="H179" s="36" t="inlineStr">
        <is>
          <t>79183052390</t>
        </is>
      </c>
      <c r="I179" s="53" t="n"/>
      <c r="J179" s="38">
        <f>IFERROR(MATCH(C179,'Справка'!$A$12:$A$21,0),99)</f>
        <v/>
      </c>
      <c r="K179" s="39">
        <f>HYPERLINK("https://wa.me/"&amp;H179&amp;"?text="&amp;ENCODEURL(T179),"✉ Написать")</f>
        <v/>
      </c>
      <c r="L179" s="39">
        <f>HYPERLINK("https://wa.me/"&amp;H179,"Открыть чат")</f>
        <v/>
      </c>
      <c r="M179" s="38" t="inlineStr">
        <is>
          <t>с. Раздольное</t>
        </is>
      </c>
      <c r="N179" s="38" t="n"/>
      <c r="O179" s="38" t="n"/>
      <c r="P179" s="38" t="n"/>
      <c r="Q179" s="38" t="inlineStr">
        <is>
          <t>без сайта</t>
        </is>
      </c>
      <c r="R179" s="38" t="n">
        <v>2</v>
      </c>
      <c r="S179" s="38" t="inlineStr">
        <is>
          <t>Краснодарский край</t>
        </is>
      </c>
      <c r="T179" s="38" t="inlineStr">
        <is>
          <t>Здравствуйте! Нашёл вас в 2ГИС среди кровельных компаний в Сочи, а сайта в карточке не нашёл.
Могу собрать сайт под «ДЭТком» за вечер и показать. Не понравится — ничего не должны. Сделать?</t>
        </is>
      </c>
      <c r="U179" s="38">
        <f>B179&amp;IF(D179&lt;&gt;""," · "&amp;D179,"")&amp;IF(F179&lt;&gt;"",CHAR(10)&amp;F179,"")</f>
        <v/>
      </c>
      <c r="V179" s="38">
        <f>IF(OR(F179="просрочено",F179="сегодня",F179="укажи дату",LEFT(F179,6)="молчит"),1,0)</f>
        <v/>
      </c>
    </row>
    <row r="180" ht="24" customHeight="1">
      <c r="A180" s="38" t="n">
        <v>179</v>
      </c>
      <c r="B180" s="32" t="inlineStr">
        <is>
          <t>Pws Global</t>
        </is>
      </c>
      <c r="C180" s="49" t="inlineStr">
        <is>
          <t>Очередь</t>
        </is>
      </c>
      <c r="D180" s="49" t="n"/>
      <c r="E180" s="50" t="n"/>
      <c r="F180" s="51">
        <f>IF(OR(C180="",C180="Очередь",C180="Клиент",C180="Отказ",C180="Не писать"),"",IF(E180="",IF(AND(C180="Отправлено",I180&lt;&gt;"",TODAY()-INT(I180)&gt;=3),"молчит "&amp;(TODAY()-INT(I180))&amp;" дн.",IF(OR(C180="Перезвонить",C180="Созвон"),"укажи дату","")),IF(INT(E180)&lt;TODAY(),"просрочено",IF(INT(E180)=TODAY(),"сегодня",IF(INT(E180)=TODAY()+1,"завтра",TEXT(E180,"dd.mm"))))))</f>
        <v/>
      </c>
      <c r="G180" s="52" t="n"/>
      <c r="H180" s="36" t="inlineStr">
        <is>
          <t>79966483505</t>
        </is>
      </c>
      <c r="I180" s="53" t="n"/>
      <c r="J180" s="38">
        <f>IFERROR(MATCH(C180,'Справка'!$A$12:$A$21,0),99)</f>
        <v/>
      </c>
      <c r="K180" s="39">
        <f>HYPERLINK("https://wa.me/"&amp;H180&amp;"?text="&amp;ENCODEURL(T180),"✉ Написать")</f>
        <v/>
      </c>
      <c r="L180" s="39">
        <f>HYPERLINK("https://wa.me/"&amp;H180,"Открыть чат")</f>
        <v/>
      </c>
      <c r="M180" s="38" t="inlineStr">
        <is>
          <t>Сочи</t>
        </is>
      </c>
      <c r="N180" s="38" t="n"/>
      <c r="O180" s="38" t="n"/>
      <c r="P180" s="38" t="n"/>
      <c r="Q180" s="38" t="inlineStr">
        <is>
          <t>без сайта</t>
        </is>
      </c>
      <c r="R180" s="38" t="n">
        <v>2</v>
      </c>
      <c r="S180" s="38" t="inlineStr">
        <is>
          <t>Краснодарский край</t>
        </is>
      </c>
      <c r="T180" s="38" t="inlineStr">
        <is>
          <t>Здравствуйте! Искал в 2ГИС кровельные компании в Сочи и наткнулся на вас. Сайта в карточке не увидел.
Могу за вечер собрать для «Pws Global» сайт и показать. Платить не нужно, пока не понравится. Собрать?</t>
        </is>
      </c>
      <c r="U180" s="38">
        <f>B180&amp;IF(D180&lt;&gt;""," · "&amp;D180,"")&amp;IF(F180&lt;&gt;"",CHAR(10)&amp;F180,"")</f>
        <v/>
      </c>
      <c r="V180" s="38">
        <f>IF(OR(F180="просрочено",F180="сегодня",F180="укажи дату",LEFT(F180,6)="молчит"),1,0)</f>
        <v/>
      </c>
    </row>
    <row r="181" ht="24" customHeight="1">
      <c r="A181" s="38" t="n">
        <v>180</v>
      </c>
      <c r="B181" s="32" t="inlineStr">
        <is>
          <t>Компания по сварочным работам</t>
        </is>
      </c>
      <c r="C181" s="49" t="inlineStr">
        <is>
          <t>Очередь</t>
        </is>
      </c>
      <c r="D181" s="49" t="n"/>
      <c r="E181" s="50" t="n"/>
      <c r="F181" s="51">
        <f>IF(OR(C181="",C181="Очередь",C181="Клиент",C181="Отказ",C181="Не писать"),"",IF(E181="",IF(AND(C181="Отправлено",I181&lt;&gt;"",TODAY()-INT(I181)&gt;=3),"молчит "&amp;(TODAY()-INT(I181))&amp;" дн.",IF(OR(C181="Перезвонить",C181="Созвон"),"укажи дату","")),IF(INT(E181)&lt;TODAY(),"просрочено",IF(INT(E181)=TODAY(),"сегодня",IF(INT(E181)=TODAY()+1,"завтра",TEXT(E181,"dd.mm"))))))</f>
        <v/>
      </c>
      <c r="G181" s="52" t="n"/>
      <c r="H181" s="36" t="inlineStr">
        <is>
          <t>79512623676</t>
        </is>
      </c>
      <c r="I181" s="53" t="n"/>
      <c r="J181" s="38">
        <f>IFERROR(MATCH(C181,'Справка'!$A$12:$A$21,0),99)</f>
        <v/>
      </c>
      <c r="K181" s="39">
        <f>HYPERLINK("https://wa.me/"&amp;H181&amp;"?text="&amp;ENCODEURL(T181),"✉ Написать")</f>
        <v/>
      </c>
      <c r="L181" s="39">
        <f>HYPERLINK("https://wa.me/"&amp;H181,"Открыть чат")</f>
        <v/>
      </c>
      <c r="M181" s="38" t="inlineStr">
        <is>
          <t>Сочи</t>
        </is>
      </c>
      <c r="N181" s="38" t="n"/>
      <c r="O181" s="38" t="n"/>
      <c r="P181" s="38" t="n"/>
      <c r="Q181" s="38" t="inlineStr">
        <is>
          <t>без сайта</t>
        </is>
      </c>
      <c r="R181" s="38" t="n">
        <v>2</v>
      </c>
      <c r="S181" s="38" t="inlineStr">
        <is>
          <t>Краснодарский край</t>
        </is>
      </c>
      <c r="T181" s="38" t="inlineStr">
        <is>
          <t>Здравствуйте! Смотрел в 2ГИС, кто делает кровлю в Сочи, и нашёл «Компания по сварочным работам». Сайта в карточке нет.
Готов за вечер собрать сайт для «Компания по сварочным работам» и показать вам. Денег вперёд не беру. Собрать?</t>
        </is>
      </c>
      <c r="U181" s="38">
        <f>B181&amp;IF(D181&lt;&gt;""," · "&amp;D181,"")&amp;IF(F181&lt;&gt;"",CHAR(10)&amp;F181,"")</f>
        <v/>
      </c>
      <c r="V181" s="38">
        <f>IF(OR(F181="просрочено",F181="сегодня",F181="укажи дату",LEFT(F181,6)="молчит"),1,0)</f>
        <v/>
      </c>
    </row>
    <row r="182" ht="24" customHeight="1">
      <c r="A182" s="38" t="n">
        <v>181</v>
      </c>
      <c r="B182" s="32" t="inlineStr">
        <is>
          <t>Лист 23</t>
        </is>
      </c>
      <c r="C182" s="49" t="inlineStr">
        <is>
          <t>Очередь</t>
        </is>
      </c>
      <c r="D182" s="49" t="n"/>
      <c r="E182" s="50" t="n"/>
      <c r="F182" s="51">
        <f>IF(OR(C182="",C182="Очередь",C182="Клиент",C182="Отказ",C182="Не писать"),"",IF(E182="",IF(AND(C182="Отправлено",I182&lt;&gt;"",TODAY()-INT(I182)&gt;=3),"молчит "&amp;(TODAY()-INT(I182))&amp;" дн.",IF(OR(C182="Перезвонить",C182="Созвон"),"укажи дату","")),IF(INT(E182)&lt;TODAY(),"просрочено",IF(INT(E182)=TODAY(),"сегодня",IF(INT(E182)=TODAY()+1,"завтра",TEXT(E182,"dd.mm"))))))</f>
        <v/>
      </c>
      <c r="G182" s="52" t="n"/>
      <c r="H182" s="36" t="inlineStr">
        <is>
          <t>79182015976</t>
        </is>
      </c>
      <c r="I182" s="53" t="n"/>
      <c r="J182" s="38">
        <f>IFERROR(MATCH(C182,'Справка'!$A$12:$A$21,0),99)</f>
        <v/>
      </c>
      <c r="K182" s="39">
        <f>HYPERLINK("https://wa.me/"&amp;H182&amp;"?text="&amp;ENCODEURL(T182),"✉ Написать")</f>
        <v/>
      </c>
      <c r="L182" s="39">
        <f>HYPERLINK("https://wa.me/"&amp;H182,"Открыть чат")</f>
        <v/>
      </c>
      <c r="M182" s="38" t="inlineStr">
        <is>
          <t>с. Сергей-Поле</t>
        </is>
      </c>
      <c r="N182" s="38" t="n"/>
      <c r="O182" s="38" t="n"/>
      <c r="P182" s="38" t="n"/>
      <c r="Q182" s="38" t="inlineStr">
        <is>
          <t>без сайта</t>
        </is>
      </c>
      <c r="R182" s="38" t="n">
        <v>2</v>
      </c>
      <c r="S182" s="38" t="inlineStr">
        <is>
          <t>Краснодарский край</t>
        </is>
      </c>
      <c r="T182" s="38" t="inlineStr">
        <is>
          <t>Здравствуйте! Нашёл вас в 2ГИС среди кровельных компаний в Сочи, а сайта в карточке не нашёл.
Могу собрать сайт под «Лист 23» за вечер и показать. Не понравится — ничего не должны. Сделать?</t>
        </is>
      </c>
      <c r="U182" s="38">
        <f>B182&amp;IF(D182&lt;&gt;""," · "&amp;D182,"")&amp;IF(F182&lt;&gt;"",CHAR(10)&amp;F182,"")</f>
        <v/>
      </c>
      <c r="V182" s="38">
        <f>IF(OR(F182="просрочено",F182="сегодня",F182="укажи дату",LEFT(F182,6)="молчит"),1,0)</f>
        <v/>
      </c>
    </row>
    <row r="183" ht="24" customHeight="1">
      <c r="A183" s="38" t="n">
        <v>182</v>
      </c>
      <c r="B183" s="32" t="inlineStr">
        <is>
          <t>Рубель-Строй</t>
        </is>
      </c>
      <c r="C183" s="49" t="inlineStr">
        <is>
          <t>Очередь</t>
        </is>
      </c>
      <c r="D183" s="49" t="n"/>
      <c r="E183" s="50" t="n"/>
      <c r="F183" s="51">
        <f>IF(OR(C183="",C183="Очередь",C183="Клиент",C183="Отказ",C183="Не писать"),"",IF(E183="",IF(AND(C183="Отправлено",I183&lt;&gt;"",TODAY()-INT(I183)&gt;=3),"молчит "&amp;(TODAY()-INT(I183))&amp;" дн.",IF(OR(C183="Перезвонить",C183="Созвон"),"укажи дату","")),IF(INT(E183)&lt;TODAY(),"просрочено",IF(INT(E183)=TODAY(),"сегодня",IF(INT(E183)=TODAY()+1,"завтра",TEXT(E183,"dd.mm"))))))</f>
        <v/>
      </c>
      <c r="G183" s="52" t="n"/>
      <c r="H183" s="36" t="inlineStr">
        <is>
          <t>79881462555</t>
        </is>
      </c>
      <c r="I183" s="53" t="n"/>
      <c r="J183" s="38">
        <f>IFERROR(MATCH(C183,'Справка'!$A$12:$A$21,0),99)</f>
        <v/>
      </c>
      <c r="K183" s="39">
        <f>HYPERLINK("https://wa.me/"&amp;H183&amp;"?text="&amp;ENCODEURL(T183),"✉ Написать")</f>
        <v/>
      </c>
      <c r="L183" s="39">
        <f>HYPERLINK("https://wa.me/"&amp;H183,"Открыть чат")</f>
        <v/>
      </c>
      <c r="M183" s="38" t="inlineStr">
        <is>
          <t>Сочи</t>
        </is>
      </c>
      <c r="N183" s="38" t="n"/>
      <c r="O183" s="38" t="n"/>
      <c r="P183" s="38" t="n"/>
      <c r="Q183" s="38" t="inlineStr">
        <is>
          <t>без сайта</t>
        </is>
      </c>
      <c r="R183" s="38" t="n">
        <v>2</v>
      </c>
      <c r="S183" s="38" t="inlineStr">
        <is>
          <t>Краснодарский край</t>
        </is>
      </c>
      <c r="T183" s="38" t="inlineStr">
        <is>
          <t>Здравствуйте! Искал в 2ГИС кровельные компании в Сочи и наткнулся на вас. Сайта в карточке не увидел.
Могу за вечер собрать для «Рубель-Строй» сайт и показать. Платить не нужно, пока не понравится. Собрать?</t>
        </is>
      </c>
      <c r="U183" s="38">
        <f>B183&amp;IF(D183&lt;&gt;""," · "&amp;D183,"")&amp;IF(F183&lt;&gt;"",CHAR(10)&amp;F183,"")</f>
        <v/>
      </c>
      <c r="V183" s="38">
        <f>IF(OR(F183="просрочено",F183="сегодня",F183="укажи дату",LEFT(F183,6)="молчит"),1,0)</f>
        <v/>
      </c>
    </row>
    <row r="184" ht="24" customHeight="1">
      <c r="A184" s="38" t="n">
        <v>183</v>
      </c>
      <c r="B184" s="32" t="inlineStr">
        <is>
          <t>Европарк</t>
        </is>
      </c>
      <c r="C184" s="49" t="inlineStr">
        <is>
          <t>Очередь</t>
        </is>
      </c>
      <c r="D184" s="49" t="n"/>
      <c r="E184" s="50" t="n"/>
      <c r="F184" s="51">
        <f>IF(OR(C184="",C184="Очередь",C184="Клиент",C184="Отказ",C184="Не писать"),"",IF(E184="",IF(AND(C184="Отправлено",I184&lt;&gt;"",TODAY()-INT(I184)&gt;=3),"молчит "&amp;(TODAY()-INT(I184))&amp;" дн.",IF(OR(C184="Перезвонить",C184="Созвон"),"укажи дату","")),IF(INT(E184)&lt;TODAY(),"просрочено",IF(INT(E184)=TODAY(),"сегодня",IF(INT(E184)=TODAY()+1,"завтра",TEXT(E184,"dd.mm"))))))</f>
        <v/>
      </c>
      <c r="G184" s="52" t="n"/>
      <c r="H184" s="36" t="inlineStr">
        <is>
          <t>79519014964</t>
        </is>
      </c>
      <c r="I184" s="53" t="n"/>
      <c r="J184" s="38">
        <f>IFERROR(MATCH(C184,'Справка'!$A$12:$A$21,0),99)</f>
        <v/>
      </c>
      <c r="K184" s="39">
        <f>HYPERLINK("https://wa.me/"&amp;H184&amp;"?text="&amp;ENCODEURL(T184),"✉ Написать")</f>
        <v/>
      </c>
      <c r="L184" s="39">
        <f>HYPERLINK("https://wa.me/"&amp;H184,"Открыть чат")</f>
        <v/>
      </c>
      <c r="M184" s="38" t="inlineStr">
        <is>
          <t>Нижний Новгород</t>
        </is>
      </c>
      <c r="N184" s="38" t="n"/>
      <c r="O184" s="38" t="n"/>
      <c r="P184" s="38" t="n"/>
      <c r="Q184" s="38" t="inlineStr">
        <is>
          <t>без сайта</t>
        </is>
      </c>
      <c r="R184" s="38" t="n">
        <v>2</v>
      </c>
      <c r="S184" s="38" t="inlineStr">
        <is>
          <t>Нижегородская область</t>
        </is>
      </c>
      <c r="T184" s="38" t="inlineStr">
        <is>
          <t>Здравствуйте! Смотрел в 2ГИС, кто делает кровлю в Нижнем Новгороде, и нашёл «Европарк». Сайта в карточке нет.
Готов за вечер собрать сайт для «Европарк» и показать вам. Денег вперёд не беру. Собрать?</t>
        </is>
      </c>
      <c r="U184" s="38">
        <f>B184&amp;IF(D184&lt;&gt;""," · "&amp;D184,"")&amp;IF(F184&lt;&gt;"",CHAR(10)&amp;F184,"")</f>
        <v/>
      </c>
      <c r="V184" s="38">
        <f>IF(OR(F184="просрочено",F184="сегодня",F184="укажи дату",LEFT(F184,6)="молчит"),1,0)</f>
        <v/>
      </c>
    </row>
    <row r="185" ht="24" customHeight="1">
      <c r="A185" s="38" t="n">
        <v>184</v>
      </c>
      <c r="B185" s="32" t="inlineStr">
        <is>
          <t>ИзиСтройНН</t>
        </is>
      </c>
      <c r="C185" s="49" t="inlineStr">
        <is>
          <t>Очередь</t>
        </is>
      </c>
      <c r="D185" s="49" t="n"/>
      <c r="E185" s="50" t="n"/>
      <c r="F185" s="51">
        <f>IF(OR(C185="",C185="Очередь",C185="Клиент",C185="Отказ",C185="Не писать"),"",IF(E185="",IF(AND(C185="Отправлено",I185&lt;&gt;"",TODAY()-INT(I185)&gt;=3),"молчит "&amp;(TODAY()-INT(I185))&amp;" дн.",IF(OR(C185="Перезвонить",C185="Созвон"),"укажи дату","")),IF(INT(E185)&lt;TODAY(),"просрочено",IF(INT(E185)=TODAY(),"сегодня",IF(INT(E185)=TODAY()+1,"завтра",TEXT(E185,"dd.mm"))))))</f>
        <v/>
      </c>
      <c r="G185" s="52" t="n"/>
      <c r="H185" s="36" t="inlineStr">
        <is>
          <t>79200051493</t>
        </is>
      </c>
      <c r="I185" s="53" t="n"/>
      <c r="J185" s="38">
        <f>IFERROR(MATCH(C185,'Справка'!$A$12:$A$21,0),99)</f>
        <v/>
      </c>
      <c r="K185" s="39">
        <f>HYPERLINK("https://wa.me/"&amp;H185&amp;"?text="&amp;ENCODEURL(T185),"✉ Написать")</f>
        <v/>
      </c>
      <c r="L185" s="39">
        <f>HYPERLINK("https://wa.me/"&amp;H185,"Открыть чат")</f>
        <v/>
      </c>
      <c r="M185" s="38" t="inlineStr">
        <is>
          <t>Нижний Новгород</t>
        </is>
      </c>
      <c r="N185" s="38" t="n"/>
      <c r="O185" s="38" t="n"/>
      <c r="P185" s="38" t="n"/>
      <c r="Q185" s="38" t="inlineStr">
        <is>
          <t>без сайта</t>
        </is>
      </c>
      <c r="R185" s="38" t="n">
        <v>2</v>
      </c>
      <c r="S185" s="38" t="inlineStr">
        <is>
          <t>Нижегородская область</t>
        </is>
      </c>
      <c r="T185" s="38" t="inlineStr">
        <is>
          <t>Здравствуйте! Нашёл вас в 2ГИС среди кровельных компаний в Нижнем Новгороде, а сайта в карточке не нашёл.
Могу собрать сайт под «ИзиСтройНН» за вечер и показать. Не понравится — ничего не должны. Сделать?</t>
        </is>
      </c>
      <c r="U185" s="38">
        <f>B185&amp;IF(D185&lt;&gt;""," · "&amp;D185,"")&amp;IF(F185&lt;&gt;"",CHAR(10)&amp;F185,"")</f>
        <v/>
      </c>
      <c r="V185" s="38">
        <f>IF(OR(F185="просрочено",F185="сегодня",F185="укажи дату",LEFT(F185,6)="молчит"),1,0)</f>
        <v/>
      </c>
    </row>
    <row r="186" ht="24" customHeight="1">
      <c r="A186" s="38" t="n">
        <v>185</v>
      </c>
      <c r="B186" s="32" t="inlineStr">
        <is>
          <t>МегаДорСтрой</t>
        </is>
      </c>
      <c r="C186" s="49" t="inlineStr">
        <is>
          <t>Очередь</t>
        </is>
      </c>
      <c r="D186" s="49" t="n"/>
      <c r="E186" s="50" t="n"/>
      <c r="F186" s="51">
        <f>IF(OR(C186="",C186="Очередь",C186="Клиент",C186="Отказ",C186="Не писать"),"",IF(E186="",IF(AND(C186="Отправлено",I186&lt;&gt;"",TODAY()-INT(I186)&gt;=3),"молчит "&amp;(TODAY()-INT(I186))&amp;" дн.",IF(OR(C186="Перезвонить",C186="Созвон"),"укажи дату","")),IF(INT(E186)&lt;TODAY(),"просрочено",IF(INT(E186)=TODAY(),"сегодня",IF(INT(E186)=TODAY()+1,"завтра",TEXT(E186,"dd.mm"))))))</f>
        <v/>
      </c>
      <c r="G186" s="52" t="n"/>
      <c r="H186" s="36" t="inlineStr">
        <is>
          <t>79648311331</t>
        </is>
      </c>
      <c r="I186" s="53" t="n"/>
      <c r="J186" s="38">
        <f>IFERROR(MATCH(C186,'Справка'!$A$12:$A$21,0),99)</f>
        <v/>
      </c>
      <c r="K186" s="39">
        <f>HYPERLINK("https://wa.me/"&amp;H186&amp;"?text="&amp;ENCODEURL(T186),"✉ Написать")</f>
        <v/>
      </c>
      <c r="L186" s="39">
        <f>HYPERLINK("https://wa.me/"&amp;H186,"Открыть чат")</f>
        <v/>
      </c>
      <c r="M186" s="38" t="inlineStr">
        <is>
          <t>Нижний Новгород</t>
        </is>
      </c>
      <c r="N186" s="38" t="n"/>
      <c r="O186" s="38" t="n"/>
      <c r="P186" s="38" t="n"/>
      <c r="Q186" s="38" t="inlineStr">
        <is>
          <t>без сайта</t>
        </is>
      </c>
      <c r="R186" s="38" t="n">
        <v>2</v>
      </c>
      <c r="S186" s="38" t="inlineStr">
        <is>
          <t>Нижегородская область</t>
        </is>
      </c>
      <c r="T186" s="38" t="inlineStr">
        <is>
          <t>Здравствуйте! Искал в 2ГИС кровельные компании в Нижнем Новгороде и наткнулся на вас. Сайта в карточке не увидел.
Могу за вечер собрать для «МегаДорСтрой» сайт и показать. Платить не нужно, пока не понравится. Собрать?</t>
        </is>
      </c>
      <c r="U186" s="38">
        <f>B186&amp;IF(D186&lt;&gt;""," · "&amp;D186,"")&amp;IF(F186&lt;&gt;"",CHAR(10)&amp;F186,"")</f>
        <v/>
      </c>
      <c r="V186" s="38">
        <f>IF(OR(F186="просрочено",F186="сегодня",F186="укажи дату",LEFT(F186,6)="молчит"),1,0)</f>
        <v/>
      </c>
    </row>
    <row r="187" ht="24" customHeight="1">
      <c r="A187" s="38" t="n">
        <v>186</v>
      </c>
      <c r="B187" s="32" t="inlineStr">
        <is>
          <t>Бруталит</t>
        </is>
      </c>
      <c r="C187" s="49" t="inlineStr">
        <is>
          <t>Очередь</t>
        </is>
      </c>
      <c r="D187" s="49" t="n"/>
      <c r="E187" s="50" t="n"/>
      <c r="F187" s="51">
        <f>IF(OR(C187="",C187="Очередь",C187="Клиент",C187="Отказ",C187="Не писать"),"",IF(E187="",IF(AND(C187="Отправлено",I187&lt;&gt;"",TODAY()-INT(I187)&gt;=3),"молчит "&amp;(TODAY()-INT(I187))&amp;" дн.",IF(OR(C187="Перезвонить",C187="Созвон"),"укажи дату","")),IF(INT(E187)&lt;TODAY(),"просрочено",IF(INT(E187)=TODAY(),"сегодня",IF(INT(E187)=TODAY()+1,"завтра",TEXT(E187,"dd.mm"))))))</f>
        <v/>
      </c>
      <c r="G187" s="52" t="n"/>
      <c r="H187" s="36" t="inlineStr">
        <is>
          <t>79040634161</t>
        </is>
      </c>
      <c r="I187" s="53" t="n"/>
      <c r="J187" s="38">
        <f>IFERROR(MATCH(C187,'Справка'!$A$12:$A$21,0),99)</f>
        <v/>
      </c>
      <c r="K187" s="39">
        <f>HYPERLINK("https://wa.me/"&amp;H187&amp;"?text="&amp;ENCODEURL(T187),"✉ Написать")</f>
        <v/>
      </c>
      <c r="L187" s="39">
        <f>HYPERLINK("https://wa.me/"&amp;H187,"Открыть чат")</f>
        <v/>
      </c>
      <c r="M187" s="38" t="inlineStr">
        <is>
          <t>Бор</t>
        </is>
      </c>
      <c r="N187" s="38" t="n"/>
      <c r="O187" s="38" t="n"/>
      <c r="P187" s="38" t="n"/>
      <c r="Q187" s="38" t="inlineStr">
        <is>
          <t>без сайта</t>
        </is>
      </c>
      <c r="R187" s="38" t="n">
        <v>2</v>
      </c>
      <c r="S187" s="38" t="inlineStr">
        <is>
          <t>Нижегородская область</t>
        </is>
      </c>
      <c r="T187" s="38" t="inlineStr">
        <is>
          <t>Здравствуйте! Смотрел в 2ГИС, кто делает кровлю в городе Бор, и нашёл «Бруталит». Сайта в карточке нет.
Готов за вечер собрать сайт для «Бруталит» и показать вам. Денег вперёд не беру. Собрать?</t>
        </is>
      </c>
      <c r="U187" s="38">
        <f>B187&amp;IF(D187&lt;&gt;""," · "&amp;D187,"")&amp;IF(F187&lt;&gt;"",CHAR(10)&amp;F187,"")</f>
        <v/>
      </c>
      <c r="V187" s="38">
        <f>IF(OR(F187="просрочено",F187="сегодня",F187="укажи дату",LEFT(F187,6)="молчит"),1,0)</f>
        <v/>
      </c>
    </row>
    <row r="188" ht="24" customHeight="1">
      <c r="A188" s="38" t="n">
        <v>187</v>
      </c>
      <c r="B188" s="32" t="inlineStr">
        <is>
          <t>Трио</t>
        </is>
      </c>
      <c r="C188" s="49" t="inlineStr">
        <is>
          <t>Очередь</t>
        </is>
      </c>
      <c r="D188" s="49" t="n"/>
      <c r="E188" s="50" t="n"/>
      <c r="F188" s="51">
        <f>IF(OR(C188="",C188="Очередь",C188="Клиент",C188="Отказ",C188="Не писать"),"",IF(E188="",IF(AND(C188="Отправлено",I188&lt;&gt;"",TODAY()-INT(I188)&gt;=3),"молчит "&amp;(TODAY()-INT(I188))&amp;" дн.",IF(OR(C188="Перезвонить",C188="Созвон"),"укажи дату","")),IF(INT(E188)&lt;TODAY(),"просрочено",IF(INT(E188)=TODAY(),"сегодня",IF(INT(E188)=TODAY()+1,"завтра",TEXT(E188,"dd.mm"))))))</f>
        <v/>
      </c>
      <c r="G188" s="52" t="n"/>
      <c r="H188" s="36" t="inlineStr">
        <is>
          <t>79202533556</t>
        </is>
      </c>
      <c r="I188" s="53" t="n"/>
      <c r="J188" s="38">
        <f>IFERROR(MATCH(C188,'Справка'!$A$12:$A$21,0),99)</f>
        <v/>
      </c>
      <c r="K188" s="39">
        <f>HYPERLINK("https://wa.me/"&amp;H188&amp;"?text="&amp;ENCODEURL(T188),"✉ Написать")</f>
        <v/>
      </c>
      <c r="L188" s="39">
        <f>HYPERLINK("https://wa.me/"&amp;H188,"Открыть чат")</f>
        <v/>
      </c>
      <c r="M188" s="38" t="inlineStr">
        <is>
          <t>Нижний Новгород</t>
        </is>
      </c>
      <c r="N188" s="38" t="n"/>
      <c r="O188" s="38" t="n"/>
      <c r="P188" s="38" t="n"/>
      <c r="Q188" s="38" t="inlineStr">
        <is>
          <t>без сайта</t>
        </is>
      </c>
      <c r="R188" s="38" t="n">
        <v>2</v>
      </c>
      <c r="S188" s="38" t="inlineStr">
        <is>
          <t>Нижегородская область</t>
        </is>
      </c>
      <c r="T188" s="38" t="inlineStr">
        <is>
          <t>Здравствуйте! Нашёл вас в 2ГИС среди кровельных компаний в Нижнем Новгороде, а сайта в карточке не нашёл.
Могу собрать сайт под «Трио» за вечер и показать. Не понравится — ничего не должны. Сделать?</t>
        </is>
      </c>
      <c r="U188" s="38">
        <f>B188&amp;IF(D188&lt;&gt;""," · "&amp;D188,"")&amp;IF(F188&lt;&gt;"",CHAR(10)&amp;F188,"")</f>
        <v/>
      </c>
      <c r="V188" s="38">
        <f>IF(OR(F188="просрочено",F188="сегодня",F188="укажи дату",LEFT(F188,6)="молчит"),1,0)</f>
        <v/>
      </c>
    </row>
    <row r="189" ht="24" customHeight="1">
      <c r="A189" s="38" t="n">
        <v>188</v>
      </c>
      <c r="B189" s="32" t="inlineStr">
        <is>
          <t>Мастер Н</t>
        </is>
      </c>
      <c r="C189" s="49" t="inlineStr">
        <is>
          <t>Очередь</t>
        </is>
      </c>
      <c r="D189" s="49" t="n"/>
      <c r="E189" s="50" t="n"/>
      <c r="F189" s="51">
        <f>IF(OR(C189="",C189="Очередь",C189="Клиент",C189="Отказ",C189="Не писать"),"",IF(E189="",IF(AND(C189="Отправлено",I189&lt;&gt;"",TODAY()-INT(I189)&gt;=3),"молчит "&amp;(TODAY()-INT(I189))&amp;" дн.",IF(OR(C189="Перезвонить",C189="Созвон"),"укажи дату","")),IF(INT(E189)&lt;TODAY(),"просрочено",IF(INT(E189)=TODAY(),"сегодня",IF(INT(E189)=TODAY()+1,"завтра",TEXT(E189,"dd.mm"))))))</f>
        <v/>
      </c>
      <c r="G189" s="52" t="n"/>
      <c r="H189" s="36" t="inlineStr">
        <is>
          <t>79601707090</t>
        </is>
      </c>
      <c r="I189" s="53" t="n"/>
      <c r="J189" s="38">
        <f>IFERROR(MATCH(C189,'Справка'!$A$12:$A$21,0),99)</f>
        <v/>
      </c>
      <c r="K189" s="39">
        <f>HYPERLINK("https://wa.me/"&amp;H189&amp;"?text="&amp;ENCODEURL(T189),"✉ Написать")</f>
        <v/>
      </c>
      <c r="L189" s="39">
        <f>HYPERLINK("https://wa.me/"&amp;H189,"Открыть чат")</f>
        <v/>
      </c>
      <c r="M189" s="38" t="inlineStr">
        <is>
          <t>Нижний Новгород</t>
        </is>
      </c>
      <c r="N189" s="38" t="n"/>
      <c r="O189" s="38" t="n"/>
      <c r="P189" s="38" t="n"/>
      <c r="Q189" s="38" t="inlineStr">
        <is>
          <t>без сайта</t>
        </is>
      </c>
      <c r="R189" s="38" t="n">
        <v>2</v>
      </c>
      <c r="S189" s="38" t="inlineStr">
        <is>
          <t>Нижегородская область</t>
        </is>
      </c>
      <c r="T189" s="38" t="inlineStr">
        <is>
          <t>Здравствуйте! Искал в 2ГИС кровельные компании в Нижнем Новгороде и наткнулся на вас. Сайта в карточке не увидел.
Могу за вечер собрать для «Мастер Н» сайт и показать. Платить не нужно, пока не понравится. Собрать?</t>
        </is>
      </c>
      <c r="U189" s="38">
        <f>B189&amp;IF(D189&lt;&gt;""," · "&amp;D189,"")&amp;IF(F189&lt;&gt;"",CHAR(10)&amp;F189,"")</f>
        <v/>
      </c>
      <c r="V189" s="38">
        <f>IF(OR(F189="просрочено",F189="сегодня",F189="укажи дату",LEFT(F189,6)="молчит"),1,0)</f>
        <v/>
      </c>
    </row>
    <row r="190" ht="24" customHeight="1">
      <c r="A190" s="38" t="n">
        <v>189</v>
      </c>
      <c r="B190" s="32" t="inlineStr">
        <is>
          <t>Вертикаль</t>
        </is>
      </c>
      <c r="C190" s="49" t="inlineStr">
        <is>
          <t>Очередь</t>
        </is>
      </c>
      <c r="D190" s="49" t="n"/>
      <c r="E190" s="50" t="n"/>
      <c r="F190" s="51">
        <f>IF(OR(C190="",C190="Очередь",C190="Клиент",C190="Отказ",C190="Не писать"),"",IF(E190="",IF(AND(C190="Отправлено",I190&lt;&gt;"",TODAY()-INT(I190)&gt;=3),"молчит "&amp;(TODAY()-INT(I190))&amp;" дн.",IF(OR(C190="Перезвонить",C190="Созвон"),"укажи дату","")),IF(INT(E190)&lt;TODAY(),"просрочено",IF(INT(E190)=TODAY(),"сегодня",IF(INT(E190)=TODAY()+1,"завтра",TEXT(E190,"dd.mm"))))))</f>
        <v/>
      </c>
      <c r="G190" s="52" t="n"/>
      <c r="H190" s="36" t="inlineStr">
        <is>
          <t>79877496739</t>
        </is>
      </c>
      <c r="I190" s="53" t="n"/>
      <c r="J190" s="38">
        <f>IFERROR(MATCH(C190,'Справка'!$A$12:$A$21,0),99)</f>
        <v/>
      </c>
      <c r="K190" s="39">
        <f>HYPERLINK("https://wa.me/"&amp;H190&amp;"?text="&amp;ENCODEURL(T190),"✉ Написать")</f>
        <v/>
      </c>
      <c r="L190" s="39">
        <f>HYPERLINK("https://wa.me/"&amp;H190,"Открыть чат")</f>
        <v/>
      </c>
      <c r="M190" s="38" t="inlineStr">
        <is>
          <t>Нижний Новгород</t>
        </is>
      </c>
      <c r="N190" s="38" t="n"/>
      <c r="O190" s="38" t="n"/>
      <c r="P190" s="38" t="n"/>
      <c r="Q190" s="38" t="inlineStr">
        <is>
          <t>без сайта</t>
        </is>
      </c>
      <c r="R190" s="38" t="n">
        <v>2</v>
      </c>
      <c r="S190" s="38" t="inlineStr">
        <is>
          <t>Нижегородская область</t>
        </is>
      </c>
      <c r="T190" s="38" t="inlineStr">
        <is>
          <t>Здравствуйте! Смотрел в 2ГИС, кто делает кровлю в Нижнем Новгороде, и нашёл «Вертикаль». Сайта в карточке нет.
Готов за вечер собрать сайт для «Вертикаль» и показать вам. Денег вперёд не беру. Собрать?</t>
        </is>
      </c>
      <c r="U190" s="38">
        <f>B190&amp;IF(D190&lt;&gt;""," · "&amp;D190,"")&amp;IF(F190&lt;&gt;"",CHAR(10)&amp;F190,"")</f>
        <v/>
      </c>
      <c r="V190" s="38">
        <f>IF(OR(F190="просрочено",F190="сегодня",F190="укажи дату",LEFT(F190,6)="молчит"),1,0)</f>
        <v/>
      </c>
    </row>
    <row r="191" ht="24" customHeight="1">
      <c r="A191" s="38" t="n">
        <v>190</v>
      </c>
      <c r="B191" s="32" t="inlineStr">
        <is>
          <t>Геострой</t>
        </is>
      </c>
      <c r="C191" s="49" t="inlineStr">
        <is>
          <t>Очередь</t>
        </is>
      </c>
      <c r="D191" s="49" t="n"/>
      <c r="E191" s="50" t="n"/>
      <c r="F191" s="51">
        <f>IF(OR(C191="",C191="Очередь",C191="Клиент",C191="Отказ",C191="Не писать"),"",IF(E191="",IF(AND(C191="Отправлено",I191&lt;&gt;"",TODAY()-INT(I191)&gt;=3),"молчит "&amp;(TODAY()-INT(I191))&amp;" дн.",IF(OR(C191="Перезвонить",C191="Созвон"),"укажи дату","")),IF(INT(E191)&lt;TODAY(),"просрочено",IF(INT(E191)=TODAY(),"сегодня",IF(INT(E191)=TODAY()+1,"завтра",TEXT(E191,"dd.mm"))))))</f>
        <v/>
      </c>
      <c r="G191" s="52" t="n"/>
      <c r="H191" s="36" t="inlineStr">
        <is>
          <t>79308020208</t>
        </is>
      </c>
      <c r="I191" s="53" t="n"/>
      <c r="J191" s="38">
        <f>IFERROR(MATCH(C191,'Справка'!$A$12:$A$21,0),99)</f>
        <v/>
      </c>
      <c r="K191" s="39">
        <f>HYPERLINK("https://wa.me/"&amp;H191&amp;"?text="&amp;ENCODEURL(T191),"✉ Написать")</f>
        <v/>
      </c>
      <c r="L191" s="39">
        <f>HYPERLINK("https://wa.me/"&amp;H191,"Открыть чат")</f>
        <v/>
      </c>
      <c r="M191" s="38" t="inlineStr">
        <is>
          <t>Нижний Новгород</t>
        </is>
      </c>
      <c r="N191" s="38" t="n"/>
      <c r="O191" s="38" t="n"/>
      <c r="P191" s="38" t="n"/>
      <c r="Q191" s="38" t="inlineStr">
        <is>
          <t>без сайта</t>
        </is>
      </c>
      <c r="R191" s="38" t="n">
        <v>2</v>
      </c>
      <c r="S191" s="38" t="inlineStr">
        <is>
          <t>Нижегородская область</t>
        </is>
      </c>
      <c r="T191" s="38" t="inlineStr">
        <is>
          <t>Здравствуйте! Нашёл вас в 2ГИС среди кровельных компаний в Нижнем Новгороде, а сайта в карточке не нашёл.
Могу собрать сайт под «Геострой» за вечер и показать. Не понравится — ничего не должны. Сделать?</t>
        </is>
      </c>
      <c r="U191" s="38">
        <f>B191&amp;IF(D191&lt;&gt;""," · "&amp;D191,"")&amp;IF(F191&lt;&gt;"",CHAR(10)&amp;F191,"")</f>
        <v/>
      </c>
      <c r="V191" s="38">
        <f>IF(OR(F191="просрочено",F191="сегодня",F191="укажи дату",LEFT(F191,6)="молчит"),1,0)</f>
        <v/>
      </c>
    </row>
    <row r="192" ht="24" customHeight="1">
      <c r="A192" s="38" t="n">
        <v>191</v>
      </c>
      <c r="B192" s="32" t="inlineStr">
        <is>
          <t>Стройруф</t>
        </is>
      </c>
      <c r="C192" s="49" t="inlineStr">
        <is>
          <t>Очередь</t>
        </is>
      </c>
      <c r="D192" s="49" t="n"/>
      <c r="E192" s="50" t="n"/>
      <c r="F192" s="51">
        <f>IF(OR(C192="",C192="Очередь",C192="Клиент",C192="Отказ",C192="Не писать"),"",IF(E192="",IF(AND(C192="Отправлено",I192&lt;&gt;"",TODAY()-INT(I192)&gt;=3),"молчит "&amp;(TODAY()-INT(I192))&amp;" дн.",IF(OR(C192="Перезвонить",C192="Созвон"),"укажи дату","")),IF(INT(E192)&lt;TODAY(),"просрочено",IF(INT(E192)=TODAY(),"сегодня",IF(INT(E192)=TODAY()+1,"завтра",TEXT(E192,"dd.mm"))))))</f>
        <v/>
      </c>
      <c r="G192" s="52" t="n"/>
      <c r="H192" s="36" t="inlineStr">
        <is>
          <t>79308053017</t>
        </is>
      </c>
      <c r="I192" s="53" t="n"/>
      <c r="J192" s="38">
        <f>IFERROR(MATCH(C192,'Справка'!$A$12:$A$21,0),99)</f>
        <v/>
      </c>
      <c r="K192" s="39">
        <f>HYPERLINK("https://wa.me/"&amp;H192&amp;"?text="&amp;ENCODEURL(T192),"✉ Написать")</f>
        <v/>
      </c>
      <c r="L192" s="39">
        <f>HYPERLINK("https://wa.me/"&amp;H192,"Открыть чат")</f>
        <v/>
      </c>
      <c r="M192" s="38" t="inlineStr">
        <is>
          <t>Нижний Новгород</t>
        </is>
      </c>
      <c r="N192" s="38" t="n"/>
      <c r="O192" s="38" t="n"/>
      <c r="P192" s="38" t="n"/>
      <c r="Q192" s="38" t="inlineStr">
        <is>
          <t>без сайта</t>
        </is>
      </c>
      <c r="R192" s="38" t="n">
        <v>2</v>
      </c>
      <c r="S192" s="38" t="inlineStr">
        <is>
          <t>Нижегородская область</t>
        </is>
      </c>
      <c r="T192" s="38" t="inlineStr">
        <is>
          <t>Здравствуйте! Искал в 2ГИС кровельные компании в Нижнем Новгороде и наткнулся на вас. Сайта в карточке не увидел.
Могу за вечер собрать для «Стройруф» сайт и показать. Платить не нужно, пока не понравится. Собрать?</t>
        </is>
      </c>
      <c r="U192" s="38">
        <f>B192&amp;IF(D192&lt;&gt;""," · "&amp;D192,"")&amp;IF(F192&lt;&gt;"",CHAR(10)&amp;F192,"")</f>
        <v/>
      </c>
      <c r="V192" s="38">
        <f>IF(OR(F192="просрочено",F192="сегодня",F192="укажи дату",LEFT(F192,6)="молчит"),1,0)</f>
        <v/>
      </c>
    </row>
    <row r="193" ht="24" customHeight="1">
      <c r="A193" s="38" t="n">
        <v>192</v>
      </c>
      <c r="B193" s="32" t="inlineStr">
        <is>
          <t>ЧинПоЧину</t>
        </is>
      </c>
      <c r="C193" s="49" t="inlineStr">
        <is>
          <t>Очередь</t>
        </is>
      </c>
      <c r="D193" s="49" t="n"/>
      <c r="E193" s="50" t="n"/>
      <c r="F193" s="51">
        <f>IF(OR(C193="",C193="Очередь",C193="Клиент",C193="Отказ",C193="Не писать"),"",IF(E193="",IF(AND(C193="Отправлено",I193&lt;&gt;"",TODAY()-INT(I193)&gt;=3),"молчит "&amp;(TODAY()-INT(I193))&amp;" дн.",IF(OR(C193="Перезвонить",C193="Созвон"),"укажи дату","")),IF(INT(E193)&lt;TODAY(),"просрочено",IF(INT(E193)=TODAY(),"сегодня",IF(INT(E193)=TODAY()+1,"завтра",TEXT(E193,"dd.mm"))))))</f>
        <v/>
      </c>
      <c r="G193" s="52" t="n"/>
      <c r="H193" s="36" t="inlineStr">
        <is>
          <t>79101416669</t>
        </is>
      </c>
      <c r="I193" s="53" t="n"/>
      <c r="J193" s="38">
        <f>IFERROR(MATCH(C193,'Справка'!$A$12:$A$21,0),99)</f>
        <v/>
      </c>
      <c r="K193" s="39">
        <f>HYPERLINK("https://wa.me/"&amp;H193&amp;"?text="&amp;ENCODEURL(T193),"✉ Написать")</f>
        <v/>
      </c>
      <c r="L193" s="39">
        <f>HYPERLINK("https://wa.me/"&amp;H193,"Открыть чат")</f>
        <v/>
      </c>
      <c r="M193" s="38" t="inlineStr">
        <is>
          <t>Бор</t>
        </is>
      </c>
      <c r="N193" s="38" t="n"/>
      <c r="O193" s="38" t="n"/>
      <c r="P193" s="38" t="n"/>
      <c r="Q193" s="38" t="inlineStr">
        <is>
          <t>без сайта</t>
        </is>
      </c>
      <c r="R193" s="38" t="n">
        <v>2</v>
      </c>
      <c r="S193" s="38" t="inlineStr">
        <is>
          <t>Нижегородская область</t>
        </is>
      </c>
      <c r="T193" s="38" t="inlineStr">
        <is>
          <t>Здравствуйте! Смотрел в 2ГИС, кто делает кровлю в городе Бор, и нашёл «ЧинПоЧину». Сайта в карточке нет.
Готов за вечер собрать сайт для «ЧинПоЧину» и показать вам. Денег вперёд не беру. Собрать?</t>
        </is>
      </c>
      <c r="U193" s="38">
        <f>B193&amp;IF(D193&lt;&gt;""," · "&amp;D193,"")&amp;IF(F193&lt;&gt;"",CHAR(10)&amp;F193,"")</f>
        <v/>
      </c>
      <c r="V193" s="38">
        <f>IF(OR(F193="просрочено",F193="сегодня",F193="укажи дату",LEFT(F193,6)="молчит"),1,0)</f>
        <v/>
      </c>
    </row>
    <row r="194" ht="24" customHeight="1">
      <c r="A194" s="38" t="n">
        <v>193</v>
      </c>
      <c r="B194" s="32" t="inlineStr">
        <is>
          <t>Строй-Сервис</t>
        </is>
      </c>
      <c r="C194" s="49" t="inlineStr">
        <is>
          <t>Очередь</t>
        </is>
      </c>
      <c r="D194" s="49" t="n"/>
      <c r="E194" s="50" t="n"/>
      <c r="F194" s="51">
        <f>IF(OR(C194="",C194="Очередь",C194="Клиент",C194="Отказ",C194="Не писать"),"",IF(E194="",IF(AND(C194="Отправлено",I194&lt;&gt;"",TODAY()-INT(I194)&gt;=3),"молчит "&amp;(TODAY()-INT(I194))&amp;" дн.",IF(OR(C194="Перезвонить",C194="Созвон"),"укажи дату","")),IF(INT(E194)&lt;TODAY(),"просрочено",IF(INT(E194)=TODAY(),"сегодня",IF(INT(E194)=TODAY()+1,"завтра",TEXT(E194,"dd.mm"))))))</f>
        <v/>
      </c>
      <c r="G194" s="52" t="n"/>
      <c r="H194" s="36" t="inlineStr">
        <is>
          <t>79506066650</t>
        </is>
      </c>
      <c r="I194" s="53" t="n"/>
      <c r="J194" s="38">
        <f>IFERROR(MATCH(C194,'Справка'!$A$12:$A$21,0),99)</f>
        <v/>
      </c>
      <c r="K194" s="39">
        <f>HYPERLINK("https://wa.me/"&amp;H194&amp;"?text="&amp;ENCODEURL(T194),"✉ Написать")</f>
        <v/>
      </c>
      <c r="L194" s="39">
        <f>HYPERLINK("https://wa.me/"&amp;H194,"Открыть чат")</f>
        <v/>
      </c>
      <c r="M194" s="38" t="inlineStr">
        <is>
          <t>Нижний Новгород</t>
        </is>
      </c>
      <c r="N194" s="38" t="n"/>
      <c r="O194" s="38" t="n"/>
      <c r="P194" s="38" t="n"/>
      <c r="Q194" s="38" t="inlineStr">
        <is>
          <t>без сайта</t>
        </is>
      </c>
      <c r="R194" s="38" t="n">
        <v>2</v>
      </c>
      <c r="S194" s="38" t="inlineStr">
        <is>
          <t>Нижегородская область</t>
        </is>
      </c>
      <c r="T194" s="38" t="inlineStr">
        <is>
          <t>Здравствуйте! Нашёл вас в 2ГИС среди кровельных компаний в Нижнем Новгороде, а сайта в карточке не нашёл.
Могу собрать сайт под «Строй-Сервис» за вечер и показать. Не понравится — ничего не должны. Сделать?</t>
        </is>
      </c>
      <c r="U194" s="38">
        <f>B194&amp;IF(D194&lt;&gt;""," · "&amp;D194,"")&amp;IF(F194&lt;&gt;"",CHAR(10)&amp;F194,"")</f>
        <v/>
      </c>
      <c r="V194" s="38">
        <f>IF(OR(F194="просрочено",F194="сегодня",F194="укажи дату",LEFT(F194,6)="молчит"),1,0)</f>
        <v/>
      </c>
    </row>
    <row r="195" ht="24" customHeight="1">
      <c r="A195" s="38" t="n">
        <v>194</v>
      </c>
      <c r="B195" s="32" t="inlineStr">
        <is>
          <t>Свой дом</t>
        </is>
      </c>
      <c r="C195" s="49" t="inlineStr">
        <is>
          <t>Очередь</t>
        </is>
      </c>
      <c r="D195" s="49" t="n"/>
      <c r="E195" s="50" t="n"/>
      <c r="F195" s="51">
        <f>IF(OR(C195="",C195="Очередь",C195="Клиент",C195="Отказ",C195="Не писать"),"",IF(E195="",IF(AND(C195="Отправлено",I195&lt;&gt;"",TODAY()-INT(I195)&gt;=3),"молчит "&amp;(TODAY()-INT(I195))&amp;" дн.",IF(OR(C195="Перезвонить",C195="Созвон"),"укажи дату","")),IF(INT(E195)&lt;TODAY(),"просрочено",IF(INT(E195)=TODAY(),"сегодня",IF(INT(E195)=TODAY()+1,"завтра",TEXT(E195,"dd.mm"))))))</f>
        <v/>
      </c>
      <c r="G195" s="52" t="n"/>
      <c r="H195" s="36" t="inlineStr">
        <is>
          <t>79108750355</t>
        </is>
      </c>
      <c r="I195" s="53" t="n"/>
      <c r="J195" s="38">
        <f>IFERROR(MATCH(C195,'Справка'!$A$12:$A$21,0),99)</f>
        <v/>
      </c>
      <c r="K195" s="39">
        <f>HYPERLINK("https://wa.me/"&amp;H195&amp;"?text="&amp;ENCODEURL(T195),"✉ Написать")</f>
        <v/>
      </c>
      <c r="L195" s="39">
        <f>HYPERLINK("https://wa.me/"&amp;H195,"Открыть чат")</f>
        <v/>
      </c>
      <c r="M195" s="38" t="inlineStr">
        <is>
          <t>Нижний Новгород</t>
        </is>
      </c>
      <c r="N195" s="38" t="n"/>
      <c r="O195" s="38" t="n"/>
      <c r="P195" s="38" t="n"/>
      <c r="Q195" s="38" t="inlineStr">
        <is>
          <t>без сайта</t>
        </is>
      </c>
      <c r="R195" s="38" t="n">
        <v>2</v>
      </c>
      <c r="S195" s="38" t="inlineStr">
        <is>
          <t>Нижегородская область</t>
        </is>
      </c>
      <c r="T195" s="38" t="inlineStr">
        <is>
          <t>Здравствуйте! Искал в 2ГИС кровельные компании в Нижнем Новгороде и наткнулся на вас. Сайта в карточке не увидел.
Могу за вечер собрать для «Свой дом» сайт и показать. Платить не нужно, пока не понравится. Собрать?</t>
        </is>
      </c>
      <c r="U195" s="38">
        <f>B195&amp;IF(D195&lt;&gt;""," · "&amp;D195,"")&amp;IF(F195&lt;&gt;"",CHAR(10)&amp;F195,"")</f>
        <v/>
      </c>
      <c r="V195" s="38">
        <f>IF(OR(F195="просрочено",F195="сегодня",F195="укажи дату",LEFT(F195,6)="молчит"),1,0)</f>
        <v/>
      </c>
    </row>
    <row r="196" ht="24" customHeight="1">
      <c r="A196" s="38" t="n">
        <v>195</v>
      </c>
      <c r="B196" s="32" t="inlineStr">
        <is>
          <t>КС Позитив</t>
        </is>
      </c>
      <c r="C196" s="49" t="inlineStr">
        <is>
          <t>Очередь</t>
        </is>
      </c>
      <c r="D196" s="49" t="n"/>
      <c r="E196" s="50" t="n"/>
      <c r="F196" s="51">
        <f>IF(OR(C196="",C196="Очередь",C196="Клиент",C196="Отказ",C196="Не писать"),"",IF(E196="",IF(AND(C196="Отправлено",I196&lt;&gt;"",TODAY()-INT(I196)&gt;=3),"молчит "&amp;(TODAY()-INT(I196))&amp;" дн.",IF(OR(C196="Перезвонить",C196="Созвон"),"укажи дату","")),IF(INT(E196)&lt;TODAY(),"просрочено",IF(INT(E196)=TODAY(),"сегодня",IF(INT(E196)=TODAY()+1,"завтра",TEXT(E196,"dd.mm"))))))</f>
        <v/>
      </c>
      <c r="G196" s="52" t="n"/>
      <c r="H196" s="36" t="inlineStr">
        <is>
          <t>79601805525</t>
        </is>
      </c>
      <c r="I196" s="53" t="n"/>
      <c r="J196" s="38">
        <f>IFERROR(MATCH(C196,'Справка'!$A$12:$A$21,0),99)</f>
        <v/>
      </c>
      <c r="K196" s="39">
        <f>HYPERLINK("https://wa.me/"&amp;H196&amp;"?text="&amp;ENCODEURL(T196),"✉ Написать")</f>
        <v/>
      </c>
      <c r="L196" s="39">
        <f>HYPERLINK("https://wa.me/"&amp;H196,"Открыть чат")</f>
        <v/>
      </c>
      <c r="M196" s="38" t="inlineStr">
        <is>
          <t>Нижний Новгород</t>
        </is>
      </c>
      <c r="N196" s="38" t="n"/>
      <c r="O196" s="38" t="n"/>
      <c r="P196" s="38" t="n"/>
      <c r="Q196" s="38" t="inlineStr">
        <is>
          <t>без сайта</t>
        </is>
      </c>
      <c r="R196" s="38" t="n">
        <v>2</v>
      </c>
      <c r="S196" s="38" t="inlineStr">
        <is>
          <t>Нижегородская область</t>
        </is>
      </c>
      <c r="T196" s="38" t="inlineStr">
        <is>
          <t>Здравствуйте! Смотрел в 2ГИС, кто делает кровлю в Нижнем Новгороде, и нашёл «КС Позитив». Сайта в карточке нет.
Готов за вечер собрать сайт для «КС Позитив» и показать вам. Денег вперёд не беру. Собрать?</t>
        </is>
      </c>
      <c r="U196" s="38">
        <f>B196&amp;IF(D196&lt;&gt;""," · "&amp;D196,"")&amp;IF(F196&lt;&gt;"",CHAR(10)&amp;F196,"")</f>
        <v/>
      </c>
      <c r="V196" s="38">
        <f>IF(OR(F196="просрочено",F196="сегодня",F196="укажи дату",LEFT(F196,6)="молчит"),1,0)</f>
        <v/>
      </c>
    </row>
    <row r="197" ht="24" customHeight="1">
      <c r="A197" s="38" t="n">
        <v>196</v>
      </c>
      <c r="B197" s="32" t="inlineStr">
        <is>
          <t>Техинвестстрой</t>
        </is>
      </c>
      <c r="C197" s="49" t="inlineStr">
        <is>
          <t>Очередь</t>
        </is>
      </c>
      <c r="D197" s="49" t="n"/>
      <c r="E197" s="50" t="n"/>
      <c r="F197" s="51">
        <f>IF(OR(C197="",C197="Очередь",C197="Клиент",C197="Отказ",C197="Не писать"),"",IF(E197="",IF(AND(C197="Отправлено",I197&lt;&gt;"",TODAY()-INT(I197)&gt;=3),"молчит "&amp;(TODAY()-INT(I197))&amp;" дн.",IF(OR(C197="Перезвонить",C197="Созвон"),"укажи дату","")),IF(INT(E197)&lt;TODAY(),"просрочено",IF(INT(E197)=TODAY(),"сегодня",IF(INT(E197)=TODAY()+1,"завтра",TEXT(E197,"dd.mm"))))))</f>
        <v/>
      </c>
      <c r="G197" s="52" t="n"/>
      <c r="H197" s="36" t="inlineStr">
        <is>
          <t>79087345631</t>
        </is>
      </c>
      <c r="I197" s="53" t="n"/>
      <c r="J197" s="38">
        <f>IFERROR(MATCH(C197,'Справка'!$A$12:$A$21,0),99)</f>
        <v/>
      </c>
      <c r="K197" s="39">
        <f>HYPERLINK("https://wa.me/"&amp;H197&amp;"?text="&amp;ENCODEURL(T197),"✉ Написать")</f>
        <v/>
      </c>
      <c r="L197" s="39">
        <f>HYPERLINK("https://wa.me/"&amp;H197,"Открыть чат")</f>
        <v/>
      </c>
      <c r="M197" s="38" t="inlineStr">
        <is>
          <t>Нижний Новгород</t>
        </is>
      </c>
      <c r="N197" s="38" t="n"/>
      <c r="O197" s="38" t="n"/>
      <c r="P197" s="38" t="n"/>
      <c r="Q197" s="38" t="inlineStr">
        <is>
          <t>без сайта</t>
        </is>
      </c>
      <c r="R197" s="38" t="n">
        <v>2</v>
      </c>
      <c r="S197" s="38" t="inlineStr">
        <is>
          <t>Нижегородская область</t>
        </is>
      </c>
      <c r="T197" s="38" t="inlineStr">
        <is>
          <t>Здравствуйте! Нашёл вас в 2ГИС среди кровельных компаний в Нижнем Новгороде, а сайта в карточке не нашёл.
Могу собрать сайт под «Техинвестстрой» за вечер и показать. Не понравится — ничего не должны. Сделать?</t>
        </is>
      </c>
      <c r="U197" s="38">
        <f>B197&amp;IF(D197&lt;&gt;""," · "&amp;D197,"")&amp;IF(F197&lt;&gt;"",CHAR(10)&amp;F197,"")</f>
        <v/>
      </c>
      <c r="V197" s="38">
        <f>IF(OR(F197="просрочено",F197="сегодня",F197="укажи дату",LEFT(F197,6)="молчит"),1,0)</f>
        <v/>
      </c>
    </row>
    <row r="198" ht="24" customHeight="1">
      <c r="A198" s="38" t="n">
        <v>197</v>
      </c>
      <c r="B198" s="32" t="inlineStr">
        <is>
          <t>Ironwood</t>
        </is>
      </c>
      <c r="C198" s="49" t="inlineStr">
        <is>
          <t>Очередь</t>
        </is>
      </c>
      <c r="D198" s="49" t="n"/>
      <c r="E198" s="50" t="n"/>
      <c r="F198" s="51">
        <f>IF(OR(C198="",C198="Очередь",C198="Клиент",C198="Отказ",C198="Не писать"),"",IF(E198="",IF(AND(C198="Отправлено",I198&lt;&gt;"",TODAY()-INT(I198)&gt;=3),"молчит "&amp;(TODAY()-INT(I198))&amp;" дн.",IF(OR(C198="Перезвонить",C198="Созвон"),"укажи дату","")),IF(INT(E198)&lt;TODAY(),"просрочено",IF(INT(E198)=TODAY(),"сегодня",IF(INT(E198)=TODAY()+1,"завтра",TEXT(E198,"dd.mm"))))))</f>
        <v/>
      </c>
      <c r="G198" s="52" t="n"/>
      <c r="H198" s="36" t="inlineStr">
        <is>
          <t>79049090555</t>
        </is>
      </c>
      <c r="I198" s="53" t="n"/>
      <c r="J198" s="38">
        <f>IFERROR(MATCH(C198,'Справка'!$A$12:$A$21,0),99)</f>
        <v/>
      </c>
      <c r="K198" s="39">
        <f>HYPERLINK("https://wa.me/"&amp;H198&amp;"?text="&amp;ENCODEURL(T198),"✉ Написать")</f>
        <v/>
      </c>
      <c r="L198" s="39">
        <f>HYPERLINK("https://wa.me/"&amp;H198,"Открыть чат")</f>
        <v/>
      </c>
      <c r="M198" s="38" t="inlineStr">
        <is>
          <t>Нижний Новгород</t>
        </is>
      </c>
      <c r="N198" s="38" t="n"/>
      <c r="O198" s="38" t="n"/>
      <c r="P198" s="38" t="n"/>
      <c r="Q198" s="38" t="inlineStr">
        <is>
          <t>без сайта</t>
        </is>
      </c>
      <c r="R198" s="38" t="n">
        <v>2</v>
      </c>
      <c r="S198" s="38" t="inlineStr">
        <is>
          <t>Нижегородская область</t>
        </is>
      </c>
      <c r="T198" s="38" t="inlineStr">
        <is>
          <t>Здравствуйте! Искал в 2ГИС кровельные компании в Нижнем Новгороде и наткнулся на вас. Сайта в карточке не увидел.
Могу за вечер собрать для «Ironwood» сайт и показать. Платить не нужно, пока не понравится. Собрать?</t>
        </is>
      </c>
      <c r="U198" s="38">
        <f>B198&amp;IF(D198&lt;&gt;""," · "&amp;D198,"")&amp;IF(F198&lt;&gt;"",CHAR(10)&amp;F198,"")</f>
        <v/>
      </c>
      <c r="V198" s="38">
        <f>IF(OR(F198="просрочено",F198="сегодня",F198="укажи дату",LEFT(F198,6)="молчит"),1,0)</f>
        <v/>
      </c>
    </row>
    <row r="199" ht="24" customHeight="1">
      <c r="A199" s="38" t="n">
        <v>198</v>
      </c>
      <c r="B199" s="32" t="inlineStr">
        <is>
          <t>Токата</t>
        </is>
      </c>
      <c r="C199" s="49" t="inlineStr">
        <is>
          <t>Очередь</t>
        </is>
      </c>
      <c r="D199" s="49" t="n"/>
      <c r="E199" s="50" t="n"/>
      <c r="F199" s="51">
        <f>IF(OR(C199="",C199="Очередь",C199="Клиент",C199="Отказ",C199="Не писать"),"",IF(E199="",IF(AND(C199="Отправлено",I199&lt;&gt;"",TODAY()-INT(I199)&gt;=3),"молчит "&amp;(TODAY()-INT(I199))&amp;" дн.",IF(OR(C199="Перезвонить",C199="Созвон"),"укажи дату","")),IF(INT(E199)&lt;TODAY(),"просрочено",IF(INT(E199)=TODAY(),"сегодня",IF(INT(E199)=TODAY()+1,"завтра",TEXT(E199,"dd.mm"))))))</f>
        <v/>
      </c>
      <c r="G199" s="52" t="n"/>
      <c r="H199" s="36" t="inlineStr">
        <is>
          <t>79033056706</t>
        </is>
      </c>
      <c r="I199" s="53" t="n"/>
      <c r="J199" s="38">
        <f>IFERROR(MATCH(C199,'Справка'!$A$12:$A$21,0),99)</f>
        <v/>
      </c>
      <c r="K199" s="39">
        <f>HYPERLINK("https://wa.me/"&amp;H199&amp;"?text="&amp;ENCODEURL(T199),"✉ Написать")</f>
        <v/>
      </c>
      <c r="L199" s="39">
        <f>HYPERLINK("https://wa.me/"&amp;H199,"Открыть чат")</f>
        <v/>
      </c>
      <c r="M199" s="38" t="inlineStr">
        <is>
          <t>Казань</t>
        </is>
      </c>
      <c r="N199" s="38" t="n">
        <v>5</v>
      </c>
      <c r="O199" s="38" t="n">
        <v>19</v>
      </c>
      <c r="P199" s="38" t="n"/>
      <c r="Q199" s="38" t="inlineStr">
        <is>
          <t>без сайта</t>
        </is>
      </c>
      <c r="R199" s="38" t="n">
        <v>2</v>
      </c>
      <c r="S199" s="38" t="inlineStr">
        <is>
          <t>Республика Татарстан</t>
        </is>
      </c>
      <c r="T199" s="38" t="inlineStr">
        <is>
          <t>Здравствуйте! Смотрел в 2ГИС, кто делает кровлю в Казани. У «Токата» хорошие отзывы, но сайта в карточке я не нашёл.
Готов за вечер собрать сайт для «Токата» и показать вам. Денег вперёд не беру. Собрать?</t>
        </is>
      </c>
      <c r="U199" s="38">
        <f>B199&amp;IF(D199&lt;&gt;""," · "&amp;D199,"")&amp;IF(F199&lt;&gt;"",CHAR(10)&amp;F199,"")</f>
        <v/>
      </c>
      <c r="V199" s="38">
        <f>IF(OR(F199="просрочено",F199="сегодня",F199="укажи дату",LEFT(F199,6)="молчит"),1,0)</f>
        <v/>
      </c>
    </row>
    <row r="200" ht="24" customHeight="1">
      <c r="A200" s="38" t="n">
        <v>199</v>
      </c>
      <c r="B200" s="32" t="inlineStr">
        <is>
          <t>Фасадно-кровельный центр</t>
        </is>
      </c>
      <c r="C200" s="49" t="inlineStr">
        <is>
          <t>Очередь</t>
        </is>
      </c>
      <c r="D200" s="49" t="n"/>
      <c r="E200" s="50" t="n"/>
      <c r="F200" s="51">
        <f>IF(OR(C200="",C200="Очередь",C200="Клиент",C200="Отказ",C200="Не писать"),"",IF(E200="",IF(AND(C200="Отправлено",I200&lt;&gt;"",TODAY()-INT(I200)&gt;=3),"молчит "&amp;(TODAY()-INT(I200))&amp;" дн.",IF(OR(C200="Перезвонить",C200="Созвон"),"укажи дату","")),IF(INT(E200)&lt;TODAY(),"просрочено",IF(INT(E200)=TODAY(),"сегодня",IF(INT(E200)=TODAY()+1,"завтра",TEXT(E200,"dd.mm"))))))</f>
        <v/>
      </c>
      <c r="G200" s="52" t="n"/>
      <c r="H200" s="36" t="inlineStr">
        <is>
          <t>79625568865</t>
        </is>
      </c>
      <c r="I200" s="53" t="n"/>
      <c r="J200" s="38">
        <f>IFERROR(MATCH(C200,'Справка'!$A$12:$A$21,0),99)</f>
        <v/>
      </c>
      <c r="K200" s="39">
        <f>HYPERLINK("https://wa.me/"&amp;H200&amp;"?text="&amp;ENCODEURL(T200),"✉ Написать")</f>
        <v/>
      </c>
      <c r="L200" s="39">
        <f>HYPERLINK("https://wa.me/"&amp;H200,"Открыть чат")</f>
        <v/>
      </c>
      <c r="M200" s="38" t="inlineStr">
        <is>
          <t>Казань</t>
        </is>
      </c>
      <c r="N200" s="38" t="n">
        <v>5</v>
      </c>
      <c r="O200" s="38" t="n">
        <v>9</v>
      </c>
      <c r="P200" s="38" t="n"/>
      <c r="Q200" s="38" t="inlineStr">
        <is>
          <t>без сайта</t>
        </is>
      </c>
      <c r="R200" s="38" t="n">
        <v>2</v>
      </c>
      <c r="S200" s="38" t="inlineStr">
        <is>
          <t>Республика Татарстан</t>
        </is>
      </c>
      <c r="T200" s="38" t="inlineStr">
        <is>
          <t>Здравствуйте! Нашёл вас в 2ГИС среди кровельных компаний в Казани: оценки высокие, а сайта нет.
Могу собрать сайт под «Фасадно-кровельный центр» за вечер и показать. Не понравится — ничего не должны. Сделать?</t>
        </is>
      </c>
      <c r="U200" s="38">
        <f>B200&amp;IF(D200&lt;&gt;""," · "&amp;D200,"")&amp;IF(F200&lt;&gt;"",CHAR(10)&amp;F200,"")</f>
        <v/>
      </c>
      <c r="V200" s="38">
        <f>IF(OR(F200="просрочено",F200="сегодня",F200="укажи дату",LEFT(F200,6)="молчит"),1,0)</f>
        <v/>
      </c>
    </row>
    <row r="201" ht="24" customHeight="1">
      <c r="A201" s="38" t="n">
        <v>200</v>
      </c>
      <c r="B201" s="32" t="inlineStr">
        <is>
          <t>Три мастера</t>
        </is>
      </c>
      <c r="C201" s="49" t="inlineStr">
        <is>
          <t>Очередь</t>
        </is>
      </c>
      <c r="D201" s="49" t="n"/>
      <c r="E201" s="50" t="n"/>
      <c r="F201" s="51">
        <f>IF(OR(C201="",C201="Очередь",C201="Клиент",C201="Отказ",C201="Не писать"),"",IF(E201="",IF(AND(C201="Отправлено",I201&lt;&gt;"",TODAY()-INT(I201)&gt;=3),"молчит "&amp;(TODAY()-INT(I201))&amp;" дн.",IF(OR(C201="Перезвонить",C201="Созвон"),"укажи дату","")),IF(INT(E201)&lt;TODAY(),"просрочено",IF(INT(E201)=TODAY(),"сегодня",IF(INT(E201)=TODAY()+1,"завтра",TEXT(E201,"dd.mm"))))))</f>
        <v/>
      </c>
      <c r="G201" s="52" t="n"/>
      <c r="H201" s="36" t="inlineStr">
        <is>
          <t>79662607040</t>
        </is>
      </c>
      <c r="I201" s="53" t="n"/>
      <c r="J201" s="38">
        <f>IFERROR(MATCH(C201,'Справка'!$A$12:$A$21,0),99)</f>
        <v/>
      </c>
      <c r="K201" s="39">
        <f>HYPERLINK("https://wa.me/"&amp;H201&amp;"?text="&amp;ENCODEURL(T201),"✉ Написать")</f>
        <v/>
      </c>
      <c r="L201" s="39">
        <f>HYPERLINK("https://wa.me/"&amp;H201,"Открыть чат")</f>
        <v/>
      </c>
      <c r="M201" s="38" t="inlineStr">
        <is>
          <t>Казань</t>
        </is>
      </c>
      <c r="N201" s="38" t="n">
        <v>4.4</v>
      </c>
      <c r="O201" s="38" t="n">
        <v>3</v>
      </c>
      <c r="P201" s="38" t="n"/>
      <c r="Q201" s="38" t="inlineStr">
        <is>
          <t>без сайта</t>
        </is>
      </c>
      <c r="R201" s="38" t="n">
        <v>2</v>
      </c>
      <c r="S201" s="38" t="inlineStr">
        <is>
          <t>Республика Татарстан</t>
        </is>
      </c>
      <c r="T201" s="38" t="inlineStr">
        <is>
          <t>Здравствуйте! Искал в 2ГИС кровельные компании в Казани и наткнулся на вас. Сайта в карточке не увидел.
Могу за вечер собрать для «Три мастера» сайт и показать. Платить не нужно, пока не понравится. Собрать?</t>
        </is>
      </c>
      <c r="U201" s="38">
        <f>B201&amp;IF(D201&lt;&gt;""," · "&amp;D201,"")&amp;IF(F201&lt;&gt;"",CHAR(10)&amp;F201,"")</f>
        <v/>
      </c>
      <c r="V201" s="38">
        <f>IF(OR(F201="просрочено",F201="сегодня",F201="укажи дату",LEFT(F201,6)="молчит"),1,0)</f>
        <v/>
      </c>
    </row>
    <row r="202" ht="24" customHeight="1">
      <c r="A202" s="38" t="n">
        <v>201</v>
      </c>
      <c r="B202" s="32" t="inlineStr">
        <is>
          <t>Ранар</t>
        </is>
      </c>
      <c r="C202" s="49" t="inlineStr">
        <is>
          <t>Очередь</t>
        </is>
      </c>
      <c r="D202" s="49" t="n"/>
      <c r="E202" s="50" t="n"/>
      <c r="F202" s="51">
        <f>IF(OR(C202="",C202="Очередь",C202="Клиент",C202="Отказ",C202="Не писать"),"",IF(E202="",IF(AND(C202="Отправлено",I202&lt;&gt;"",TODAY()-INT(I202)&gt;=3),"молчит "&amp;(TODAY()-INT(I202))&amp;" дн.",IF(OR(C202="Перезвонить",C202="Созвон"),"укажи дату","")),IF(INT(E202)&lt;TODAY(),"просрочено",IF(INT(E202)=TODAY(),"сегодня",IF(INT(E202)=TODAY()+1,"завтра",TEXT(E202,"dd.mm"))))))</f>
        <v/>
      </c>
      <c r="G202" s="52" t="n"/>
      <c r="H202" s="36" t="inlineStr">
        <is>
          <t>79870686686</t>
        </is>
      </c>
      <c r="I202" s="53" t="n"/>
      <c r="J202" s="38">
        <f>IFERROR(MATCH(C202,'Справка'!$A$12:$A$21,0),99)</f>
        <v/>
      </c>
      <c r="K202" s="39">
        <f>HYPERLINK("https://wa.me/"&amp;H202&amp;"?text="&amp;ENCODEURL(T202),"✉ Написать")</f>
        <v/>
      </c>
      <c r="L202" s="39">
        <f>HYPERLINK("https://wa.me/"&amp;H202,"Открыть чат")</f>
        <v/>
      </c>
      <c r="M202" s="38" t="inlineStr">
        <is>
          <t>Казань</t>
        </is>
      </c>
      <c r="N202" s="38" t="n">
        <v>5</v>
      </c>
      <c r="O202" s="38" t="n">
        <v>2</v>
      </c>
      <c r="P202" s="38" t="n"/>
      <c r="Q202" s="38" t="inlineStr">
        <is>
          <t>без сайта</t>
        </is>
      </c>
      <c r="R202" s="38" t="n">
        <v>2</v>
      </c>
      <c r="S202" s="38" t="inlineStr">
        <is>
          <t>Республика Татарстан</t>
        </is>
      </c>
      <c r="T202" s="38" t="inlineStr">
        <is>
          <t>Здравствуйте! Смотрел в 2ГИС, кто делает кровлю в Казани, и нашёл «Ранар». Сайта в карточке нет.
Готов за вечер собрать сайт для «Ранар» и показать вам. Денег вперёд не беру. Собрать?</t>
        </is>
      </c>
      <c r="U202" s="38">
        <f>B202&amp;IF(D202&lt;&gt;""," · "&amp;D202,"")&amp;IF(F202&lt;&gt;"",CHAR(10)&amp;F202,"")</f>
        <v/>
      </c>
      <c r="V202" s="38">
        <f>IF(OR(F202="просрочено",F202="сегодня",F202="укажи дату",LEFT(F202,6)="молчит"),1,0)</f>
        <v/>
      </c>
    </row>
    <row r="203" ht="24" customHeight="1">
      <c r="A203" s="38" t="n">
        <v>202</v>
      </c>
      <c r="B203" s="32" t="inlineStr">
        <is>
          <t>El dacha Home</t>
        </is>
      </c>
      <c r="C203" s="49" t="inlineStr">
        <is>
          <t>Очередь</t>
        </is>
      </c>
      <c r="D203" s="49" t="n"/>
      <c r="E203" s="50" t="n"/>
      <c r="F203" s="51">
        <f>IF(OR(C203="",C203="Очередь",C203="Клиент",C203="Отказ",C203="Не писать"),"",IF(E203="",IF(AND(C203="Отправлено",I203&lt;&gt;"",TODAY()-INT(I203)&gt;=3),"молчит "&amp;(TODAY()-INT(I203))&amp;" дн.",IF(OR(C203="Перезвонить",C203="Созвон"),"укажи дату","")),IF(INT(E203)&lt;TODAY(),"просрочено",IF(INT(E203)=TODAY(),"сегодня",IF(INT(E203)=TODAY()+1,"завтра",TEXT(E203,"dd.mm"))))))</f>
        <v/>
      </c>
      <c r="G203" s="52" t="n"/>
      <c r="H203" s="36" t="inlineStr">
        <is>
          <t>79600445364</t>
        </is>
      </c>
      <c r="I203" s="53" t="n"/>
      <c r="J203" s="38">
        <f>IFERROR(MATCH(C203,'Справка'!$A$12:$A$21,0),99)</f>
        <v/>
      </c>
      <c r="K203" s="39">
        <f>HYPERLINK("https://wa.me/"&amp;H203&amp;"?text="&amp;ENCODEURL(T203),"✉ Написать")</f>
        <v/>
      </c>
      <c r="L203" s="39">
        <f>HYPERLINK("https://wa.me/"&amp;H203,"Открыть чат")</f>
        <v/>
      </c>
      <c r="M203" s="38" t="inlineStr">
        <is>
          <t>Казань</t>
        </is>
      </c>
      <c r="N203" s="38" t="n">
        <v>5</v>
      </c>
      <c r="O203" s="38" t="n">
        <v>2</v>
      </c>
      <c r="P203" s="38" t="n"/>
      <c r="Q203" s="38" t="inlineStr">
        <is>
          <t>без сайта</t>
        </is>
      </c>
      <c r="R203" s="38" t="n">
        <v>2</v>
      </c>
      <c r="S203" s="38" t="inlineStr">
        <is>
          <t>Республика Татарстан</t>
        </is>
      </c>
      <c r="T203" s="38" t="inlineStr">
        <is>
          <t>Здравствуйте! Нашёл вас в 2ГИС среди кровельных компаний в Казани, а сайта в карточке не нашёл.
Могу собрать сайт под «El dacha Home» за вечер и показать. Не понравится — ничего не должны. Сделать?</t>
        </is>
      </c>
      <c r="U203" s="38">
        <f>B203&amp;IF(D203&lt;&gt;""," · "&amp;D203,"")&amp;IF(F203&lt;&gt;"",CHAR(10)&amp;F203,"")</f>
        <v/>
      </c>
      <c r="V203" s="38">
        <f>IF(OR(F203="просрочено",F203="сегодня",F203="укажи дату",LEFT(F203,6)="молчит"),1,0)</f>
        <v/>
      </c>
    </row>
    <row r="204" ht="24" customHeight="1">
      <c r="A204" s="38" t="n">
        <v>203</v>
      </c>
      <c r="B204" s="32" t="inlineStr">
        <is>
          <t>Стройдомдвор</t>
        </is>
      </c>
      <c r="C204" s="49" t="inlineStr">
        <is>
          <t>Очередь</t>
        </is>
      </c>
      <c r="D204" s="49" t="n"/>
      <c r="E204" s="50" t="n"/>
      <c r="F204" s="51">
        <f>IF(OR(C204="",C204="Очередь",C204="Клиент",C204="Отказ",C204="Не писать"),"",IF(E204="",IF(AND(C204="Отправлено",I204&lt;&gt;"",TODAY()-INT(I204)&gt;=3),"молчит "&amp;(TODAY()-INT(I204))&amp;" дн.",IF(OR(C204="Перезвонить",C204="Созвон"),"укажи дату","")),IF(INT(E204)&lt;TODAY(),"просрочено",IF(INT(E204)=TODAY(),"сегодня",IF(INT(E204)=TODAY()+1,"завтра",TEXT(E204,"dd.mm"))))))</f>
        <v/>
      </c>
      <c r="G204" s="52" t="n"/>
      <c r="H204" s="36" t="inlineStr">
        <is>
          <t>79653716716</t>
        </is>
      </c>
      <c r="I204" s="53" t="n"/>
      <c r="J204" s="38">
        <f>IFERROR(MATCH(C204,'Справка'!$A$12:$A$21,0),99)</f>
        <v/>
      </c>
      <c r="K204" s="39">
        <f>HYPERLINK("https://wa.me/"&amp;H204&amp;"?text="&amp;ENCODEURL(T204),"✉ Написать")</f>
        <v/>
      </c>
      <c r="L204" s="39">
        <f>HYPERLINK("https://wa.me/"&amp;H204,"Открыть чат")</f>
        <v/>
      </c>
      <c r="M204" s="38" t="inlineStr">
        <is>
          <t>Казань</t>
        </is>
      </c>
      <c r="N204" s="38" t="n">
        <v>4</v>
      </c>
      <c r="O204" s="38" t="n">
        <v>1</v>
      </c>
      <c r="P204" s="38" t="n"/>
      <c r="Q204" s="38" t="inlineStr">
        <is>
          <t>без сайта</t>
        </is>
      </c>
      <c r="R204" s="38" t="n">
        <v>2</v>
      </c>
      <c r="S204" s="38" t="inlineStr">
        <is>
          <t>Республика Татарстан</t>
        </is>
      </c>
      <c r="T204" s="38" t="inlineStr">
        <is>
          <t>Здравствуйте! Искал в 2ГИС кровельные компании в Казани и наткнулся на вас. Сайта в карточке не увидел.
Могу за вечер собрать для «Стройдомдвор» сайт и показать. Платить не нужно, пока не понравится. Собрать?</t>
        </is>
      </c>
      <c r="U204" s="38">
        <f>B204&amp;IF(D204&lt;&gt;""," · "&amp;D204,"")&amp;IF(F204&lt;&gt;"",CHAR(10)&amp;F204,"")</f>
        <v/>
      </c>
      <c r="V204" s="38">
        <f>IF(OR(F204="просрочено",F204="сегодня",F204="укажи дату",LEFT(F204,6)="молчит"),1,0)</f>
        <v/>
      </c>
    </row>
    <row r="205" ht="24" customHeight="1">
      <c r="A205" s="38" t="n">
        <v>204</v>
      </c>
      <c r="B205" s="32" t="inlineStr">
        <is>
          <t>Честный дом</t>
        </is>
      </c>
      <c r="C205" s="49" t="inlineStr">
        <is>
          <t>Очередь</t>
        </is>
      </c>
      <c r="D205" s="49" t="n"/>
      <c r="E205" s="50" t="n"/>
      <c r="F205" s="51">
        <f>IF(OR(C205="",C205="Очередь",C205="Клиент",C205="Отказ",C205="Не писать"),"",IF(E205="",IF(AND(C205="Отправлено",I205&lt;&gt;"",TODAY()-INT(I205)&gt;=3),"молчит "&amp;(TODAY()-INT(I205))&amp;" дн.",IF(OR(C205="Перезвонить",C205="Созвон"),"укажи дату","")),IF(INT(E205)&lt;TODAY(),"просрочено",IF(INT(E205)=TODAY(),"сегодня",IF(INT(E205)=TODAY()+1,"завтра",TEXT(E205,"dd.mm"))))))</f>
        <v/>
      </c>
      <c r="G205" s="52" t="n"/>
      <c r="H205" s="36" t="inlineStr">
        <is>
          <t>79662402016</t>
        </is>
      </c>
      <c r="I205" s="53" t="n"/>
      <c r="J205" s="38">
        <f>IFERROR(MATCH(C205,'Справка'!$A$12:$A$21,0),99)</f>
        <v/>
      </c>
      <c r="K205" s="39">
        <f>HYPERLINK("https://wa.me/"&amp;H205&amp;"?text="&amp;ENCODEURL(T205),"✉ Написать")</f>
        <v/>
      </c>
      <c r="L205" s="39">
        <f>HYPERLINK("https://wa.me/"&amp;H205,"Открыть чат")</f>
        <v/>
      </c>
      <c r="M205" s="38" t="inlineStr">
        <is>
          <t>Казань</t>
        </is>
      </c>
      <c r="N205" s="38" t="n">
        <v>5</v>
      </c>
      <c r="O205" s="38" t="n">
        <v>1</v>
      </c>
      <c r="P205" s="38" t="n"/>
      <c r="Q205" s="38" t="inlineStr">
        <is>
          <t>без сайта</t>
        </is>
      </c>
      <c r="R205" s="38" t="n">
        <v>2</v>
      </c>
      <c r="S205" s="38" t="inlineStr">
        <is>
          <t>Республика Татарстан</t>
        </is>
      </c>
      <c r="T205" s="38" t="inlineStr">
        <is>
          <t>Здравствуйте! Смотрел в 2ГИС, кто делает кровлю в Казани, и нашёл «Честный дом». Сайта в карточке нет.
Готов за вечер собрать сайт для «Честный дом» и показать вам. Денег вперёд не беру. Собрать?</t>
        </is>
      </c>
      <c r="U205" s="38">
        <f>B205&amp;IF(D205&lt;&gt;""," · "&amp;D205,"")&amp;IF(F205&lt;&gt;"",CHAR(10)&amp;F205,"")</f>
        <v/>
      </c>
      <c r="V205" s="38">
        <f>IF(OR(F205="просрочено",F205="сегодня",F205="укажи дату",LEFT(F205,6)="молчит"),1,0)</f>
        <v/>
      </c>
    </row>
    <row r="206" ht="24" customHeight="1">
      <c r="A206" s="38" t="n">
        <v>205</v>
      </c>
      <c r="B206" s="32" t="inlineStr">
        <is>
          <t>РСК Кратос</t>
        </is>
      </c>
      <c r="C206" s="49" t="inlineStr">
        <is>
          <t>Очередь</t>
        </is>
      </c>
      <c r="D206" s="49" t="n"/>
      <c r="E206" s="50" t="n"/>
      <c r="F206" s="51">
        <f>IF(OR(C206="",C206="Очередь",C206="Клиент",C206="Отказ",C206="Не писать"),"",IF(E206="",IF(AND(C206="Отправлено",I206&lt;&gt;"",TODAY()-INT(I206)&gt;=3),"молчит "&amp;(TODAY()-INT(I206))&amp;" дн.",IF(OR(C206="Перезвонить",C206="Созвон"),"укажи дату","")),IF(INT(E206)&lt;TODAY(),"просрочено",IF(INT(E206)=TODAY(),"сегодня",IF(INT(E206)=TODAY()+1,"завтра",TEXT(E206,"dd.mm"))))))</f>
        <v/>
      </c>
      <c r="G206" s="52" t="n"/>
      <c r="H206" s="36" t="inlineStr">
        <is>
          <t>79872250518</t>
        </is>
      </c>
      <c r="I206" s="53" t="n"/>
      <c r="J206" s="38">
        <f>IFERROR(MATCH(C206,'Справка'!$A$12:$A$21,0),99)</f>
        <v/>
      </c>
      <c r="K206" s="39">
        <f>HYPERLINK("https://wa.me/"&amp;H206&amp;"?text="&amp;ENCODEURL(T206),"✉ Написать")</f>
        <v/>
      </c>
      <c r="L206" s="39">
        <f>HYPERLINK("https://wa.me/"&amp;H206,"Открыть чат")</f>
        <v/>
      </c>
      <c r="M206" s="38" t="inlineStr">
        <is>
          <t>Казань</t>
        </is>
      </c>
      <c r="N206" s="38" t="n"/>
      <c r="O206" s="38" t="n"/>
      <c r="P206" s="38" t="n"/>
      <c r="Q206" s="38" t="inlineStr">
        <is>
          <t>без сайта</t>
        </is>
      </c>
      <c r="R206" s="38" t="n">
        <v>2</v>
      </c>
      <c r="S206" s="38" t="inlineStr">
        <is>
          <t>Республика Татарстан</t>
        </is>
      </c>
      <c r="T206" s="38" t="inlineStr">
        <is>
          <t>Здравствуйте! Нашёл вас в 2ГИС среди кровельных компаний в Казани, а сайта в карточке не нашёл.
Могу собрать сайт под «РСК Кратос» за вечер и показать. Не понравится — ничего не должны. Сделать?</t>
        </is>
      </c>
      <c r="U206" s="38">
        <f>B206&amp;IF(D206&lt;&gt;""," · "&amp;D206,"")&amp;IF(F206&lt;&gt;"",CHAR(10)&amp;F206,"")</f>
        <v/>
      </c>
      <c r="V206" s="38">
        <f>IF(OR(F206="просрочено",F206="сегодня",F206="укажи дату",LEFT(F206,6)="молчит"),1,0)</f>
        <v/>
      </c>
    </row>
    <row r="207" ht="24" customHeight="1">
      <c r="A207" s="38" t="n">
        <v>206</v>
      </c>
      <c r="B207" s="32" t="inlineStr">
        <is>
          <t>Хороший ремонт</t>
        </is>
      </c>
      <c r="C207" s="49" t="inlineStr">
        <is>
          <t>Очередь</t>
        </is>
      </c>
      <c r="D207" s="49" t="n"/>
      <c r="E207" s="50" t="n"/>
      <c r="F207" s="51">
        <f>IF(OR(C207="",C207="Очередь",C207="Клиент",C207="Отказ",C207="Не писать"),"",IF(E207="",IF(AND(C207="Отправлено",I207&lt;&gt;"",TODAY()-INT(I207)&gt;=3),"молчит "&amp;(TODAY()-INT(I207))&amp;" дн.",IF(OR(C207="Перезвонить",C207="Созвон"),"укажи дату","")),IF(INT(E207)&lt;TODAY(),"просрочено",IF(INT(E207)=TODAY(),"сегодня",IF(INT(E207)=TODAY()+1,"завтра",TEXT(E207,"dd.mm"))))))</f>
        <v/>
      </c>
      <c r="G207" s="52" t="n"/>
      <c r="H207" s="36" t="inlineStr">
        <is>
          <t>79377701990</t>
        </is>
      </c>
      <c r="I207" s="53" t="n"/>
      <c r="J207" s="38">
        <f>IFERROR(MATCH(C207,'Справка'!$A$12:$A$21,0),99)</f>
        <v/>
      </c>
      <c r="K207" s="39">
        <f>HYPERLINK("https://wa.me/"&amp;H207&amp;"?text="&amp;ENCODEURL(T207),"✉ Написать")</f>
        <v/>
      </c>
      <c r="L207" s="39">
        <f>HYPERLINK("https://wa.me/"&amp;H207,"Открыть чат")</f>
        <v/>
      </c>
      <c r="M207" s="38" t="inlineStr">
        <is>
          <t>Казань</t>
        </is>
      </c>
      <c r="N207" s="38" t="n"/>
      <c r="O207" s="38" t="n"/>
      <c r="P207" s="38" t="n"/>
      <c r="Q207" s="38" t="inlineStr">
        <is>
          <t>без сайта</t>
        </is>
      </c>
      <c r="R207" s="38" t="n">
        <v>2</v>
      </c>
      <c r="S207" s="38" t="inlineStr">
        <is>
          <t>Республика Татарстан</t>
        </is>
      </c>
      <c r="T207" s="38" t="inlineStr">
        <is>
          <t>Здравствуйте! Искал в 2ГИС кровельные компании в Казани и наткнулся на вас. Сайта в карточке не увидел.
Могу за вечер собрать для «Хороший ремонт» сайт и показать. Платить не нужно, пока не понравится. Собрать?</t>
        </is>
      </c>
      <c r="U207" s="38">
        <f>B207&amp;IF(D207&lt;&gt;""," · "&amp;D207,"")&amp;IF(F207&lt;&gt;"",CHAR(10)&amp;F207,"")</f>
        <v/>
      </c>
      <c r="V207" s="38">
        <f>IF(OR(F207="просрочено",F207="сегодня",F207="укажи дату",LEFT(F207,6)="молчит"),1,0)</f>
        <v/>
      </c>
    </row>
    <row r="208" ht="24" customHeight="1">
      <c r="A208" s="38" t="n">
        <v>207</v>
      </c>
      <c r="B208" s="32" t="inlineStr">
        <is>
          <t>Кровля и Кровельщики</t>
        </is>
      </c>
      <c r="C208" s="49" t="inlineStr">
        <is>
          <t>Очередь</t>
        </is>
      </c>
      <c r="D208" s="49" t="n"/>
      <c r="E208" s="50" t="n"/>
      <c r="F208" s="51">
        <f>IF(OR(C208="",C208="Очередь",C208="Клиент",C208="Отказ",C208="Не писать"),"",IF(E208="",IF(AND(C208="Отправлено",I208&lt;&gt;"",TODAY()-INT(I208)&gt;=3),"молчит "&amp;(TODAY()-INT(I208))&amp;" дн.",IF(OR(C208="Перезвонить",C208="Созвон"),"укажи дату","")),IF(INT(E208)&lt;TODAY(),"просрочено",IF(INT(E208)=TODAY(),"сегодня",IF(INT(E208)=TODAY()+1,"завтра",TEXT(E208,"dd.mm"))))))</f>
        <v/>
      </c>
      <c r="G208" s="52" t="n"/>
      <c r="H208" s="36" t="inlineStr">
        <is>
          <t>79274032020</t>
        </is>
      </c>
      <c r="I208" s="53" t="n"/>
      <c r="J208" s="38">
        <f>IFERROR(MATCH(C208,'Справка'!$A$12:$A$21,0),99)</f>
        <v/>
      </c>
      <c r="K208" s="39">
        <f>HYPERLINK("https://wa.me/"&amp;H208&amp;"?text="&amp;ENCODEURL(T208),"✉ Написать")</f>
        <v/>
      </c>
      <c r="L208" s="39">
        <f>HYPERLINK("https://wa.me/"&amp;H208,"Открыть чат")</f>
        <v/>
      </c>
      <c r="M208" s="38" t="inlineStr">
        <is>
          <t>Казань</t>
        </is>
      </c>
      <c r="N208" s="38" t="n"/>
      <c r="O208" s="38" t="n"/>
      <c r="P208" s="38" t="n"/>
      <c r="Q208" s="38" t="inlineStr">
        <is>
          <t>без сайта</t>
        </is>
      </c>
      <c r="R208" s="38" t="n">
        <v>2</v>
      </c>
      <c r="S208" s="38" t="inlineStr">
        <is>
          <t>Республика Татарстан</t>
        </is>
      </c>
      <c r="T208" s="38" t="inlineStr">
        <is>
          <t>Здравствуйте! Смотрел в 2ГИС, кто делает кровлю в Казани, и нашёл «Кровля и Кровельщики». Сайта в карточке нет.
Готов за вечер собрать сайт для «Кровля и Кровельщики» и показать вам. Денег вперёд не беру. Собрать?</t>
        </is>
      </c>
      <c r="U208" s="38">
        <f>B208&amp;IF(D208&lt;&gt;""," · "&amp;D208,"")&amp;IF(F208&lt;&gt;"",CHAR(10)&amp;F208,"")</f>
        <v/>
      </c>
      <c r="V208" s="38">
        <f>IF(OR(F208="просрочено",F208="сегодня",F208="укажи дату",LEFT(F208,6)="молчит"),1,0)</f>
        <v/>
      </c>
    </row>
    <row r="209" ht="24" customHeight="1">
      <c r="A209" s="38" t="n">
        <v>208</v>
      </c>
      <c r="B209" s="32" t="inlineStr">
        <is>
          <t>Новая крыша</t>
        </is>
      </c>
      <c r="C209" s="49" t="inlineStr">
        <is>
          <t>Очередь</t>
        </is>
      </c>
      <c r="D209" s="49" t="n"/>
      <c r="E209" s="50" t="n"/>
      <c r="F209" s="51">
        <f>IF(OR(C209="",C209="Очередь",C209="Клиент",C209="Отказ",C209="Не писать"),"",IF(E209="",IF(AND(C209="Отправлено",I209&lt;&gt;"",TODAY()-INT(I209)&gt;=3),"молчит "&amp;(TODAY()-INT(I209))&amp;" дн.",IF(OR(C209="Перезвонить",C209="Созвон"),"укажи дату","")),IF(INT(E209)&lt;TODAY(),"просрочено",IF(INT(E209)=TODAY(),"сегодня",IF(INT(E209)=TODAY()+1,"завтра",TEXT(E209,"dd.mm"))))))</f>
        <v/>
      </c>
      <c r="G209" s="52" t="n"/>
      <c r="H209" s="36" t="inlineStr">
        <is>
          <t>79534896667</t>
        </is>
      </c>
      <c r="I209" s="53" t="n"/>
      <c r="J209" s="38">
        <f>IFERROR(MATCH(C209,'Справка'!$A$12:$A$21,0),99)</f>
        <v/>
      </c>
      <c r="K209" s="39">
        <f>HYPERLINK("https://wa.me/"&amp;H209&amp;"?text="&amp;ENCODEURL(T209),"✉ Написать")</f>
        <v/>
      </c>
      <c r="L209" s="39">
        <f>HYPERLINK("https://wa.me/"&amp;H209,"Открыть чат")</f>
        <v/>
      </c>
      <c r="M209" s="38" t="inlineStr">
        <is>
          <t>Казань</t>
        </is>
      </c>
      <c r="N209" s="38" t="n"/>
      <c r="O209" s="38" t="n"/>
      <c r="P209" s="38" t="n"/>
      <c r="Q209" s="38" t="inlineStr">
        <is>
          <t>без сайта</t>
        </is>
      </c>
      <c r="R209" s="38" t="n">
        <v>2</v>
      </c>
      <c r="S209" s="38" t="inlineStr">
        <is>
          <t>Республика Татарстан</t>
        </is>
      </c>
      <c r="T209" s="38" t="inlineStr">
        <is>
          <t>Здравствуйте! Нашёл вас в 2ГИС среди кровельных компаний в Казани, а сайта в карточке не нашёл.
Могу собрать сайт под «Новая крыша» за вечер и показать. Не понравится — ничего не должны. Сделать?</t>
        </is>
      </c>
      <c r="U209" s="38">
        <f>B209&amp;IF(D209&lt;&gt;""," · "&amp;D209,"")&amp;IF(F209&lt;&gt;"",CHAR(10)&amp;F209,"")</f>
        <v/>
      </c>
      <c r="V209" s="38">
        <f>IF(OR(F209="просрочено",F209="сегодня",F209="укажи дату",LEFT(F209,6)="молчит"),1,0)</f>
        <v/>
      </c>
    </row>
    <row r="210" ht="24" customHeight="1">
      <c r="A210" s="38" t="n">
        <v>209</v>
      </c>
      <c r="B210" s="32" t="inlineStr">
        <is>
          <t>Жестяная мастерская</t>
        </is>
      </c>
      <c r="C210" s="49" t="inlineStr">
        <is>
          <t>Очередь</t>
        </is>
      </c>
      <c r="D210" s="49" t="n"/>
      <c r="E210" s="50" t="n"/>
      <c r="F210" s="51">
        <f>IF(OR(C210="",C210="Очередь",C210="Клиент",C210="Отказ",C210="Не писать"),"",IF(E210="",IF(AND(C210="Отправлено",I210&lt;&gt;"",TODAY()-INT(I210)&gt;=3),"молчит "&amp;(TODAY()-INT(I210))&amp;" дн.",IF(OR(C210="Перезвонить",C210="Созвон"),"укажи дату","")),IF(INT(E210)&lt;TODAY(),"просрочено",IF(INT(E210)=TODAY(),"сегодня",IF(INT(E210)=TODAY()+1,"завтра",TEXT(E210,"dd.mm"))))))</f>
        <v/>
      </c>
      <c r="G210" s="52" t="n"/>
      <c r="H210" s="36" t="inlineStr">
        <is>
          <t>79001357836</t>
        </is>
      </c>
      <c r="I210" s="53" t="n"/>
      <c r="J210" s="38">
        <f>IFERROR(MATCH(C210,'Справка'!$A$12:$A$21,0),99)</f>
        <v/>
      </c>
      <c r="K210" s="39">
        <f>HYPERLINK("https://wa.me/"&amp;H210&amp;"?text="&amp;ENCODEURL(T210),"✉ Написать")</f>
        <v/>
      </c>
      <c r="L210" s="39">
        <f>HYPERLINK("https://wa.me/"&amp;H210,"Открыть чат")</f>
        <v/>
      </c>
      <c r="M210" s="38" t="inlineStr">
        <is>
          <t>Ростов-на-Дону</t>
        </is>
      </c>
      <c r="N210" s="38" t="n">
        <v>2.3</v>
      </c>
      <c r="O210" s="38" t="n">
        <v>3</v>
      </c>
      <c r="P210" s="38" t="n"/>
      <c r="Q210" s="38" t="inlineStr">
        <is>
          <t>без сайта</t>
        </is>
      </c>
      <c r="R210" s="38" t="n">
        <v>2</v>
      </c>
      <c r="S210" s="38" t="inlineStr">
        <is>
          <t>Ростовская область</t>
        </is>
      </c>
      <c r="T210" s="38" t="inlineStr">
        <is>
          <t>Здравствуйте! Искал в 2ГИС кровельные компании в Ростове-на-Дону и наткнулся на вас. Сайта в карточке не увидел.
Могу за вечер собрать для «Жестяная мастерская» сайт и показать. Платить не нужно, пока не понравится. Собрать?</t>
        </is>
      </c>
      <c r="U210" s="38">
        <f>B210&amp;IF(D210&lt;&gt;""," · "&amp;D210,"")&amp;IF(F210&lt;&gt;"",CHAR(10)&amp;F210,"")</f>
        <v/>
      </c>
      <c r="V210" s="38">
        <f>IF(OR(F210="просрочено",F210="сегодня",F210="укажи дату",LEFT(F210,6)="молчит"),1,0)</f>
        <v/>
      </c>
    </row>
    <row r="211" ht="24" customHeight="1">
      <c r="A211" s="38" t="n">
        <v>210</v>
      </c>
      <c r="B211" s="32" t="inlineStr">
        <is>
          <t>Южные Вершины</t>
        </is>
      </c>
      <c r="C211" s="49" t="inlineStr">
        <is>
          <t>Очередь</t>
        </is>
      </c>
      <c r="D211" s="49" t="n"/>
      <c r="E211" s="50" t="n"/>
      <c r="F211" s="51">
        <f>IF(OR(C211="",C211="Очередь",C211="Клиент",C211="Отказ",C211="Не писать"),"",IF(E211="",IF(AND(C211="Отправлено",I211&lt;&gt;"",TODAY()-INT(I211)&gt;=3),"молчит "&amp;(TODAY()-INT(I211))&amp;" дн.",IF(OR(C211="Перезвонить",C211="Созвон"),"укажи дату","")),IF(INT(E211)&lt;TODAY(),"просрочено",IF(INT(E211)=TODAY(),"сегодня",IF(INT(E211)=TODAY()+1,"завтра",TEXT(E211,"dd.mm"))))))</f>
        <v/>
      </c>
      <c r="G211" s="52" t="n"/>
      <c r="H211" s="36" t="inlineStr">
        <is>
          <t>79281605857</t>
        </is>
      </c>
      <c r="I211" s="53" t="n"/>
      <c r="J211" s="38">
        <f>IFERROR(MATCH(C211,'Справка'!$A$12:$A$21,0),99)</f>
        <v/>
      </c>
      <c r="K211" s="39">
        <f>HYPERLINK("https://wa.me/"&amp;H211&amp;"?text="&amp;ENCODEURL(T211),"✉ Написать")</f>
        <v/>
      </c>
      <c r="L211" s="39">
        <f>HYPERLINK("https://wa.me/"&amp;H211,"Открыть чат")</f>
        <v/>
      </c>
      <c r="M211" s="38" t="inlineStr">
        <is>
          <t>Ростов-на-Дону</t>
        </is>
      </c>
      <c r="N211" s="38" t="n">
        <v>4.7</v>
      </c>
      <c r="O211" s="38" t="n">
        <v>3</v>
      </c>
      <c r="P211" s="38" t="n"/>
      <c r="Q211" s="38" t="inlineStr">
        <is>
          <t>без сайта</t>
        </is>
      </c>
      <c r="R211" s="38" t="n">
        <v>2</v>
      </c>
      <c r="S211" s="38" t="inlineStr">
        <is>
          <t>Ростовская область</t>
        </is>
      </c>
      <c r="T211" s="38" t="inlineStr">
        <is>
          <t>Здравствуйте! Смотрел в 2ГИС, кто делает кровлю в Ростове-на-Дону. У «Южные Вершины» хорошие отзывы, но сайта в карточке я не нашёл.
Готов за вечер собрать сайт для «Южные Вершины» и показать вам. Денег вперёд не беру. Собрать?</t>
        </is>
      </c>
      <c r="U211" s="38">
        <f>B211&amp;IF(D211&lt;&gt;""," · "&amp;D211,"")&amp;IF(F211&lt;&gt;"",CHAR(10)&amp;F211,"")</f>
        <v/>
      </c>
      <c r="V211" s="38">
        <f>IF(OR(F211="просрочено",F211="сегодня",F211="укажи дату",LEFT(F211,6)="молчит"),1,0)</f>
        <v/>
      </c>
    </row>
    <row r="212" ht="24" customHeight="1">
      <c r="A212" s="38" t="n">
        <v>211</v>
      </c>
      <c r="B212" s="32" t="inlineStr">
        <is>
          <t>Первый дом</t>
        </is>
      </c>
      <c r="C212" s="49" t="inlineStr">
        <is>
          <t>Очередь</t>
        </is>
      </c>
      <c r="D212" s="49" t="n"/>
      <c r="E212" s="50" t="n"/>
      <c r="F212" s="51">
        <f>IF(OR(C212="",C212="Очередь",C212="Клиент",C212="Отказ",C212="Не писать"),"",IF(E212="",IF(AND(C212="Отправлено",I212&lt;&gt;"",TODAY()-INT(I212)&gt;=3),"молчит "&amp;(TODAY()-INT(I212))&amp;" дн.",IF(OR(C212="Перезвонить",C212="Созвон"),"укажи дату","")),IF(INT(E212)&lt;TODAY(),"просрочено",IF(INT(E212)=TODAY(),"сегодня",IF(INT(E212)=TODAY()+1,"завтра",TEXT(E212,"dd.mm"))))))</f>
        <v/>
      </c>
      <c r="G212" s="52" t="n"/>
      <c r="H212" s="36" t="inlineStr">
        <is>
          <t>79282703416</t>
        </is>
      </c>
      <c r="I212" s="53" t="n"/>
      <c r="J212" s="38">
        <f>IFERROR(MATCH(C212,'Справка'!$A$12:$A$21,0),99)</f>
        <v/>
      </c>
      <c r="K212" s="39">
        <f>HYPERLINK("https://wa.me/"&amp;H212&amp;"?text="&amp;ENCODEURL(T212),"✉ Написать")</f>
        <v/>
      </c>
      <c r="L212" s="39">
        <f>HYPERLINK("https://wa.me/"&amp;H212,"Открыть чат")</f>
        <v/>
      </c>
      <c r="M212" s="38" t="inlineStr">
        <is>
          <t>Ростов-на-Дону</t>
        </is>
      </c>
      <c r="N212" s="38" t="n">
        <v>5</v>
      </c>
      <c r="O212" s="38" t="n">
        <v>1</v>
      </c>
      <c r="P212" s="38" t="n"/>
      <c r="Q212" s="38" t="inlineStr">
        <is>
          <t>без сайта</t>
        </is>
      </c>
      <c r="R212" s="38" t="n">
        <v>2</v>
      </c>
      <c r="S212" s="38" t="inlineStr">
        <is>
          <t>Ростовская область</t>
        </is>
      </c>
      <c r="T212" s="38" t="inlineStr">
        <is>
          <t>Здравствуйте! Нашёл вас в 2ГИС среди кровельных компаний в Ростове-на-Дону, а сайта в карточке не нашёл.
Могу собрать сайт под «Первый дом» за вечер и показать. Не понравится — ничего не должны. Сделать?</t>
        </is>
      </c>
      <c r="U212" s="38">
        <f>B212&amp;IF(D212&lt;&gt;""," · "&amp;D212,"")&amp;IF(F212&lt;&gt;"",CHAR(10)&amp;F212,"")</f>
        <v/>
      </c>
      <c r="V212" s="38">
        <f>IF(OR(F212="просрочено",F212="сегодня",F212="укажи дату",LEFT(F212,6)="молчит"),1,0)</f>
        <v/>
      </c>
    </row>
    <row r="213" ht="24" customHeight="1">
      <c r="A213" s="38" t="n">
        <v>212</v>
      </c>
      <c r="B213" s="32" t="inlineStr">
        <is>
          <t>Альп Гарант</t>
        </is>
      </c>
      <c r="C213" s="49" t="inlineStr">
        <is>
          <t>Очередь</t>
        </is>
      </c>
      <c r="D213" s="49" t="n"/>
      <c r="E213" s="50" t="n"/>
      <c r="F213" s="51">
        <f>IF(OR(C213="",C213="Очередь",C213="Клиент",C213="Отказ",C213="Не писать"),"",IF(E213="",IF(AND(C213="Отправлено",I213&lt;&gt;"",TODAY()-INT(I213)&gt;=3),"молчит "&amp;(TODAY()-INT(I213))&amp;" дн.",IF(OR(C213="Перезвонить",C213="Созвон"),"укажи дату","")),IF(INT(E213)&lt;TODAY(),"просрочено",IF(INT(E213)=TODAY(),"сегодня",IF(INT(E213)=TODAY()+1,"завтра",TEXT(E213,"dd.mm"))))))</f>
        <v/>
      </c>
      <c r="G213" s="52" t="n"/>
      <c r="H213" s="36" t="inlineStr">
        <is>
          <t>79514958669</t>
        </is>
      </c>
      <c r="I213" s="53" t="n"/>
      <c r="J213" s="38">
        <f>IFERROR(MATCH(C213,'Справка'!$A$12:$A$21,0),99)</f>
        <v/>
      </c>
      <c r="K213" s="39">
        <f>HYPERLINK("https://wa.me/"&amp;H213&amp;"?text="&amp;ENCODEURL(T213),"✉ Написать")</f>
        <v/>
      </c>
      <c r="L213" s="39">
        <f>HYPERLINK("https://wa.me/"&amp;H213,"Открыть чат")</f>
        <v/>
      </c>
      <c r="M213" s="38" t="inlineStr">
        <is>
          <t>Ростов-на-Дону</t>
        </is>
      </c>
      <c r="N213" s="38" t="n"/>
      <c r="O213" s="38" t="n"/>
      <c r="P213" s="38" t="n"/>
      <c r="Q213" s="38" t="inlineStr">
        <is>
          <t>без сайта</t>
        </is>
      </c>
      <c r="R213" s="38" t="n">
        <v>2</v>
      </c>
      <c r="S213" s="38" t="inlineStr">
        <is>
          <t>Ростовская область</t>
        </is>
      </c>
      <c r="T213" s="38" t="inlineStr">
        <is>
          <t>Здравствуйте! Искал в 2ГИС кровельные компании в Ростове-на-Дону и наткнулся на вас. Сайта в карточке не увидел.
Могу за вечер собрать для «Альп Гарант» сайт и показать. Платить не нужно, пока не понравится. Собрать?</t>
        </is>
      </c>
      <c r="U213" s="38">
        <f>B213&amp;IF(D213&lt;&gt;""," · "&amp;D213,"")&amp;IF(F213&lt;&gt;"",CHAR(10)&amp;F213,"")</f>
        <v/>
      </c>
      <c r="V213" s="38">
        <f>IF(OR(F213="просрочено",F213="сегодня",F213="укажи дату",LEFT(F213,6)="молчит"),1,0)</f>
        <v/>
      </c>
    </row>
    <row r="214" ht="24" customHeight="1">
      <c r="A214" s="38" t="n">
        <v>213</v>
      </c>
      <c r="B214" s="32" t="inlineStr">
        <is>
          <t>Теплострой</t>
        </is>
      </c>
      <c r="C214" s="49" t="inlineStr">
        <is>
          <t>Очередь</t>
        </is>
      </c>
      <c r="D214" s="49" t="n"/>
      <c r="E214" s="50" t="n"/>
      <c r="F214" s="51">
        <f>IF(OR(C214="",C214="Очередь",C214="Клиент",C214="Отказ",C214="Не писать"),"",IF(E214="",IF(AND(C214="Отправлено",I214&lt;&gt;"",TODAY()-INT(I214)&gt;=3),"молчит "&amp;(TODAY()-INT(I214))&amp;" дн.",IF(OR(C214="Перезвонить",C214="Созвон"),"укажи дату","")),IF(INT(E214)&lt;TODAY(),"просрочено",IF(INT(E214)=TODAY(),"сегодня",IF(INT(E214)=TODAY()+1,"завтра",TEXT(E214,"dd.mm"))))))</f>
        <v/>
      </c>
      <c r="G214" s="52" t="n"/>
      <c r="H214" s="36" t="inlineStr">
        <is>
          <t>79885886994</t>
        </is>
      </c>
      <c r="I214" s="53" t="n"/>
      <c r="J214" s="38">
        <f>IFERROR(MATCH(C214,'Справка'!$A$12:$A$21,0),99)</f>
        <v/>
      </c>
      <c r="K214" s="39">
        <f>HYPERLINK("https://wa.me/"&amp;H214&amp;"?text="&amp;ENCODEURL(T214),"✉ Написать")</f>
        <v/>
      </c>
      <c r="L214" s="39">
        <f>HYPERLINK("https://wa.me/"&amp;H214,"Открыть чат")</f>
        <v/>
      </c>
      <c r="M214" s="38" t="inlineStr">
        <is>
          <t>Ростов-на-Дону</t>
        </is>
      </c>
      <c r="N214" s="38" t="n"/>
      <c r="O214" s="38" t="n"/>
      <c r="P214" s="38" t="n"/>
      <c r="Q214" s="38" t="inlineStr">
        <is>
          <t>без сайта</t>
        </is>
      </c>
      <c r="R214" s="38" t="n">
        <v>2</v>
      </c>
      <c r="S214" s="38" t="inlineStr">
        <is>
          <t>Ростовская область</t>
        </is>
      </c>
      <c r="T214" s="38" t="inlineStr">
        <is>
          <t>Здравствуйте! Смотрел в 2ГИС, кто делает кровлю в Ростове-на-Дону, и нашёл «Теплострой». Сайта в карточке нет.
Готов за вечер собрать сайт для «Теплострой» и показать вам. Денег вперёд не беру. Собрать?</t>
        </is>
      </c>
      <c r="U214" s="38">
        <f>B214&amp;IF(D214&lt;&gt;""," · "&amp;D214,"")&amp;IF(F214&lt;&gt;"",CHAR(10)&amp;F214,"")</f>
        <v/>
      </c>
      <c r="V214" s="38">
        <f>IF(OR(F214="просрочено",F214="сегодня",F214="укажи дату",LEFT(F214,6)="молчит"),1,0)</f>
        <v/>
      </c>
    </row>
    <row r="215" ht="24" customHeight="1">
      <c r="A215" s="38" t="n">
        <v>214</v>
      </c>
      <c r="B215" s="32" t="inlineStr">
        <is>
          <t>Альянс</t>
        </is>
      </c>
      <c r="C215" s="49" t="inlineStr">
        <is>
          <t>Очередь</t>
        </is>
      </c>
      <c r="D215" s="49" t="n"/>
      <c r="E215" s="50" t="n"/>
      <c r="F215" s="51">
        <f>IF(OR(C215="",C215="Очередь",C215="Клиент",C215="Отказ",C215="Не писать"),"",IF(E215="",IF(AND(C215="Отправлено",I215&lt;&gt;"",TODAY()-INT(I215)&gt;=3),"молчит "&amp;(TODAY()-INT(I215))&amp;" дн.",IF(OR(C215="Перезвонить",C215="Созвон"),"укажи дату","")),IF(INT(E215)&lt;TODAY(),"просрочено",IF(INT(E215)=TODAY(),"сегодня",IF(INT(E215)=TODAY()+1,"завтра",TEXT(E215,"dd.mm"))))))</f>
        <v/>
      </c>
      <c r="G215" s="52" t="n"/>
      <c r="H215" s="36" t="inlineStr">
        <is>
          <t>79185555657</t>
        </is>
      </c>
      <c r="I215" s="53" t="n"/>
      <c r="J215" s="38">
        <f>IFERROR(MATCH(C215,'Справка'!$A$12:$A$21,0),99)</f>
        <v/>
      </c>
      <c r="K215" s="39">
        <f>HYPERLINK("https://wa.me/"&amp;H215&amp;"?text="&amp;ENCODEURL(T215),"✉ Написать")</f>
        <v/>
      </c>
      <c r="L215" s="39">
        <f>HYPERLINK("https://wa.me/"&amp;H215,"Открыть чат")</f>
        <v/>
      </c>
      <c r="M215" s="38" t="inlineStr">
        <is>
          <t>Ростов-на-Дону</t>
        </is>
      </c>
      <c r="N215" s="38" t="n"/>
      <c r="O215" s="38" t="n"/>
      <c r="P215" s="38" t="n"/>
      <c r="Q215" s="38" t="inlineStr">
        <is>
          <t>без сайта</t>
        </is>
      </c>
      <c r="R215" s="38" t="n">
        <v>2</v>
      </c>
      <c r="S215" s="38" t="inlineStr">
        <is>
          <t>Ростовская область</t>
        </is>
      </c>
      <c r="T215" s="38" t="inlineStr">
        <is>
          <t>Здравствуйте! Нашёл вас в 2ГИС среди кровельных компаний в Ростове-на-Дону, а сайта в карточке не нашёл.
Могу собрать сайт под «Альянс» за вечер и показать. Не понравится — ничего не должны. Сделать?</t>
        </is>
      </c>
      <c r="U215" s="38">
        <f>B215&amp;IF(D215&lt;&gt;""," · "&amp;D215,"")&amp;IF(F215&lt;&gt;"",CHAR(10)&amp;F215,"")</f>
        <v/>
      </c>
      <c r="V215" s="38">
        <f>IF(OR(F215="просрочено",F215="сегодня",F215="укажи дату",LEFT(F215,6)="молчит"),1,0)</f>
        <v/>
      </c>
    </row>
    <row r="216" ht="24" customHeight="1">
      <c r="A216" s="38" t="n">
        <v>215</v>
      </c>
      <c r="B216" s="32" t="inlineStr">
        <is>
          <t>Служба кровельных работ</t>
        </is>
      </c>
      <c r="C216" s="49" t="inlineStr">
        <is>
          <t>Очередь</t>
        </is>
      </c>
      <c r="D216" s="49" t="n"/>
      <c r="E216" s="50" t="n"/>
      <c r="F216" s="51">
        <f>IF(OR(C216="",C216="Очередь",C216="Клиент",C216="Отказ",C216="Не писать"),"",IF(E216="",IF(AND(C216="Отправлено",I216&lt;&gt;"",TODAY()-INT(I216)&gt;=3),"молчит "&amp;(TODAY()-INT(I216))&amp;" дн.",IF(OR(C216="Перезвонить",C216="Созвон"),"укажи дату","")),IF(INT(E216)&lt;TODAY(),"просрочено",IF(INT(E216)=TODAY(),"сегодня",IF(INT(E216)=TODAY()+1,"завтра",TEXT(E216,"dd.mm"))))))</f>
        <v/>
      </c>
      <c r="G216" s="52" t="n"/>
      <c r="H216" s="36" t="inlineStr">
        <is>
          <t>79010001783</t>
        </is>
      </c>
      <c r="I216" s="53" t="n"/>
      <c r="J216" s="38">
        <f>IFERROR(MATCH(C216,'Справка'!$A$12:$A$21,0),99)</f>
        <v/>
      </c>
      <c r="K216" s="39">
        <f>HYPERLINK("https://wa.me/"&amp;H216&amp;"?text="&amp;ENCODEURL(T216),"✉ Написать")</f>
        <v/>
      </c>
      <c r="L216" s="39">
        <f>HYPERLINK("https://wa.me/"&amp;H216,"Открыть чат")</f>
        <v/>
      </c>
      <c r="M216" s="38" t="inlineStr">
        <is>
          <t>Ростов-на-Дону</t>
        </is>
      </c>
      <c r="N216" s="38" t="n"/>
      <c r="O216" s="38" t="n"/>
      <c r="P216" s="38" t="n"/>
      <c r="Q216" s="38" t="inlineStr">
        <is>
          <t>без сайта</t>
        </is>
      </c>
      <c r="R216" s="38" t="n">
        <v>2</v>
      </c>
      <c r="S216" s="38" t="inlineStr">
        <is>
          <t>Ростовская область</t>
        </is>
      </c>
      <c r="T216" s="38" t="inlineStr">
        <is>
          <t>Здравствуйте! Искал в 2ГИС кровельные компании в Ростове-на-Дону и наткнулся на вас. Сайта в карточке не увидел.
Могу за вечер собрать для «Служба кровельных работ» сайт и показать. Платить не нужно, пока не понравится. Собрать?</t>
        </is>
      </c>
      <c r="U216" s="38">
        <f>B216&amp;IF(D216&lt;&gt;""," · "&amp;D216,"")&amp;IF(F216&lt;&gt;"",CHAR(10)&amp;F216,"")</f>
        <v/>
      </c>
      <c r="V216" s="38">
        <f>IF(OR(F216="просрочено",F216="сегодня",F216="укажи дату",LEFT(F216,6)="молчит"),1,0)</f>
        <v/>
      </c>
    </row>
    <row r="217" ht="24" customHeight="1">
      <c r="A217" s="38" t="n">
        <v>216</v>
      </c>
      <c r="B217" s="32" t="inlineStr">
        <is>
          <t>Строительно-монтажная компания</t>
        </is>
      </c>
      <c r="C217" s="49" t="inlineStr">
        <is>
          <t>Очередь</t>
        </is>
      </c>
      <c r="D217" s="49" t="n"/>
      <c r="E217" s="50" t="n"/>
      <c r="F217" s="51">
        <f>IF(OR(C217="",C217="Очередь",C217="Клиент",C217="Отказ",C217="Не писать"),"",IF(E217="",IF(AND(C217="Отправлено",I217&lt;&gt;"",TODAY()-INT(I217)&gt;=3),"молчит "&amp;(TODAY()-INT(I217))&amp;" дн.",IF(OR(C217="Перезвонить",C217="Созвон"),"укажи дату","")),IF(INT(E217)&lt;TODAY(),"просрочено",IF(INT(E217)=TODAY(),"сегодня",IF(INT(E217)=TODAY()+1,"завтра",TEXT(E217,"dd.mm"))))))</f>
        <v/>
      </c>
      <c r="G217" s="52" t="n"/>
      <c r="H217" s="36" t="inlineStr">
        <is>
          <t>79508440769</t>
        </is>
      </c>
      <c r="I217" s="53" t="n"/>
      <c r="J217" s="38">
        <f>IFERROR(MATCH(C217,'Справка'!$A$12:$A$21,0),99)</f>
        <v/>
      </c>
      <c r="K217" s="39">
        <f>HYPERLINK("https://wa.me/"&amp;H217&amp;"?text="&amp;ENCODEURL(T217),"✉ Написать")</f>
        <v/>
      </c>
      <c r="L217" s="39">
        <f>HYPERLINK("https://wa.me/"&amp;H217,"Открыть чат")</f>
        <v/>
      </c>
      <c r="M217" s="38" t="inlineStr">
        <is>
          <t>Ростов-на-Дону</t>
        </is>
      </c>
      <c r="N217" s="38" t="n"/>
      <c r="O217" s="38" t="n"/>
      <c r="P217" s="38" t="n"/>
      <c r="Q217" s="38" t="inlineStr">
        <is>
          <t>без сайта</t>
        </is>
      </c>
      <c r="R217" s="38" t="n">
        <v>2</v>
      </c>
      <c r="S217" s="38" t="inlineStr">
        <is>
          <t>Ростовская область</t>
        </is>
      </c>
      <c r="T217" s="38" t="inlineStr">
        <is>
          <t>Здравствуйте! Смотрел в 2ГИС, кто делает кровлю в Ростове-на-Дону, и нашёл «Строительно-монтажная компания». Сайта в карточке нет.
Готов за вечер собрать сайт для «Строительно-монтажная компания» и показать вам. Денег вперёд не беру. Собрать?</t>
        </is>
      </c>
      <c r="U217" s="38">
        <f>B217&amp;IF(D217&lt;&gt;""," · "&amp;D217,"")&amp;IF(F217&lt;&gt;"",CHAR(10)&amp;F217,"")</f>
        <v/>
      </c>
      <c r="V217" s="38">
        <f>IF(OR(F217="просрочено",F217="сегодня",F217="укажи дату",LEFT(F217,6)="молчит"),1,0)</f>
        <v/>
      </c>
    </row>
    <row r="218" ht="24" customHeight="1">
      <c r="A218" s="38" t="n">
        <v>217</v>
      </c>
      <c r="B218" s="32" t="inlineStr">
        <is>
          <t>Дож строй</t>
        </is>
      </c>
      <c r="C218" s="49" t="inlineStr">
        <is>
          <t>Очередь</t>
        </is>
      </c>
      <c r="D218" s="49" t="n"/>
      <c r="E218" s="50" t="n"/>
      <c r="F218" s="51">
        <f>IF(OR(C218="",C218="Очередь",C218="Клиент",C218="Отказ",C218="Не писать"),"",IF(E218="",IF(AND(C218="Отправлено",I218&lt;&gt;"",TODAY()-INT(I218)&gt;=3),"молчит "&amp;(TODAY()-INT(I218))&amp;" дн.",IF(OR(C218="Перезвонить",C218="Созвон"),"укажи дату","")),IF(INT(E218)&lt;TODAY(),"просрочено",IF(INT(E218)=TODAY(),"сегодня",IF(INT(E218)=TODAY()+1,"завтра",TEXT(E218,"dd.mm"))))))</f>
        <v/>
      </c>
      <c r="G218" s="52" t="n"/>
      <c r="H218" s="36" t="inlineStr">
        <is>
          <t>79518387788</t>
        </is>
      </c>
      <c r="I218" s="53" t="n"/>
      <c r="J218" s="38">
        <f>IFERROR(MATCH(C218,'Справка'!$A$12:$A$21,0),99)</f>
        <v/>
      </c>
      <c r="K218" s="39">
        <f>HYPERLINK("https://wa.me/"&amp;H218&amp;"?text="&amp;ENCODEURL(T218),"✉ Написать")</f>
        <v/>
      </c>
      <c r="L218" s="39">
        <f>HYPERLINK("https://wa.me/"&amp;H218,"Открыть чат")</f>
        <v/>
      </c>
      <c r="M218" s="38" t="inlineStr">
        <is>
          <t>Ростов-на-Дону</t>
        </is>
      </c>
      <c r="N218" s="38" t="n"/>
      <c r="O218" s="38" t="n"/>
      <c r="P218" s="38" t="n"/>
      <c r="Q218" s="38" t="inlineStr">
        <is>
          <t>без сайта</t>
        </is>
      </c>
      <c r="R218" s="38" t="n">
        <v>2</v>
      </c>
      <c r="S218" s="38" t="inlineStr">
        <is>
          <t>Ростовская область</t>
        </is>
      </c>
      <c r="T218" s="38" t="inlineStr">
        <is>
          <t>Здравствуйте! Нашёл вас в 2ГИС среди кровельных компаний в Ростове-на-Дону, а сайта в карточке не нашёл.
Могу собрать сайт под «Дож строй» за вечер и показать. Не понравится — ничего не должны. Сделать?</t>
        </is>
      </c>
      <c r="U218" s="38">
        <f>B218&amp;IF(D218&lt;&gt;""," · "&amp;D218,"")&amp;IF(F218&lt;&gt;"",CHAR(10)&amp;F218,"")</f>
        <v/>
      </c>
      <c r="V218" s="38">
        <f>IF(OR(F218="просрочено",F218="сегодня",F218="укажи дату",LEFT(F218,6)="молчит"),1,0)</f>
        <v/>
      </c>
    </row>
    <row r="219" ht="24" customHeight="1">
      <c r="A219" s="38" t="n">
        <v>218</v>
      </c>
      <c r="B219" s="32" t="inlineStr">
        <is>
          <t>Покров</t>
        </is>
      </c>
      <c r="C219" s="49" t="inlineStr">
        <is>
          <t>Очередь</t>
        </is>
      </c>
      <c r="D219" s="49" t="n"/>
      <c r="E219" s="50" t="n"/>
      <c r="F219" s="51">
        <f>IF(OR(C219="",C219="Очередь",C219="Клиент",C219="Отказ",C219="Не писать"),"",IF(E219="",IF(AND(C219="Отправлено",I219&lt;&gt;"",TODAY()-INT(I219)&gt;=3),"молчит "&amp;(TODAY()-INT(I219))&amp;" дн.",IF(OR(C219="Перезвонить",C219="Созвон"),"укажи дату","")),IF(INT(E219)&lt;TODAY(),"просрочено",IF(INT(E219)=TODAY(),"сегодня",IF(INT(E219)=TODAY()+1,"завтра",TEXT(E219,"dd.mm"))))))</f>
        <v/>
      </c>
      <c r="G219" s="52" t="n"/>
      <c r="H219" s="36" t="inlineStr">
        <is>
          <t>79054564044</t>
        </is>
      </c>
      <c r="I219" s="53" t="n"/>
      <c r="J219" s="38">
        <f>IFERROR(MATCH(C219,'Справка'!$A$12:$A$21,0),99)</f>
        <v/>
      </c>
      <c r="K219" s="39">
        <f>HYPERLINK("https://wa.me/"&amp;H219&amp;"?text="&amp;ENCODEURL(T219),"✉ Написать")</f>
        <v/>
      </c>
      <c r="L219" s="39">
        <f>HYPERLINK("https://wa.me/"&amp;H219,"Открыть чат")</f>
        <v/>
      </c>
      <c r="M219" s="38" t="inlineStr">
        <is>
          <t>Новочеркасск</t>
        </is>
      </c>
      <c r="N219" s="38" t="n"/>
      <c r="O219" s="38" t="n"/>
      <c r="P219" s="38" t="n"/>
      <c r="Q219" s="38" t="inlineStr">
        <is>
          <t>без сайта</t>
        </is>
      </c>
      <c r="R219" s="38" t="n">
        <v>2</v>
      </c>
      <c r="S219" s="38" t="inlineStr">
        <is>
          <t>Ростовская область</t>
        </is>
      </c>
      <c r="T219" s="38" t="inlineStr">
        <is>
          <t>Здравствуйте! Искал в 2ГИС кровельные компании в Новочеркасске и наткнулся на вас. Сайта в карточке не увидел.
Могу за вечер собрать для «Покров» сайт и показать. Платить не нужно, пока не понравится. Собрать?</t>
        </is>
      </c>
      <c r="U219" s="38">
        <f>B219&amp;IF(D219&lt;&gt;""," · "&amp;D219,"")&amp;IF(F219&lt;&gt;"",CHAR(10)&amp;F219,"")</f>
        <v/>
      </c>
      <c r="V219" s="38">
        <f>IF(OR(F219="просрочено",F219="сегодня",F219="укажи дату",LEFT(F219,6)="молчит"),1,0)</f>
        <v/>
      </c>
    </row>
    <row r="220" ht="24" customHeight="1">
      <c r="A220" s="38" t="n">
        <v>219</v>
      </c>
      <c r="B220" s="32" t="inlineStr">
        <is>
          <t>Красный молот</t>
        </is>
      </c>
      <c r="C220" s="49" t="inlineStr">
        <is>
          <t>Очередь</t>
        </is>
      </c>
      <c r="D220" s="49" t="n"/>
      <c r="E220" s="50" t="n"/>
      <c r="F220" s="51">
        <f>IF(OR(C220="",C220="Очередь",C220="Клиент",C220="Отказ",C220="Не писать"),"",IF(E220="",IF(AND(C220="Отправлено",I220&lt;&gt;"",TODAY()-INT(I220)&gt;=3),"молчит "&amp;(TODAY()-INT(I220))&amp;" дн.",IF(OR(C220="Перезвонить",C220="Созвон"),"укажи дату","")),IF(INT(E220)&lt;TODAY(),"просрочено",IF(INT(E220)=TODAY(),"сегодня",IF(INT(E220)=TODAY()+1,"завтра",TEXT(E220,"dd.mm"))))))</f>
        <v/>
      </c>
      <c r="G220" s="52" t="n"/>
      <c r="H220" s="36" t="inlineStr">
        <is>
          <t>79045056048</t>
        </is>
      </c>
      <c r="I220" s="53" t="n"/>
      <c r="J220" s="38">
        <f>IFERROR(MATCH(C220,'Справка'!$A$12:$A$21,0),99)</f>
        <v/>
      </c>
      <c r="K220" s="39">
        <f>HYPERLINK("https://wa.me/"&amp;H220&amp;"?text="&amp;ENCODEURL(T220),"✉ Написать")</f>
        <v/>
      </c>
      <c r="L220" s="39">
        <f>HYPERLINK("https://wa.me/"&amp;H220,"Открыть чат")</f>
        <v/>
      </c>
      <c r="M220" s="38" t="inlineStr">
        <is>
          <t>Новочеркасск</t>
        </is>
      </c>
      <c r="N220" s="38" t="n"/>
      <c r="O220" s="38" t="n"/>
      <c r="P220" s="38" t="n"/>
      <c r="Q220" s="38" t="inlineStr">
        <is>
          <t>без сайта</t>
        </is>
      </c>
      <c r="R220" s="38" t="n">
        <v>2</v>
      </c>
      <c r="S220" s="38" t="inlineStr">
        <is>
          <t>Ростовская область</t>
        </is>
      </c>
      <c r="T220" s="38" t="inlineStr">
        <is>
          <t>Здравствуйте! Смотрел в 2ГИС, кто делает кровлю в Новочеркасске, и нашёл «Красный молот». Сайта в карточке нет.
Готов за вечер собрать сайт для «Красный молот» и показать вам. Денег вперёд не беру. Собрать?</t>
        </is>
      </c>
      <c r="U220" s="38">
        <f>B220&amp;IF(D220&lt;&gt;""," · "&amp;D220,"")&amp;IF(F220&lt;&gt;"",CHAR(10)&amp;F220,"")</f>
        <v/>
      </c>
      <c r="V220" s="38">
        <f>IF(OR(F220="просрочено",F220="сегодня",F220="укажи дату",LEFT(F220,6)="молчит"),1,0)</f>
        <v/>
      </c>
    </row>
    <row r="221" ht="24" customHeight="1">
      <c r="A221" s="38" t="n">
        <v>220</v>
      </c>
      <c r="B221" s="32" t="inlineStr">
        <is>
          <t>Дон-монтаж</t>
        </is>
      </c>
      <c r="C221" s="49" t="inlineStr">
        <is>
          <t>Очередь</t>
        </is>
      </c>
      <c r="D221" s="49" t="n"/>
      <c r="E221" s="50" t="n"/>
      <c r="F221" s="51">
        <f>IF(OR(C221="",C221="Очередь",C221="Клиент",C221="Отказ",C221="Не писать"),"",IF(E221="",IF(AND(C221="Отправлено",I221&lt;&gt;"",TODAY()-INT(I221)&gt;=3),"молчит "&amp;(TODAY()-INT(I221))&amp;" дн.",IF(OR(C221="Перезвонить",C221="Созвон"),"укажи дату","")),IF(INT(E221)&lt;TODAY(),"просрочено",IF(INT(E221)=TODAY(),"сегодня",IF(INT(E221)=TODAY()+1,"завтра",TEXT(E221,"dd.mm"))))))</f>
        <v/>
      </c>
      <c r="G221" s="52" t="n"/>
      <c r="H221" s="36" t="inlineStr">
        <is>
          <t>79381477082</t>
        </is>
      </c>
      <c r="I221" s="53" t="n"/>
      <c r="J221" s="38">
        <f>IFERROR(MATCH(C221,'Справка'!$A$12:$A$21,0),99)</f>
        <v/>
      </c>
      <c r="K221" s="39">
        <f>HYPERLINK("https://wa.me/"&amp;H221&amp;"?text="&amp;ENCODEURL(T221),"✉ Написать")</f>
        <v/>
      </c>
      <c r="L221" s="39">
        <f>HYPERLINK("https://wa.me/"&amp;H221,"Открыть чат")</f>
        <v/>
      </c>
      <c r="M221" s="38" t="inlineStr">
        <is>
          <t>с. Самарское</t>
        </is>
      </c>
      <c r="N221" s="38" t="n"/>
      <c r="O221" s="38" t="n"/>
      <c r="P221" s="38" t="n"/>
      <c r="Q221" s="38" t="inlineStr">
        <is>
          <t>без сайта</t>
        </is>
      </c>
      <c r="R221" s="38" t="n">
        <v>2</v>
      </c>
      <c r="S221" s="38" t="inlineStr">
        <is>
          <t>Ростовская область</t>
        </is>
      </c>
      <c r="T221" s="38" t="inlineStr">
        <is>
          <t>Здравствуйте! Нашёл вас в 2ГИС среди кровельных компаний в Ростовской области, а сайта в карточке не нашёл.
Могу собрать сайт под «Дон-монтаж» за вечер и показать. Не понравится — ничего не должны. Сделать?</t>
        </is>
      </c>
      <c r="U221" s="38">
        <f>B221&amp;IF(D221&lt;&gt;""," · "&amp;D221,"")&amp;IF(F221&lt;&gt;"",CHAR(10)&amp;F221,"")</f>
        <v/>
      </c>
      <c r="V221" s="38">
        <f>IF(OR(F221="просрочено",F221="сегодня",F221="укажи дату",LEFT(F221,6)="молчит"),1,0)</f>
        <v/>
      </c>
    </row>
    <row r="222" ht="24" customHeight="1">
      <c r="A222" s="38" t="n">
        <v>221</v>
      </c>
      <c r="B222" s="32" t="inlineStr">
        <is>
          <t>ИнженерСтройПлюс</t>
        </is>
      </c>
      <c r="C222" s="49" t="inlineStr">
        <is>
          <t>Очередь</t>
        </is>
      </c>
      <c r="D222" s="49" t="n"/>
      <c r="E222" s="50" t="n"/>
      <c r="F222" s="51">
        <f>IF(OR(C222="",C222="Очередь",C222="Клиент",C222="Отказ",C222="Не писать"),"",IF(E222="",IF(AND(C222="Отправлено",I222&lt;&gt;"",TODAY()-INT(I222)&gt;=3),"молчит "&amp;(TODAY()-INT(I222))&amp;" дн.",IF(OR(C222="Перезвонить",C222="Созвон"),"укажи дату","")),IF(INT(E222)&lt;TODAY(),"просрочено",IF(INT(E222)=TODAY(),"сегодня",IF(INT(E222)=TODAY()+1,"завтра",TEXT(E222,"dd.mm"))))))</f>
        <v/>
      </c>
      <c r="G222" s="52" t="n"/>
      <c r="H222" s="36" t="inlineStr">
        <is>
          <t>79281513513</t>
        </is>
      </c>
      <c r="I222" s="53" t="n"/>
      <c r="J222" s="38">
        <f>IFERROR(MATCH(C222,'Справка'!$A$12:$A$21,0),99)</f>
        <v/>
      </c>
      <c r="K222" s="39">
        <f>HYPERLINK("https://wa.me/"&amp;H222&amp;"?text="&amp;ENCODEURL(T222),"✉ Написать")</f>
        <v/>
      </c>
      <c r="L222" s="39">
        <f>HYPERLINK("https://wa.me/"&amp;H222,"Открыть чат")</f>
        <v/>
      </c>
      <c r="M222" s="38" t="inlineStr">
        <is>
          <t>Новочеркасск</t>
        </is>
      </c>
      <c r="N222" s="38" t="n"/>
      <c r="O222" s="38" t="n"/>
      <c r="P222" s="38" t="n"/>
      <c r="Q222" s="38" t="inlineStr">
        <is>
          <t>без сайта</t>
        </is>
      </c>
      <c r="R222" s="38" t="n">
        <v>2</v>
      </c>
      <c r="S222" s="38" t="inlineStr">
        <is>
          <t>Ростовская область</t>
        </is>
      </c>
      <c r="T222" s="38" t="inlineStr">
        <is>
          <t>Здравствуйте! Искал в 2ГИС кровельные компании в Новочеркасске и наткнулся на вас. Сайта в карточке не увидел.
Могу за вечер собрать для «ИнженерСтройПлюс» сайт и показать. Платить не нужно, пока не понравится. Собрать?</t>
        </is>
      </c>
      <c r="U222" s="38">
        <f>B222&amp;IF(D222&lt;&gt;""," · "&amp;D222,"")&amp;IF(F222&lt;&gt;"",CHAR(10)&amp;F222,"")</f>
        <v/>
      </c>
      <c r="V222" s="38">
        <f>IF(OR(F222="просрочено",F222="сегодня",F222="укажи дату",LEFT(F222,6)="молчит"),1,0)</f>
        <v/>
      </c>
    </row>
    <row r="223" ht="24" customHeight="1">
      <c r="A223" s="38" t="n">
        <v>222</v>
      </c>
      <c r="B223" s="32" t="inlineStr">
        <is>
          <t>Домострой</t>
        </is>
      </c>
      <c r="C223" s="49" t="inlineStr">
        <is>
          <t>Очередь</t>
        </is>
      </c>
      <c r="D223" s="49" t="n"/>
      <c r="E223" s="50" t="n"/>
      <c r="F223" s="51">
        <f>IF(OR(C223="",C223="Очередь",C223="Клиент",C223="Отказ",C223="Не писать"),"",IF(E223="",IF(AND(C223="Отправлено",I223&lt;&gt;"",TODAY()-INT(I223)&gt;=3),"молчит "&amp;(TODAY()-INT(I223))&amp;" дн.",IF(OR(C223="Перезвонить",C223="Созвон"),"укажи дату","")),IF(INT(E223)&lt;TODAY(),"просрочено",IF(INT(E223)=TODAY(),"сегодня",IF(INT(E223)=TODAY()+1,"завтра",TEXT(E223,"dd.mm"))))))</f>
        <v/>
      </c>
      <c r="G223" s="52" t="n"/>
      <c r="H223" s="36" t="inlineStr">
        <is>
          <t>79518413314</t>
        </is>
      </c>
      <c r="I223" s="53" t="n"/>
      <c r="J223" s="38">
        <f>IFERROR(MATCH(C223,'Справка'!$A$12:$A$21,0),99)</f>
        <v/>
      </c>
      <c r="K223" s="39">
        <f>HYPERLINK("https://wa.me/"&amp;H223&amp;"?text="&amp;ENCODEURL(T223),"✉ Написать")</f>
        <v/>
      </c>
      <c r="L223" s="39">
        <f>HYPERLINK("https://wa.me/"&amp;H223,"Открыть чат")</f>
        <v/>
      </c>
      <c r="M223" s="38" t="inlineStr">
        <is>
          <t>Семикаракорск</t>
        </is>
      </c>
      <c r="N223" s="38" t="n"/>
      <c r="O223" s="38" t="n"/>
      <c r="P223" s="38" t="n"/>
      <c r="Q223" s="38" t="inlineStr">
        <is>
          <t>без сайта</t>
        </is>
      </c>
      <c r="R223" s="38" t="n">
        <v>2</v>
      </c>
      <c r="S223" s="38" t="inlineStr">
        <is>
          <t>Ростовская область</t>
        </is>
      </c>
      <c r="T223" s="38" t="inlineStr">
        <is>
          <t>Здравствуйте! Смотрел в 2ГИС, кто делает кровлю в Семикаракорске, и нашёл «Домострой». Сайта в карточке нет.
Готов за вечер собрать сайт для «Домострой» и показать вам. Денег вперёд не беру. Собрать?</t>
        </is>
      </c>
      <c r="U223" s="38">
        <f>B223&amp;IF(D223&lt;&gt;""," · "&amp;D223,"")&amp;IF(F223&lt;&gt;"",CHAR(10)&amp;F223,"")</f>
        <v/>
      </c>
      <c r="V223" s="38">
        <f>IF(OR(F223="просрочено",F223="сегодня",F223="укажи дату",LEFT(F223,6)="молчит"),1,0)</f>
        <v/>
      </c>
    </row>
    <row r="224" ht="24" customHeight="1">
      <c r="A224" s="38" t="n">
        <v>223</v>
      </c>
      <c r="B224" s="32" t="inlineStr">
        <is>
          <t>Вектор развития</t>
        </is>
      </c>
      <c r="C224" s="49" t="inlineStr">
        <is>
          <t>Очередь</t>
        </is>
      </c>
      <c r="D224" s="49" t="n"/>
      <c r="E224" s="50" t="n"/>
      <c r="F224" s="51">
        <f>IF(OR(C224="",C224="Очередь",C224="Клиент",C224="Отказ",C224="Не писать"),"",IF(E224="",IF(AND(C224="Отправлено",I224&lt;&gt;"",TODAY()-INT(I224)&gt;=3),"молчит "&amp;(TODAY()-INT(I224))&amp;" дн.",IF(OR(C224="Перезвонить",C224="Созвон"),"укажи дату","")),IF(INT(E224)&lt;TODAY(),"просрочено",IF(INT(E224)=TODAY(),"сегодня",IF(INT(E224)=TODAY()+1,"завтра",TEXT(E224,"dd.mm"))))))</f>
        <v/>
      </c>
      <c r="G224" s="52" t="n"/>
      <c r="H224" s="36" t="inlineStr">
        <is>
          <t>79281582228</t>
        </is>
      </c>
      <c r="I224" s="53" t="n"/>
      <c r="J224" s="38">
        <f>IFERROR(MATCH(C224,'Справка'!$A$12:$A$21,0),99)</f>
        <v/>
      </c>
      <c r="K224" s="39">
        <f>HYPERLINK("https://wa.me/"&amp;H224&amp;"?text="&amp;ENCODEURL(T224),"✉ Написать")</f>
        <v/>
      </c>
      <c r="L224" s="39">
        <f>HYPERLINK("https://wa.me/"&amp;H224,"Открыть чат")</f>
        <v/>
      </c>
      <c r="M224" s="38" t="inlineStr">
        <is>
          <t>пос. Целина</t>
        </is>
      </c>
      <c r="N224" s="38" t="n"/>
      <c r="O224" s="38" t="n"/>
      <c r="P224" s="38" t="n"/>
      <c r="Q224" s="38" t="inlineStr">
        <is>
          <t>без сайта</t>
        </is>
      </c>
      <c r="R224" s="38" t="n">
        <v>2</v>
      </c>
      <c r="S224" s="38" t="inlineStr">
        <is>
          <t>Ростовская область</t>
        </is>
      </c>
      <c r="T224" s="38" t="inlineStr">
        <is>
          <t>Здравствуйте! Нашёл вас в 2ГИС среди кровельных компаний в Ростовской области, а сайта в карточке не нашёл.
Могу собрать сайт под «Вектор развития» за вечер и показать. Не понравится — ничего не должны. Сделать?</t>
        </is>
      </c>
      <c r="U224" s="38">
        <f>B224&amp;IF(D224&lt;&gt;""," · "&amp;D224,"")&amp;IF(F224&lt;&gt;"",CHAR(10)&amp;F224,"")</f>
        <v/>
      </c>
      <c r="V224" s="38">
        <f>IF(OR(F224="просрочено",F224="сегодня",F224="укажи дату",LEFT(F224,6)="молчит"),1,0)</f>
        <v/>
      </c>
    </row>
    <row r="225" ht="24" customHeight="1">
      <c r="A225" s="38" t="n">
        <v>224</v>
      </c>
      <c r="B225" s="32" t="inlineStr">
        <is>
          <t>Кровля плюс</t>
        </is>
      </c>
      <c r="C225" s="49" t="inlineStr">
        <is>
          <t>Очередь</t>
        </is>
      </c>
      <c r="D225" s="49" t="n"/>
      <c r="E225" s="50" t="n"/>
      <c r="F225" s="51">
        <f>IF(OR(C225="",C225="Очередь",C225="Клиент",C225="Отказ",C225="Не писать"),"",IF(E225="",IF(AND(C225="Отправлено",I225&lt;&gt;"",TODAY()-INT(I225)&gt;=3),"молчит "&amp;(TODAY()-INT(I225))&amp;" дн.",IF(OR(C225="Перезвонить",C225="Созвон"),"укажи дату","")),IF(INT(E225)&lt;TODAY(),"просрочено",IF(INT(E225)=TODAY(),"сегодня",IF(INT(E225)=TODAY()+1,"завтра",TEXT(E225,"dd.mm"))))))</f>
        <v/>
      </c>
      <c r="G225" s="52" t="n"/>
      <c r="H225" s="36" t="inlineStr">
        <is>
          <t>79188519968</t>
        </is>
      </c>
      <c r="I225" s="53" t="n"/>
      <c r="J225" s="38">
        <f>IFERROR(MATCH(C225,'Справка'!$A$12:$A$21,0),99)</f>
        <v/>
      </c>
      <c r="K225" s="39">
        <f>HYPERLINK("https://wa.me/"&amp;H225&amp;"?text="&amp;ENCODEURL(T225),"✉ Написать")</f>
        <v/>
      </c>
      <c r="L225" s="39">
        <f>HYPERLINK("https://wa.me/"&amp;H225,"Открыть чат")</f>
        <v/>
      </c>
      <c r="M225" s="38" t="inlineStr">
        <is>
          <t>Сальск</t>
        </is>
      </c>
      <c r="N225" s="38" t="n"/>
      <c r="O225" s="38" t="n"/>
      <c r="P225" s="38" t="n"/>
      <c r="Q225" s="38" t="inlineStr">
        <is>
          <t>без сайта</t>
        </is>
      </c>
      <c r="R225" s="38" t="n">
        <v>2</v>
      </c>
      <c r="S225" s="38" t="inlineStr">
        <is>
          <t>Ростовская область</t>
        </is>
      </c>
      <c r="T225" s="38" t="inlineStr">
        <is>
          <t>Здравствуйте! Искал в 2ГИС кровельные компании в Сальске и наткнулся на вас. Сайта в карточке не увидел.
Могу за вечер собрать для «Кровля плюс» сайт и показать. Платить не нужно, пока не понравится. Собрать?</t>
        </is>
      </c>
      <c r="U225" s="38">
        <f>B225&amp;IF(D225&lt;&gt;""," · "&amp;D225,"")&amp;IF(F225&lt;&gt;"",CHAR(10)&amp;F225,"")</f>
        <v/>
      </c>
      <c r="V225" s="38">
        <f>IF(OR(F225="просрочено",F225="сегодня",F225="укажи дату",LEFT(F225,6)="молчит"),1,0)</f>
        <v/>
      </c>
    </row>
    <row r="226" ht="24" customHeight="1">
      <c r="A226" s="38" t="n">
        <v>225</v>
      </c>
      <c r="B226" s="32" t="inlineStr">
        <is>
          <t>Пена-Самара.ру</t>
        </is>
      </c>
      <c r="C226" s="49" t="inlineStr">
        <is>
          <t>Очередь</t>
        </is>
      </c>
      <c r="D226" s="49" t="n"/>
      <c r="E226" s="50" t="n"/>
      <c r="F226" s="51">
        <f>IF(OR(C226="",C226="Очередь",C226="Клиент",C226="Отказ",C226="Не писать"),"",IF(E226="",IF(AND(C226="Отправлено",I226&lt;&gt;"",TODAY()-INT(I226)&gt;=3),"молчит "&amp;(TODAY()-INT(I226))&amp;" дн.",IF(OR(C226="Перезвонить",C226="Созвон"),"укажи дату","")),IF(INT(E226)&lt;TODAY(),"просрочено",IF(INT(E226)=TODAY(),"сегодня",IF(INT(E226)=TODAY()+1,"завтра",TEXT(E226,"dd.mm"))))))</f>
        <v/>
      </c>
      <c r="G226" s="52" t="n"/>
      <c r="H226" s="36" t="inlineStr">
        <is>
          <t>79649856701</t>
        </is>
      </c>
      <c r="I226" s="53" t="n"/>
      <c r="J226" s="38">
        <f>IFERROR(MATCH(C226,'Справка'!$A$12:$A$21,0),99)</f>
        <v/>
      </c>
      <c r="K226" s="39">
        <f>HYPERLINK("https://wa.me/"&amp;H226&amp;"?text="&amp;ENCODEURL(T226),"✉ Написать")</f>
        <v/>
      </c>
      <c r="L226" s="39">
        <f>HYPERLINK("https://wa.me/"&amp;H226,"Открыть чат")</f>
        <v/>
      </c>
      <c r="M226" s="38" t="inlineStr">
        <is>
          <t>пос. Придорожный</t>
        </is>
      </c>
      <c r="N226" s="38" t="n">
        <v>5</v>
      </c>
      <c r="O226" s="38" t="n">
        <v>5</v>
      </c>
      <c r="P226" s="38" t="n"/>
      <c r="Q226" s="38" t="inlineStr">
        <is>
          <t>без сайта</t>
        </is>
      </c>
      <c r="R226" s="38" t="n">
        <v>2</v>
      </c>
      <c r="S226" s="38" t="inlineStr">
        <is>
          <t>Самарская область</t>
        </is>
      </c>
      <c r="T226" s="38" t="inlineStr">
        <is>
          <t>Здравствуйте! Смотрел в 2ГИС, кто делает кровлю в Самарской области. У «Пена-Самара.ру» хорошие отзывы, но сайта в карточке я не нашёл.
Готов за вечер собрать сайт для «Пена-Самара.ру» и показать вам. Денег вперёд не беру. Собрать?</t>
        </is>
      </c>
      <c r="U226" s="38">
        <f>B226&amp;IF(D226&lt;&gt;""," · "&amp;D226,"")&amp;IF(F226&lt;&gt;"",CHAR(10)&amp;F226,"")</f>
        <v/>
      </c>
      <c r="V226" s="38">
        <f>IF(OR(F226="просрочено",F226="сегодня",F226="укажи дату",LEFT(F226,6)="молчит"),1,0)</f>
        <v/>
      </c>
    </row>
    <row r="227" ht="24" customHeight="1">
      <c r="A227" s="38" t="n">
        <v>226</v>
      </c>
      <c r="B227" s="32" t="inlineStr">
        <is>
          <t>Строительное управление №3</t>
        </is>
      </c>
      <c r="C227" s="49" t="inlineStr">
        <is>
          <t>Очередь</t>
        </is>
      </c>
      <c r="D227" s="49" t="n"/>
      <c r="E227" s="50" t="n"/>
      <c r="F227" s="51">
        <f>IF(OR(C227="",C227="Очередь",C227="Клиент",C227="Отказ",C227="Не писать"),"",IF(E227="",IF(AND(C227="Отправлено",I227&lt;&gt;"",TODAY()-INT(I227)&gt;=3),"молчит "&amp;(TODAY()-INT(I227))&amp;" дн.",IF(OR(C227="Перезвонить",C227="Созвон"),"укажи дату","")),IF(INT(E227)&lt;TODAY(),"просрочено",IF(INT(E227)=TODAY(),"сегодня",IF(INT(E227)=TODAY()+1,"завтра",TEXT(E227,"dd.mm"))))))</f>
        <v/>
      </c>
      <c r="G227" s="52" t="n"/>
      <c r="H227" s="36" t="inlineStr">
        <is>
          <t>79033003834</t>
        </is>
      </c>
      <c r="I227" s="53" t="n"/>
      <c r="J227" s="38">
        <f>IFERROR(MATCH(C227,'Справка'!$A$12:$A$21,0),99)</f>
        <v/>
      </c>
      <c r="K227" s="39">
        <f>HYPERLINK("https://wa.me/"&amp;H227&amp;"?text="&amp;ENCODEURL(T227),"✉ Написать")</f>
        <v/>
      </c>
      <c r="L227" s="39">
        <f>HYPERLINK("https://wa.me/"&amp;H227,"Открыть чат")</f>
        <v/>
      </c>
      <c r="M227" s="38" t="inlineStr">
        <is>
          <t>Самара</t>
        </is>
      </c>
      <c r="N227" s="38" t="n"/>
      <c r="O227" s="38" t="n"/>
      <c r="P227" s="38" t="n"/>
      <c r="Q227" s="38" t="inlineStr">
        <is>
          <t>без сайта</t>
        </is>
      </c>
      <c r="R227" s="38" t="n">
        <v>2</v>
      </c>
      <c r="S227" s="38" t="inlineStr">
        <is>
          <t>Самарская область</t>
        </is>
      </c>
      <c r="T227" s="38" t="inlineStr">
        <is>
          <t>Здравствуйте! Нашёл вас в 2ГИС среди кровельных компаний в Самаре, а сайта в карточке не нашёл.
Могу собрать сайт под «Строительное управление №3» за вечер и показать. Не понравится — ничего не должны. Сделать?</t>
        </is>
      </c>
      <c r="U227" s="38">
        <f>B227&amp;IF(D227&lt;&gt;""," · "&amp;D227,"")&amp;IF(F227&lt;&gt;"",CHAR(10)&amp;F227,"")</f>
        <v/>
      </c>
      <c r="V227" s="38">
        <f>IF(OR(F227="просрочено",F227="сегодня",F227="укажи дату",LEFT(F227,6)="молчит"),1,0)</f>
        <v/>
      </c>
    </row>
    <row r="228" ht="24" customHeight="1">
      <c r="A228" s="38" t="n">
        <v>227</v>
      </c>
      <c r="B228" s="32" t="inlineStr">
        <is>
          <t>Компания кровельных работ</t>
        </is>
      </c>
      <c r="C228" s="49" t="inlineStr">
        <is>
          <t>Очередь</t>
        </is>
      </c>
      <c r="D228" s="49" t="n"/>
      <c r="E228" s="50" t="n"/>
      <c r="F228" s="51">
        <f>IF(OR(C228="",C228="Очередь",C228="Клиент",C228="Отказ",C228="Не писать"),"",IF(E228="",IF(AND(C228="Отправлено",I228&lt;&gt;"",TODAY()-INT(I228)&gt;=3),"молчит "&amp;(TODAY()-INT(I228))&amp;" дн.",IF(OR(C228="Перезвонить",C228="Созвон"),"укажи дату","")),IF(INT(E228)&lt;TODAY(),"просрочено",IF(INT(E228)=TODAY(),"сегодня",IF(INT(E228)=TODAY()+1,"завтра",TEXT(E228,"dd.mm"))))))</f>
        <v/>
      </c>
      <c r="G228" s="52" t="n"/>
      <c r="H228" s="36" t="inlineStr">
        <is>
          <t>79276593455</t>
        </is>
      </c>
      <c r="I228" s="53" t="n"/>
      <c r="J228" s="38">
        <f>IFERROR(MATCH(C228,'Справка'!$A$12:$A$21,0),99)</f>
        <v/>
      </c>
      <c r="K228" s="39">
        <f>HYPERLINK("https://wa.me/"&amp;H228&amp;"?text="&amp;ENCODEURL(T228),"✉ Написать")</f>
        <v/>
      </c>
      <c r="L228" s="39">
        <f>HYPERLINK("https://wa.me/"&amp;H228,"Открыть чат")</f>
        <v/>
      </c>
      <c r="M228" s="38" t="inlineStr">
        <is>
          <t>Самара</t>
        </is>
      </c>
      <c r="N228" s="38" t="n"/>
      <c r="O228" s="38" t="n"/>
      <c r="P228" s="38" t="n"/>
      <c r="Q228" s="38" t="inlineStr">
        <is>
          <t>без сайта</t>
        </is>
      </c>
      <c r="R228" s="38" t="n">
        <v>2</v>
      </c>
      <c r="S228" s="38" t="inlineStr">
        <is>
          <t>Самарская область</t>
        </is>
      </c>
      <c r="T228" s="38" t="inlineStr">
        <is>
          <t>Здравствуйте! Искал в 2ГИС кровельные компании в Самаре и наткнулся на вас. Сайта в карточке не увидел.
Могу за вечер собрать для «Компания кровельных работ» сайт и показать. Платить не нужно, пока не понравится. Собрать?</t>
        </is>
      </c>
      <c r="U228" s="38">
        <f>B228&amp;IF(D228&lt;&gt;""," · "&amp;D228,"")&amp;IF(F228&lt;&gt;"",CHAR(10)&amp;F228,"")</f>
        <v/>
      </c>
      <c r="V228" s="38">
        <f>IF(OR(F228="просрочено",F228="сегодня",F228="укажи дату",LEFT(F228,6)="молчит"),1,0)</f>
        <v/>
      </c>
    </row>
    <row r="229" ht="24" customHeight="1">
      <c r="A229" s="38" t="n">
        <v>228</v>
      </c>
      <c r="B229" s="32" t="inlineStr">
        <is>
          <t>Компания строительных и ремонтных работ</t>
        </is>
      </c>
      <c r="C229" s="49" t="inlineStr">
        <is>
          <t>Очередь</t>
        </is>
      </c>
      <c r="D229" s="49" t="n"/>
      <c r="E229" s="50" t="n"/>
      <c r="F229" s="51">
        <f>IF(OR(C229="",C229="Очередь",C229="Клиент",C229="Отказ",C229="Не писать"),"",IF(E229="",IF(AND(C229="Отправлено",I229&lt;&gt;"",TODAY()-INT(I229)&gt;=3),"молчит "&amp;(TODAY()-INT(I229))&amp;" дн.",IF(OR(C229="Перезвонить",C229="Созвон"),"укажи дату","")),IF(INT(E229)&lt;TODAY(),"просрочено",IF(INT(E229)=TODAY(),"сегодня",IF(INT(E229)=TODAY()+1,"завтра",TEXT(E229,"dd.mm"))))))</f>
        <v/>
      </c>
      <c r="G229" s="52" t="n"/>
      <c r="H229" s="36" t="inlineStr">
        <is>
          <t>79879118102</t>
        </is>
      </c>
      <c r="I229" s="53" t="n"/>
      <c r="J229" s="38">
        <f>IFERROR(MATCH(C229,'Справка'!$A$12:$A$21,0),99)</f>
        <v/>
      </c>
      <c r="K229" s="39">
        <f>HYPERLINK("https://wa.me/"&amp;H229&amp;"?text="&amp;ENCODEURL(T229),"✉ Написать")</f>
        <v/>
      </c>
      <c r="L229" s="39">
        <f>HYPERLINK("https://wa.me/"&amp;H229,"Открыть чат")</f>
        <v/>
      </c>
      <c r="M229" s="38" t="inlineStr">
        <is>
          <t>Самара</t>
        </is>
      </c>
      <c r="N229" s="38" t="n"/>
      <c r="O229" s="38" t="n"/>
      <c r="P229" s="38" t="n"/>
      <c r="Q229" s="38" t="inlineStr">
        <is>
          <t>без сайта</t>
        </is>
      </c>
      <c r="R229" s="38" t="n">
        <v>2</v>
      </c>
      <c r="S229" s="38" t="inlineStr">
        <is>
          <t>Самарская область</t>
        </is>
      </c>
      <c r="T229" s="38" t="inlineStr">
        <is>
          <t>Здравствуйте! Смотрел в 2ГИС, кто делает кровлю в Самаре, и нашёл «Компания строительных и ремонтных работ». Сайта в карточке нет.
Готов за вечер собрать сайт для «Компания строительных и ремонтных работ» и показать вам. Денег вперёд не беру. Собрать?</t>
        </is>
      </c>
      <c r="U229" s="38">
        <f>B229&amp;IF(D229&lt;&gt;""," · "&amp;D229,"")&amp;IF(F229&lt;&gt;"",CHAR(10)&amp;F229,"")</f>
        <v/>
      </c>
      <c r="V229" s="38">
        <f>IF(OR(F229="просрочено",F229="сегодня",F229="укажи дату",LEFT(F229,6)="молчит"),1,0)</f>
        <v/>
      </c>
    </row>
    <row r="230" ht="24" customHeight="1">
      <c r="A230" s="38" t="n">
        <v>229</v>
      </c>
      <c r="B230" s="32" t="inlineStr">
        <is>
          <t>ШавринКровля</t>
        </is>
      </c>
      <c r="C230" s="49" t="inlineStr">
        <is>
          <t>Очередь</t>
        </is>
      </c>
      <c r="D230" s="49" t="n"/>
      <c r="E230" s="50" t="n"/>
      <c r="F230" s="51">
        <f>IF(OR(C230="",C230="Очередь",C230="Клиент",C230="Отказ",C230="Не писать"),"",IF(E230="",IF(AND(C230="Отправлено",I230&lt;&gt;"",TODAY()-INT(I230)&gt;=3),"молчит "&amp;(TODAY()-INT(I230))&amp;" дн.",IF(OR(C230="Перезвонить",C230="Созвон"),"укажи дату","")),IF(INT(E230)&lt;TODAY(),"просрочено",IF(INT(E230)=TODAY(),"сегодня",IF(INT(E230)=TODAY()+1,"завтра",TEXT(E230,"dd.mm"))))))</f>
        <v/>
      </c>
      <c r="G230" s="52" t="n"/>
      <c r="H230" s="36" t="inlineStr">
        <is>
          <t>79170313136</t>
        </is>
      </c>
      <c r="I230" s="53" t="n"/>
      <c r="J230" s="38">
        <f>IFERROR(MATCH(C230,'Справка'!$A$12:$A$21,0),99)</f>
        <v/>
      </c>
      <c r="K230" s="39">
        <f>HYPERLINK("https://wa.me/"&amp;H230&amp;"?text="&amp;ENCODEURL(T230),"✉ Написать")</f>
        <v/>
      </c>
      <c r="L230" s="39">
        <f>HYPERLINK("https://wa.me/"&amp;H230,"Открыть чат")</f>
        <v/>
      </c>
      <c r="M230" s="38" t="inlineStr">
        <is>
          <t>Самара</t>
        </is>
      </c>
      <c r="N230" s="38" t="n"/>
      <c r="O230" s="38" t="n"/>
      <c r="P230" s="38" t="n"/>
      <c r="Q230" s="38" t="inlineStr">
        <is>
          <t>без сайта</t>
        </is>
      </c>
      <c r="R230" s="38" t="n">
        <v>2</v>
      </c>
      <c r="S230" s="38" t="inlineStr">
        <is>
          <t>Самарская область</t>
        </is>
      </c>
      <c r="T230" s="38" t="inlineStr">
        <is>
          <t>Здравствуйте! Нашёл вас в 2ГИС среди кровельных компаний в Самаре, а сайта в карточке не нашёл.
Могу собрать сайт под «ШавринКровля» за вечер и показать. Не понравится — ничего не должны. Сделать?</t>
        </is>
      </c>
      <c r="U230" s="38">
        <f>B230&amp;IF(D230&lt;&gt;""," · "&amp;D230,"")&amp;IF(F230&lt;&gt;"",CHAR(10)&amp;F230,"")</f>
        <v/>
      </c>
      <c r="V230" s="38">
        <f>IF(OR(F230="просрочено",F230="сегодня",F230="укажи дату",LEFT(F230,6)="молчит"),1,0)</f>
        <v/>
      </c>
    </row>
    <row r="231" ht="24" customHeight="1">
      <c r="A231" s="38" t="n">
        <v>230</v>
      </c>
      <c r="B231" s="32" t="inlineStr">
        <is>
          <t>ИП Карапетян Т.В.</t>
        </is>
      </c>
      <c r="C231" s="49" t="inlineStr">
        <is>
          <t>Очередь</t>
        </is>
      </c>
      <c r="D231" s="49" t="n"/>
      <c r="E231" s="50" t="n"/>
      <c r="F231" s="51">
        <f>IF(OR(C231="",C231="Очередь",C231="Клиент",C231="Отказ",C231="Не писать"),"",IF(E231="",IF(AND(C231="Отправлено",I231&lt;&gt;"",TODAY()-INT(I231)&gt;=3),"молчит "&amp;(TODAY()-INT(I231))&amp;" дн.",IF(OR(C231="Перезвонить",C231="Созвон"),"укажи дату","")),IF(INT(E231)&lt;TODAY(),"просрочено",IF(INT(E231)=TODAY(),"сегодня",IF(INT(E231)=TODAY()+1,"завтра",TEXT(E231,"dd.mm"))))))</f>
        <v/>
      </c>
      <c r="G231" s="52" t="n"/>
      <c r="H231" s="36" t="inlineStr">
        <is>
          <t>79874419040</t>
        </is>
      </c>
      <c r="I231" s="53" t="n"/>
      <c r="J231" s="38">
        <f>IFERROR(MATCH(C231,'Справка'!$A$12:$A$21,0),99)</f>
        <v/>
      </c>
      <c r="K231" s="39">
        <f>HYPERLINK("https://wa.me/"&amp;H231&amp;"?text="&amp;ENCODEURL(T231),"✉ Написать")</f>
        <v/>
      </c>
      <c r="L231" s="39">
        <f>HYPERLINK("https://wa.me/"&amp;H231,"Открыть чат")</f>
        <v/>
      </c>
      <c r="M231" s="38" t="inlineStr">
        <is>
          <t>Самара</t>
        </is>
      </c>
      <c r="N231" s="38" t="n"/>
      <c r="O231" s="38" t="n"/>
      <c r="P231" s="38" t="n"/>
      <c r="Q231" s="38" t="inlineStr">
        <is>
          <t>без сайта</t>
        </is>
      </c>
      <c r="R231" s="38" t="n">
        <v>2</v>
      </c>
      <c r="S231" s="38" t="inlineStr">
        <is>
          <t>Самарская область</t>
        </is>
      </c>
      <c r="T231" s="38" t="inlineStr">
        <is>
          <t>Здравствуйте! Искал в 2ГИС кровельные компании в Самаре и наткнулся на вас. Сайта в карточке не увидел.
Могу за вечер собрать для «ИП Карапетян Т.В.» сайт и показать. Платить не нужно, пока не понравится. Собрать?</t>
        </is>
      </c>
      <c r="U231" s="38">
        <f>B231&amp;IF(D231&lt;&gt;""," · "&amp;D231,"")&amp;IF(F231&lt;&gt;"",CHAR(10)&amp;F231,"")</f>
        <v/>
      </c>
      <c r="V231" s="38">
        <f>IF(OR(F231="просрочено",F231="сегодня",F231="укажи дату",LEFT(F231,6)="молчит"),1,0)</f>
        <v/>
      </c>
    </row>
    <row r="232" ht="24" customHeight="1">
      <c r="A232" s="38" t="n">
        <v>231</v>
      </c>
      <c r="B232" s="32" t="inlineStr">
        <is>
          <t>Компания по монтажу заборов, ограждений и кровли</t>
        </is>
      </c>
      <c r="C232" s="49" t="inlineStr">
        <is>
          <t>Очередь</t>
        </is>
      </c>
      <c r="D232" s="49" t="n"/>
      <c r="E232" s="50" t="n"/>
      <c r="F232" s="51">
        <f>IF(OR(C232="",C232="Очередь",C232="Клиент",C232="Отказ",C232="Не писать"),"",IF(E232="",IF(AND(C232="Отправлено",I232&lt;&gt;"",TODAY()-INT(I232)&gt;=3),"молчит "&amp;(TODAY()-INT(I232))&amp;" дн.",IF(OR(C232="Перезвонить",C232="Созвон"),"укажи дату","")),IF(INT(E232)&lt;TODAY(),"просрочено",IF(INT(E232)=TODAY(),"сегодня",IF(INT(E232)=TODAY()+1,"завтра",TEXT(E232,"dd.mm"))))))</f>
        <v/>
      </c>
      <c r="G232" s="52" t="n"/>
      <c r="H232" s="36" t="inlineStr">
        <is>
          <t>79879187432</t>
        </is>
      </c>
      <c r="I232" s="53" t="n"/>
      <c r="J232" s="38">
        <f>IFERROR(MATCH(C232,'Справка'!$A$12:$A$21,0),99)</f>
        <v/>
      </c>
      <c r="K232" s="39">
        <f>HYPERLINK("https://wa.me/"&amp;H232&amp;"?text="&amp;ENCODEURL(T232),"✉ Написать")</f>
        <v/>
      </c>
      <c r="L232" s="39">
        <f>HYPERLINK("https://wa.me/"&amp;H232,"Открыть чат")</f>
        <v/>
      </c>
      <c r="M232" s="38" t="inlineStr">
        <is>
          <t>Самара</t>
        </is>
      </c>
      <c r="N232" s="38" t="n"/>
      <c r="O232" s="38" t="n"/>
      <c r="P232" s="38" t="n"/>
      <c r="Q232" s="38" t="inlineStr">
        <is>
          <t>без сайта</t>
        </is>
      </c>
      <c r="R232" s="38" t="n">
        <v>2</v>
      </c>
      <c r="S232" s="38" t="inlineStr">
        <is>
          <t>Самарская область</t>
        </is>
      </c>
      <c r="T232" s="38" t="inlineStr">
        <is>
          <t>Здравствуйте! Смотрел в 2ГИС, кто делает кровлю в Самаре, и нашёл «Компания по монтажу заборов, ограждений и кровли». Сайта в карточке нет.
Готов за вечер собрать сайт для «Компания по монтажу заборов, ограждений и кровли» и показать вам. Денег вперёд не беру. Собрать?</t>
        </is>
      </c>
      <c r="U232" s="38">
        <f>B232&amp;IF(D232&lt;&gt;""," · "&amp;D232,"")&amp;IF(F232&lt;&gt;"",CHAR(10)&amp;F232,"")</f>
        <v/>
      </c>
      <c r="V232" s="38">
        <f>IF(OR(F232="просрочено",F232="сегодня",F232="укажи дату",LEFT(F232,6)="молчит"),1,0)</f>
        <v/>
      </c>
    </row>
    <row r="233" ht="24" customHeight="1">
      <c r="A233" s="38" t="n">
        <v>232</v>
      </c>
      <c r="B233" s="32" t="inlineStr">
        <is>
          <t>Теплый дом</t>
        </is>
      </c>
      <c r="C233" s="49" t="inlineStr">
        <is>
          <t>Очередь</t>
        </is>
      </c>
      <c r="D233" s="49" t="n"/>
      <c r="E233" s="50" t="n"/>
      <c r="F233" s="51">
        <f>IF(OR(C233="",C233="Очередь",C233="Клиент",C233="Отказ",C233="Не писать"),"",IF(E233="",IF(AND(C233="Отправлено",I233&lt;&gt;"",TODAY()-INT(I233)&gt;=3),"молчит "&amp;(TODAY()-INT(I233))&amp;" дн.",IF(OR(C233="Перезвонить",C233="Созвон"),"укажи дату","")),IF(INT(E233)&lt;TODAY(),"просрочено",IF(INT(E233)=TODAY(),"сегодня",IF(INT(E233)=TODAY()+1,"завтра",TEXT(E233,"dd.mm"))))))</f>
        <v/>
      </c>
      <c r="G233" s="52" t="n"/>
      <c r="H233" s="36" t="inlineStr">
        <is>
          <t>79171075565</t>
        </is>
      </c>
      <c r="I233" s="53" t="n"/>
      <c r="J233" s="38">
        <f>IFERROR(MATCH(C233,'Справка'!$A$12:$A$21,0),99)</f>
        <v/>
      </c>
      <c r="K233" s="39">
        <f>HYPERLINK("https://wa.me/"&amp;H233&amp;"?text="&amp;ENCODEURL(T233),"✉ Написать")</f>
        <v/>
      </c>
      <c r="L233" s="39">
        <f>HYPERLINK("https://wa.me/"&amp;H233,"Открыть чат")</f>
        <v/>
      </c>
      <c r="M233" s="38" t="inlineStr">
        <is>
          <t>Самара</t>
        </is>
      </c>
      <c r="N233" s="38" t="n"/>
      <c r="O233" s="38" t="n"/>
      <c r="P233" s="38" t="n"/>
      <c r="Q233" s="38" t="inlineStr">
        <is>
          <t>без сайта</t>
        </is>
      </c>
      <c r="R233" s="38" t="n">
        <v>2</v>
      </c>
      <c r="S233" s="38" t="inlineStr">
        <is>
          <t>Самарская область</t>
        </is>
      </c>
      <c r="T233" s="38" t="inlineStr">
        <is>
          <t>Здравствуйте! Нашёл вас в 2ГИС среди кровельных компаний в Самаре, а сайта в карточке не нашёл.
Могу собрать сайт под «Теплый дом» за вечер и показать. Не понравится — ничего не должны. Сделать?</t>
        </is>
      </c>
      <c r="U233" s="38">
        <f>B233&amp;IF(D233&lt;&gt;""," · "&amp;D233,"")&amp;IF(F233&lt;&gt;"",CHAR(10)&amp;F233,"")</f>
        <v/>
      </c>
      <c r="V233" s="38">
        <f>IF(OR(F233="просрочено",F233="сегодня",F233="укажи дату",LEFT(F233,6)="молчит"),1,0)</f>
        <v/>
      </c>
    </row>
    <row r="234" ht="24" customHeight="1">
      <c r="A234" s="38" t="n">
        <v>233</v>
      </c>
      <c r="B234" s="32" t="inlineStr">
        <is>
          <t>Руфпрофи63</t>
        </is>
      </c>
      <c r="C234" s="49" t="inlineStr">
        <is>
          <t>Очередь</t>
        </is>
      </c>
      <c r="D234" s="49" t="n"/>
      <c r="E234" s="50" t="n"/>
      <c r="F234" s="51">
        <f>IF(OR(C234="",C234="Очередь",C234="Клиент",C234="Отказ",C234="Не писать"),"",IF(E234="",IF(AND(C234="Отправлено",I234&lt;&gt;"",TODAY()-INT(I234)&gt;=3),"молчит "&amp;(TODAY()-INT(I234))&amp;" дн.",IF(OR(C234="Перезвонить",C234="Созвон"),"укажи дату","")),IF(INT(E234)&lt;TODAY(),"просрочено",IF(INT(E234)=TODAY(),"сегодня",IF(INT(E234)=TODAY()+1,"завтра",TEXT(E234,"dd.mm"))))))</f>
        <v/>
      </c>
      <c r="G234" s="52" t="n"/>
      <c r="H234" s="36" t="inlineStr">
        <is>
          <t>79276021999</t>
        </is>
      </c>
      <c r="I234" s="53" t="n"/>
      <c r="J234" s="38">
        <f>IFERROR(MATCH(C234,'Справка'!$A$12:$A$21,0),99)</f>
        <v/>
      </c>
      <c r="K234" s="39">
        <f>HYPERLINK("https://wa.me/"&amp;H234&amp;"?text="&amp;ENCODEURL(T234),"✉ Написать")</f>
        <v/>
      </c>
      <c r="L234" s="39">
        <f>HYPERLINK("https://wa.me/"&amp;H234,"Открыть чат")</f>
        <v/>
      </c>
      <c r="M234" s="38" t="inlineStr">
        <is>
          <t>Самара</t>
        </is>
      </c>
      <c r="N234" s="38" t="n"/>
      <c r="O234" s="38" t="n"/>
      <c r="P234" s="38" t="n"/>
      <c r="Q234" s="38" t="inlineStr">
        <is>
          <t>без сайта</t>
        </is>
      </c>
      <c r="R234" s="38" t="n">
        <v>2</v>
      </c>
      <c r="S234" s="38" t="inlineStr">
        <is>
          <t>Самарская область</t>
        </is>
      </c>
      <c r="T234" s="38" t="inlineStr">
        <is>
          <t>Здравствуйте! Искал в 2ГИС кровельные компании в Самаре и наткнулся на вас. Сайта в карточке не увидел.
Могу за вечер собрать для «Руфпрофи63» сайт и показать. Платить не нужно, пока не понравится. Собрать?</t>
        </is>
      </c>
      <c r="U234" s="38">
        <f>B234&amp;IF(D234&lt;&gt;""," · "&amp;D234,"")&amp;IF(F234&lt;&gt;"",CHAR(10)&amp;F234,"")</f>
        <v/>
      </c>
      <c r="V234" s="38">
        <f>IF(OR(F234="просрочено",F234="сегодня",F234="укажи дату",LEFT(F234,6)="молчит"),1,0)</f>
        <v/>
      </c>
    </row>
    <row r="235" ht="24" customHeight="1">
      <c r="A235" s="38" t="n">
        <v>234</v>
      </c>
      <c r="B235" s="32" t="inlineStr">
        <is>
          <t>Грепвайн</t>
        </is>
      </c>
      <c r="C235" s="49" t="inlineStr">
        <is>
          <t>Очередь</t>
        </is>
      </c>
      <c r="D235" s="49" t="n"/>
      <c r="E235" s="50" t="n"/>
      <c r="F235" s="51">
        <f>IF(OR(C235="",C235="Очередь",C235="Клиент",C235="Отказ",C235="Не писать"),"",IF(E235="",IF(AND(C235="Отправлено",I235&lt;&gt;"",TODAY()-INT(I235)&gt;=3),"молчит "&amp;(TODAY()-INT(I235))&amp;" дн.",IF(OR(C235="Перезвонить",C235="Созвон"),"укажи дату","")),IF(INT(E235)&lt;TODAY(),"просрочено",IF(INT(E235)=TODAY(),"сегодня",IF(INT(E235)=TODAY()+1,"завтра",TEXT(E235,"dd.mm"))))))</f>
        <v/>
      </c>
      <c r="G235" s="52" t="n"/>
      <c r="H235" s="36" t="inlineStr">
        <is>
          <t>79879046631</t>
        </is>
      </c>
      <c r="I235" s="53" t="n"/>
      <c r="J235" s="38">
        <f>IFERROR(MATCH(C235,'Справка'!$A$12:$A$21,0),99)</f>
        <v/>
      </c>
      <c r="K235" s="39">
        <f>HYPERLINK("https://wa.me/"&amp;H235&amp;"?text="&amp;ENCODEURL(T235),"✉ Написать")</f>
        <v/>
      </c>
      <c r="L235" s="39">
        <f>HYPERLINK("https://wa.me/"&amp;H235,"Открыть чат")</f>
        <v/>
      </c>
      <c r="M235" s="38" t="inlineStr">
        <is>
          <t>Самара</t>
        </is>
      </c>
      <c r="N235" s="38" t="n"/>
      <c r="O235" s="38" t="n"/>
      <c r="P235" s="38" t="n"/>
      <c r="Q235" s="38" t="inlineStr">
        <is>
          <t>без сайта</t>
        </is>
      </c>
      <c r="R235" s="38" t="n">
        <v>2</v>
      </c>
      <c r="S235" s="38" t="inlineStr">
        <is>
          <t>Самарская область</t>
        </is>
      </c>
      <c r="T235" s="38" t="inlineStr">
        <is>
          <t>Здравствуйте! Смотрел в 2ГИС, кто делает кровлю в Самаре, и нашёл «Грепвайн». Сайта в карточке нет.
Готов за вечер собрать сайт для «Грепвайн» и показать вам. Денег вперёд не беру. Собрать?</t>
        </is>
      </c>
      <c r="U235" s="38">
        <f>B235&amp;IF(D235&lt;&gt;""," · "&amp;D235,"")&amp;IF(F235&lt;&gt;"",CHAR(10)&amp;F235,"")</f>
        <v/>
      </c>
      <c r="V235" s="38">
        <f>IF(OR(F235="просрочено",F235="сегодня",F235="укажи дату",LEFT(F235,6)="молчит"),1,0)</f>
        <v/>
      </c>
    </row>
    <row r="236" ht="24" customHeight="1">
      <c r="A236" s="38" t="n">
        <v>235</v>
      </c>
      <c r="B236" s="32" t="inlineStr">
        <is>
          <t>ТоргСтройДоставка</t>
        </is>
      </c>
      <c r="C236" s="49" t="inlineStr">
        <is>
          <t>Очередь</t>
        </is>
      </c>
      <c r="D236" s="49" t="n"/>
      <c r="E236" s="50" t="n"/>
      <c r="F236" s="51">
        <f>IF(OR(C236="",C236="Очередь",C236="Клиент",C236="Отказ",C236="Не писать"),"",IF(E236="",IF(AND(C236="Отправлено",I236&lt;&gt;"",TODAY()-INT(I236)&gt;=3),"молчит "&amp;(TODAY()-INT(I236))&amp;" дн.",IF(OR(C236="Перезвонить",C236="Созвон"),"укажи дату","")),IF(INT(E236)&lt;TODAY(),"просрочено",IF(INT(E236)=TODAY(),"сегодня",IF(INT(E236)=TODAY()+1,"завтра",TEXT(E236,"dd.mm"))))))</f>
        <v/>
      </c>
      <c r="G236" s="52" t="n"/>
      <c r="H236" s="36" t="inlineStr">
        <is>
          <t>79371006063</t>
        </is>
      </c>
      <c r="I236" s="53" t="n"/>
      <c r="J236" s="38">
        <f>IFERROR(MATCH(C236,'Справка'!$A$12:$A$21,0),99)</f>
        <v/>
      </c>
      <c r="K236" s="39">
        <f>HYPERLINK("https://wa.me/"&amp;H236&amp;"?text="&amp;ENCODEURL(T236),"✉ Написать")</f>
        <v/>
      </c>
      <c r="L236" s="39">
        <f>HYPERLINK("https://wa.me/"&amp;H236,"Открыть чат")</f>
        <v/>
      </c>
      <c r="M236" s="38" t="inlineStr">
        <is>
          <t>Самара</t>
        </is>
      </c>
      <c r="N236" s="38" t="n"/>
      <c r="O236" s="38" t="n"/>
      <c r="P236" s="38" t="n"/>
      <c r="Q236" s="38" t="inlineStr">
        <is>
          <t>без сайта</t>
        </is>
      </c>
      <c r="R236" s="38" t="n">
        <v>2</v>
      </c>
      <c r="S236" s="38" t="inlineStr">
        <is>
          <t>Самарская область</t>
        </is>
      </c>
      <c r="T236" s="38" t="inlineStr">
        <is>
          <t>Здравствуйте! Нашёл вас в 2ГИС среди кровельных компаний в Самаре, а сайта в карточке не нашёл.
Могу собрать сайт под «ТоргСтройДоставка» за вечер и показать. Не понравится — ничего не должны. Сделать?</t>
        </is>
      </c>
      <c r="U236" s="38">
        <f>B236&amp;IF(D236&lt;&gt;""," · "&amp;D236,"")&amp;IF(F236&lt;&gt;"",CHAR(10)&amp;F236,"")</f>
        <v/>
      </c>
      <c r="V236" s="38">
        <f>IF(OR(F236="просрочено",F236="сегодня",F236="укажи дату",LEFT(F236,6)="молчит"),1,0)</f>
        <v/>
      </c>
    </row>
    <row r="237" ht="24" customHeight="1">
      <c r="A237" s="38" t="n">
        <v>236</v>
      </c>
      <c r="B237" s="32" t="inlineStr">
        <is>
          <t>Жестяной цех</t>
        </is>
      </c>
      <c r="C237" s="49" t="inlineStr">
        <is>
          <t>Очередь</t>
        </is>
      </c>
      <c r="D237" s="49" t="n"/>
      <c r="E237" s="50" t="n"/>
      <c r="F237" s="51">
        <f>IF(OR(C237="",C237="Очередь",C237="Клиент",C237="Отказ",C237="Не писать"),"",IF(E237="",IF(AND(C237="Отправлено",I237&lt;&gt;"",TODAY()-INT(I237)&gt;=3),"молчит "&amp;(TODAY()-INT(I237))&amp;" дн.",IF(OR(C237="Перезвонить",C237="Созвон"),"укажи дату","")),IF(INT(E237)&lt;TODAY(),"просрочено",IF(INT(E237)=TODAY(),"сегодня",IF(INT(E237)=TODAY()+1,"завтра",TEXT(E237,"dd.mm"))))))</f>
        <v/>
      </c>
      <c r="G237" s="52" t="n"/>
      <c r="H237" s="36" t="inlineStr">
        <is>
          <t>79187562215</t>
        </is>
      </c>
      <c r="I237" s="53" t="n"/>
      <c r="J237" s="38">
        <f>IFERROR(MATCH(C237,'Справка'!$A$12:$A$21,0),99)</f>
        <v/>
      </c>
      <c r="K237" s="39">
        <f>HYPERLINK("https://wa.me/"&amp;H237&amp;"?text="&amp;ENCODEURL(T237),"✉ Написать")</f>
        <v/>
      </c>
      <c r="L237" s="39">
        <f>HYPERLINK("https://wa.me/"&amp;H237,"Открыть чат")</f>
        <v/>
      </c>
      <c r="M237" s="38" t="inlineStr">
        <is>
          <t>с. Верхнерусское</t>
        </is>
      </c>
      <c r="N237" s="38" t="n">
        <v>5</v>
      </c>
      <c r="O237" s="38" t="n">
        <v>16</v>
      </c>
      <c r="P237" s="38" t="n"/>
      <c r="Q237" s="38" t="inlineStr">
        <is>
          <t>без сайта</t>
        </is>
      </c>
      <c r="R237" s="38" t="n">
        <v>2</v>
      </c>
      <c r="S237" s="38" t="inlineStr">
        <is>
          <t>Ставропольский край</t>
        </is>
      </c>
      <c r="T237" s="38" t="inlineStr">
        <is>
          <t>Здравствуйте! Искал в 2ГИС кровельные компании в Ставропольском крае и наткнулся на вас: отзывы хорошие, а сайта нет.
Могу за вечер собрать для «Жестяной цех» сайт и показать. Платить не нужно, пока не понравится. Собрать?</t>
        </is>
      </c>
      <c r="U237" s="38">
        <f>B237&amp;IF(D237&lt;&gt;""," · "&amp;D237,"")&amp;IF(F237&lt;&gt;"",CHAR(10)&amp;F237,"")</f>
        <v/>
      </c>
      <c r="V237" s="38">
        <f>IF(OR(F237="просрочено",F237="сегодня",F237="укажи дату",LEFT(F237,6)="молчит"),1,0)</f>
        <v/>
      </c>
    </row>
    <row r="238" ht="24" customHeight="1">
      <c r="A238" s="38" t="n">
        <v>237</v>
      </c>
      <c r="B238" s="32" t="inlineStr">
        <is>
          <t>АртСтрой</t>
        </is>
      </c>
      <c r="C238" s="49" t="inlineStr">
        <is>
          <t>Очередь</t>
        </is>
      </c>
      <c r="D238" s="49" t="n"/>
      <c r="E238" s="50" t="n"/>
      <c r="F238" s="51">
        <f>IF(OR(C238="",C238="Очередь",C238="Клиент",C238="Отказ",C238="Не писать"),"",IF(E238="",IF(AND(C238="Отправлено",I238&lt;&gt;"",TODAY()-INT(I238)&gt;=3),"молчит "&amp;(TODAY()-INT(I238))&amp;" дн.",IF(OR(C238="Перезвонить",C238="Созвон"),"укажи дату","")),IF(INT(E238)&lt;TODAY(),"просрочено",IF(INT(E238)=TODAY(),"сегодня",IF(INT(E238)=TODAY()+1,"завтра",TEXT(E238,"dd.mm"))))))</f>
        <v/>
      </c>
      <c r="G238" s="52" t="n"/>
      <c r="H238" s="36" t="inlineStr">
        <is>
          <t>79283052997</t>
        </is>
      </c>
      <c r="I238" s="53" t="n"/>
      <c r="J238" s="38">
        <f>IFERROR(MATCH(C238,'Справка'!$A$12:$A$21,0),99)</f>
        <v/>
      </c>
      <c r="K238" s="39">
        <f>HYPERLINK("https://wa.me/"&amp;H238&amp;"?text="&amp;ENCODEURL(T238),"✉ Написать")</f>
        <v/>
      </c>
      <c r="L238" s="39">
        <f>HYPERLINK("https://wa.me/"&amp;H238,"Открыть чат")</f>
        <v/>
      </c>
      <c r="M238" s="38" t="inlineStr">
        <is>
          <t>Ставрополь</t>
        </is>
      </c>
      <c r="N238" s="38" t="n">
        <v>5</v>
      </c>
      <c r="O238" s="38" t="n">
        <v>4</v>
      </c>
      <c r="P238" s="38" t="n"/>
      <c r="Q238" s="38" t="inlineStr">
        <is>
          <t>без сайта</t>
        </is>
      </c>
      <c r="R238" s="38" t="n">
        <v>2</v>
      </c>
      <c r="S238" s="38" t="inlineStr">
        <is>
          <t>Ставропольский край</t>
        </is>
      </c>
      <c r="T238" s="38" t="inlineStr">
        <is>
          <t>Здравствуйте! Смотрел в 2ГИС, кто делает кровлю в Ставрополе. У «АртСтрой» хорошие отзывы, но сайта в карточке я не нашёл.
Готов за вечер собрать сайт для «АртСтрой» и показать вам. Денег вперёд не беру. Собрать?</t>
        </is>
      </c>
      <c r="U238" s="38">
        <f>B238&amp;IF(D238&lt;&gt;""," · "&amp;D238,"")&amp;IF(F238&lt;&gt;"",CHAR(10)&amp;F238,"")</f>
        <v/>
      </c>
      <c r="V238" s="38">
        <f>IF(OR(F238="просрочено",F238="сегодня",F238="укажи дату",LEFT(F238,6)="молчит"),1,0)</f>
        <v/>
      </c>
    </row>
    <row r="239" ht="24" customHeight="1">
      <c r="A239" s="38" t="n">
        <v>238</v>
      </c>
      <c r="B239" s="32" t="inlineStr">
        <is>
          <t>РСО26</t>
        </is>
      </c>
      <c r="C239" s="49" t="inlineStr">
        <is>
          <t>Очередь</t>
        </is>
      </c>
      <c r="D239" s="49" t="n"/>
      <c r="E239" s="50" t="n"/>
      <c r="F239" s="51">
        <f>IF(OR(C239="",C239="Очередь",C239="Клиент",C239="Отказ",C239="Не писать"),"",IF(E239="",IF(AND(C239="Отправлено",I239&lt;&gt;"",TODAY()-INT(I239)&gt;=3),"молчит "&amp;(TODAY()-INT(I239))&amp;" дн.",IF(OR(C239="Перезвонить",C239="Созвон"),"укажи дату","")),IF(INT(E239)&lt;TODAY(),"просрочено",IF(INT(E239)=TODAY(),"сегодня",IF(INT(E239)=TODAY()+1,"завтра",TEXT(E239,"dd.mm"))))))</f>
        <v/>
      </c>
      <c r="G239" s="52" t="n"/>
      <c r="H239" s="36" t="inlineStr">
        <is>
          <t>79614947565</t>
        </is>
      </c>
      <c r="I239" s="53" t="n"/>
      <c r="J239" s="38">
        <f>IFERROR(MATCH(C239,'Справка'!$A$12:$A$21,0),99)</f>
        <v/>
      </c>
      <c r="K239" s="39">
        <f>HYPERLINK("https://wa.me/"&amp;H239&amp;"?text="&amp;ENCODEURL(T239),"✉ Написать")</f>
        <v/>
      </c>
      <c r="L239" s="39">
        <f>HYPERLINK("https://wa.me/"&amp;H239,"Открыть чат")</f>
        <v/>
      </c>
      <c r="M239" s="38" t="inlineStr">
        <is>
          <t>Ставрополь</t>
        </is>
      </c>
      <c r="N239" s="38" t="n">
        <v>4.7</v>
      </c>
      <c r="O239" s="38" t="n">
        <v>3</v>
      </c>
      <c r="P239" s="38" t="n"/>
      <c r="Q239" s="38" t="inlineStr">
        <is>
          <t>без сайта</t>
        </is>
      </c>
      <c r="R239" s="38" t="n">
        <v>2</v>
      </c>
      <c r="S239" s="38" t="inlineStr">
        <is>
          <t>Ставропольский край</t>
        </is>
      </c>
      <c r="T239" s="38" t="inlineStr">
        <is>
          <t>Здравствуйте! Нашёл вас в 2ГИС среди кровельных компаний в Ставрополе: оценки высокие, а сайта нет.
Могу собрать сайт под «РСО26» за вечер и показать. Не понравится — ничего не должны. Сделать?</t>
        </is>
      </c>
      <c r="U239" s="38">
        <f>B239&amp;IF(D239&lt;&gt;""," · "&amp;D239,"")&amp;IF(F239&lt;&gt;"",CHAR(10)&amp;F239,"")</f>
        <v/>
      </c>
      <c r="V239" s="38">
        <f>IF(OR(F239="просрочено",F239="сегодня",F239="укажи дату",LEFT(F239,6)="молчит"),1,0)</f>
        <v/>
      </c>
    </row>
    <row r="240" ht="24" customHeight="1">
      <c r="A240" s="38" t="n">
        <v>239</v>
      </c>
      <c r="B240" s="32" t="inlineStr">
        <is>
          <t>ДомСтройСервис</t>
        </is>
      </c>
      <c r="C240" s="49" t="inlineStr">
        <is>
          <t>Очередь</t>
        </is>
      </c>
      <c r="D240" s="49" t="n"/>
      <c r="E240" s="50" t="n"/>
      <c r="F240" s="51">
        <f>IF(OR(C240="",C240="Очередь",C240="Клиент",C240="Отказ",C240="Не писать"),"",IF(E240="",IF(AND(C240="Отправлено",I240&lt;&gt;"",TODAY()-INT(I240)&gt;=3),"молчит "&amp;(TODAY()-INT(I240))&amp;" дн.",IF(OR(C240="Перезвонить",C240="Созвон"),"укажи дату","")),IF(INT(E240)&lt;TODAY(),"просрочено",IF(INT(E240)=TODAY(),"сегодня",IF(INT(E240)=TODAY()+1,"завтра",TEXT(E240,"dd.mm"))))))</f>
        <v/>
      </c>
      <c r="G240" s="52" t="n"/>
      <c r="H240" s="36" t="inlineStr">
        <is>
          <t>79064902141</t>
        </is>
      </c>
      <c r="I240" s="53" t="n"/>
      <c r="J240" s="38">
        <f>IFERROR(MATCH(C240,'Справка'!$A$12:$A$21,0),99)</f>
        <v/>
      </c>
      <c r="K240" s="39">
        <f>HYPERLINK("https://wa.me/"&amp;H240&amp;"?text="&amp;ENCODEURL(T240),"✉ Написать")</f>
        <v/>
      </c>
      <c r="L240" s="39">
        <f>HYPERLINK("https://wa.me/"&amp;H240,"Открыть чат")</f>
        <v/>
      </c>
      <c r="M240" s="38" t="inlineStr">
        <is>
          <t>Ставрополь</t>
        </is>
      </c>
      <c r="N240" s="38" t="n">
        <v>4.5</v>
      </c>
      <c r="O240" s="38" t="n">
        <v>2</v>
      </c>
      <c r="P240" s="38" t="n"/>
      <c r="Q240" s="38" t="inlineStr">
        <is>
          <t>без сайта</t>
        </is>
      </c>
      <c r="R240" s="38" t="n">
        <v>2</v>
      </c>
      <c r="S240" s="38" t="inlineStr">
        <is>
          <t>Ставропольский край</t>
        </is>
      </c>
      <c r="T240" s="38" t="inlineStr">
        <is>
          <t>Здравствуйте! Искал в 2ГИС кровельные компании в Ставрополе и наткнулся на вас. Сайта в карточке не увидел.
Могу за вечер собрать для «ДомСтройСервис» сайт и показать. Платить не нужно, пока не понравится. Собрать?</t>
        </is>
      </c>
      <c r="U240" s="38">
        <f>B240&amp;IF(D240&lt;&gt;""," · "&amp;D240,"")&amp;IF(F240&lt;&gt;"",CHAR(10)&amp;F240,"")</f>
        <v/>
      </c>
      <c r="V240" s="38">
        <f>IF(OR(F240="просрочено",F240="сегодня",F240="укажи дату",LEFT(F240,6)="молчит"),1,0)</f>
        <v/>
      </c>
    </row>
    <row r="241" ht="24" customHeight="1">
      <c r="A241" s="38" t="n">
        <v>240</v>
      </c>
      <c r="B241" s="32" t="inlineStr">
        <is>
          <t>Надежный Дом СК</t>
        </is>
      </c>
      <c r="C241" s="49" t="inlineStr">
        <is>
          <t>Очередь</t>
        </is>
      </c>
      <c r="D241" s="49" t="n"/>
      <c r="E241" s="50" t="n"/>
      <c r="F241" s="51">
        <f>IF(OR(C241="",C241="Очередь",C241="Клиент",C241="Отказ",C241="Не писать"),"",IF(E241="",IF(AND(C241="Отправлено",I241&lt;&gt;"",TODAY()-INT(I241)&gt;=3),"молчит "&amp;(TODAY()-INT(I241))&amp;" дн.",IF(OR(C241="Перезвонить",C241="Созвон"),"укажи дату","")),IF(INT(E241)&lt;TODAY(),"просрочено",IF(INT(E241)=TODAY(),"сегодня",IF(INT(E241)=TODAY()+1,"завтра",TEXT(E241,"dd.mm"))))))</f>
        <v/>
      </c>
      <c r="G241" s="52" t="n"/>
      <c r="H241" s="36" t="inlineStr">
        <is>
          <t>79197364176</t>
        </is>
      </c>
      <c r="I241" s="53" t="n"/>
      <c r="J241" s="38">
        <f>IFERROR(MATCH(C241,'Справка'!$A$12:$A$21,0),99)</f>
        <v/>
      </c>
      <c r="K241" s="39">
        <f>HYPERLINK("https://wa.me/"&amp;H241&amp;"?text="&amp;ENCODEURL(T241),"✉ Написать")</f>
        <v/>
      </c>
      <c r="L241" s="39">
        <f>HYPERLINK("https://wa.me/"&amp;H241,"Открыть чат")</f>
        <v/>
      </c>
      <c r="M241" s="38" t="inlineStr">
        <is>
          <t>Ставрополь</t>
        </is>
      </c>
      <c r="N241" s="38" t="n">
        <v>5</v>
      </c>
      <c r="O241" s="38" t="n">
        <v>2</v>
      </c>
      <c r="P241" s="38" t="n"/>
      <c r="Q241" s="38" t="inlineStr">
        <is>
          <t>без сайта</t>
        </is>
      </c>
      <c r="R241" s="38" t="n">
        <v>2</v>
      </c>
      <c r="S241" s="38" t="inlineStr">
        <is>
          <t>Ставропольский край</t>
        </is>
      </c>
      <c r="T241" s="38" t="inlineStr">
        <is>
          <t>Здравствуйте! Смотрел в 2ГИС, кто делает кровлю в Ставрополе, и нашёл «Надежный Дом СК». Сайта в карточке нет.
Готов за вечер собрать сайт для «Надежный Дом СК» и показать вам. Денег вперёд не беру. Собрать?</t>
        </is>
      </c>
      <c r="U241" s="38">
        <f>B241&amp;IF(D241&lt;&gt;""," · "&amp;D241,"")&amp;IF(F241&lt;&gt;"",CHAR(10)&amp;F241,"")</f>
        <v/>
      </c>
      <c r="V241" s="38">
        <f>IF(OR(F241="просрочено",F241="сегодня",F241="укажи дату",LEFT(F241,6)="молчит"),1,0)</f>
        <v/>
      </c>
    </row>
    <row r="242" ht="24" customHeight="1">
      <c r="A242" s="38" t="n">
        <v>241</v>
      </c>
      <c r="B242" s="32" t="inlineStr">
        <is>
          <t>Кровельная компания</t>
        </is>
      </c>
      <c r="C242" s="49" t="inlineStr">
        <is>
          <t>Очередь</t>
        </is>
      </c>
      <c r="D242" s="49" t="n"/>
      <c r="E242" s="50" t="n"/>
      <c r="F242" s="51">
        <f>IF(OR(C242="",C242="Очередь",C242="Клиент",C242="Отказ",C242="Не писать"),"",IF(E242="",IF(AND(C242="Отправлено",I242&lt;&gt;"",TODAY()-INT(I242)&gt;=3),"молчит "&amp;(TODAY()-INT(I242))&amp;" дн.",IF(OR(C242="Перезвонить",C242="Созвон"),"укажи дату","")),IF(INT(E242)&lt;TODAY(),"просрочено",IF(INT(E242)=TODAY(),"сегодня",IF(INT(E242)=TODAY()+1,"завтра",TEXT(E242,"dd.mm"))))))</f>
        <v/>
      </c>
      <c r="G242" s="52" t="n"/>
      <c r="H242" s="36" t="inlineStr">
        <is>
          <t>79682673785</t>
        </is>
      </c>
      <c r="I242" s="53" t="n"/>
      <c r="J242" s="38">
        <f>IFERROR(MATCH(C242,'Справка'!$A$12:$A$21,0),99)</f>
        <v/>
      </c>
      <c r="K242" s="39">
        <f>HYPERLINK("https://wa.me/"&amp;H242&amp;"?text="&amp;ENCODEURL(T242),"✉ Написать")</f>
        <v/>
      </c>
      <c r="L242" s="39">
        <f>HYPERLINK("https://wa.me/"&amp;H242,"Открыть чат")</f>
        <v/>
      </c>
      <c r="M242" s="38" t="inlineStr">
        <is>
          <t>Ставрополь</t>
        </is>
      </c>
      <c r="N242" s="38" t="n"/>
      <c r="O242" s="38" t="n"/>
      <c r="P242" s="38" t="n"/>
      <c r="Q242" s="38" t="inlineStr">
        <is>
          <t>без сайта</t>
        </is>
      </c>
      <c r="R242" s="38" t="n">
        <v>2</v>
      </c>
      <c r="S242" s="38" t="inlineStr">
        <is>
          <t>Ставропольский край</t>
        </is>
      </c>
      <c r="T242" s="38" t="inlineStr">
        <is>
          <t>Здравствуйте! Нашёл вас в 2ГИС среди кровельных компаний в Ставрополе, а сайта в карточке не нашёл.
Могу собрать сайт под «Кровельная компания» за вечер и показать. Не понравится — ничего не должны. Сделать?</t>
        </is>
      </c>
      <c r="U242" s="38">
        <f>B242&amp;IF(D242&lt;&gt;""," · "&amp;D242,"")&amp;IF(F242&lt;&gt;"",CHAR(10)&amp;F242,"")</f>
        <v/>
      </c>
      <c r="V242" s="38">
        <f>IF(OR(F242="просрочено",F242="сегодня",F242="укажи дату",LEFT(F242,6)="молчит"),1,0)</f>
        <v/>
      </c>
    </row>
    <row r="243" ht="24" customHeight="1">
      <c r="A243" s="38" t="n">
        <v>242</v>
      </c>
      <c r="B243" s="32" t="inlineStr">
        <is>
          <t>Центр сварочных работ</t>
        </is>
      </c>
      <c r="C243" s="49" t="inlineStr">
        <is>
          <t>Очередь</t>
        </is>
      </c>
      <c r="D243" s="49" t="n"/>
      <c r="E243" s="50" t="n"/>
      <c r="F243" s="51">
        <f>IF(OR(C243="",C243="Очередь",C243="Клиент",C243="Отказ",C243="Не писать"),"",IF(E243="",IF(AND(C243="Отправлено",I243&lt;&gt;"",TODAY()-INT(I243)&gt;=3),"молчит "&amp;(TODAY()-INT(I243))&amp;" дн.",IF(OR(C243="Перезвонить",C243="Созвон"),"укажи дату","")),IF(INT(E243)&lt;TODAY(),"просрочено",IF(INT(E243)=TODAY(),"сегодня",IF(INT(E243)=TODAY()+1,"завтра",TEXT(E243,"dd.mm"))))))</f>
        <v/>
      </c>
      <c r="G243" s="52" t="n"/>
      <c r="H243" s="36" t="inlineStr">
        <is>
          <t>79188725399</t>
        </is>
      </c>
      <c r="I243" s="53" t="n"/>
      <c r="J243" s="38">
        <f>IFERROR(MATCH(C243,'Справка'!$A$12:$A$21,0),99)</f>
        <v/>
      </c>
      <c r="K243" s="39">
        <f>HYPERLINK("https://wa.me/"&amp;H243&amp;"?text="&amp;ENCODEURL(T243),"✉ Написать")</f>
        <v/>
      </c>
      <c r="L243" s="39">
        <f>HYPERLINK("https://wa.me/"&amp;H243,"Открыть чат")</f>
        <v/>
      </c>
      <c r="M243" s="38" t="inlineStr">
        <is>
          <t>Ставрополь</t>
        </is>
      </c>
      <c r="N243" s="38" t="n"/>
      <c r="O243" s="38" t="n"/>
      <c r="P243" s="38" t="n"/>
      <c r="Q243" s="38" t="inlineStr">
        <is>
          <t>без сайта</t>
        </is>
      </c>
      <c r="R243" s="38" t="n">
        <v>2</v>
      </c>
      <c r="S243" s="38" t="inlineStr">
        <is>
          <t>Ставропольский край</t>
        </is>
      </c>
      <c r="T243" s="38" t="inlineStr">
        <is>
          <t>Здравствуйте! Искал в 2ГИС кровельные компании в Ставрополе и наткнулся на вас. Сайта в карточке не увидел.
Могу за вечер собрать для «Центр сварочных работ» сайт и показать. Платить не нужно, пока не понравится. Собрать?</t>
        </is>
      </c>
      <c r="U243" s="38">
        <f>B243&amp;IF(D243&lt;&gt;""," · "&amp;D243,"")&amp;IF(F243&lt;&gt;"",CHAR(10)&amp;F243,"")</f>
        <v/>
      </c>
      <c r="V243" s="38">
        <f>IF(OR(F243="просрочено",F243="сегодня",F243="укажи дату",LEFT(F243,6)="молчит"),1,0)</f>
        <v/>
      </c>
    </row>
    <row r="244" ht="24" customHeight="1">
      <c r="A244" s="38" t="n">
        <v>243</v>
      </c>
      <c r="B244" s="32" t="inlineStr">
        <is>
          <t>Компания промышленного альпинизма</t>
        </is>
      </c>
      <c r="C244" s="49" t="inlineStr">
        <is>
          <t>Очередь</t>
        </is>
      </c>
      <c r="D244" s="49" t="n"/>
      <c r="E244" s="50" t="n"/>
      <c r="F244" s="51">
        <f>IF(OR(C244="",C244="Очередь",C244="Клиент",C244="Отказ",C244="Не писать"),"",IF(E244="",IF(AND(C244="Отправлено",I244&lt;&gt;"",TODAY()-INT(I244)&gt;=3),"молчит "&amp;(TODAY()-INT(I244))&amp;" дн.",IF(OR(C244="Перезвонить",C244="Созвон"),"укажи дату","")),IF(INT(E244)&lt;TODAY(),"просрочено",IF(INT(E244)=TODAY(),"сегодня",IF(INT(E244)=TODAY()+1,"завтра",TEXT(E244,"dd.mm"))))))</f>
        <v/>
      </c>
      <c r="G244" s="52" t="n"/>
      <c r="H244" s="36" t="inlineStr">
        <is>
          <t>79624508099</t>
        </is>
      </c>
      <c r="I244" s="53" t="n"/>
      <c r="J244" s="38">
        <f>IFERROR(MATCH(C244,'Справка'!$A$12:$A$21,0),99)</f>
        <v/>
      </c>
      <c r="K244" s="39">
        <f>HYPERLINK("https://wa.me/"&amp;H244&amp;"?text="&amp;ENCODEURL(T244),"✉ Написать")</f>
        <v/>
      </c>
      <c r="L244" s="39">
        <f>HYPERLINK("https://wa.me/"&amp;H244,"Открыть чат")</f>
        <v/>
      </c>
      <c r="M244" s="38" t="inlineStr">
        <is>
          <t>Ставрополь</t>
        </is>
      </c>
      <c r="N244" s="38" t="n"/>
      <c r="O244" s="38" t="n"/>
      <c r="P244" s="38" t="n"/>
      <c r="Q244" s="38" t="inlineStr">
        <is>
          <t>без сайта</t>
        </is>
      </c>
      <c r="R244" s="38" t="n">
        <v>2</v>
      </c>
      <c r="S244" s="38" t="inlineStr">
        <is>
          <t>Ставропольский край</t>
        </is>
      </c>
      <c r="T244" s="38" t="inlineStr">
        <is>
          <t>Здравствуйте! Смотрел в 2ГИС, кто делает кровлю в Ставрополе, и нашёл «Компания промышленного альпинизма». Сайта в карточке нет.
Готов за вечер собрать сайт для «Компания промышленного альпинизма» и показать вам. Денег вперёд не беру. Собрать?</t>
        </is>
      </c>
      <c r="U244" s="38">
        <f>B244&amp;IF(D244&lt;&gt;""," · "&amp;D244,"")&amp;IF(F244&lt;&gt;"",CHAR(10)&amp;F244,"")</f>
        <v/>
      </c>
      <c r="V244" s="38">
        <f>IF(OR(F244="просрочено",F244="сегодня",F244="укажи дату",LEFT(F244,6)="молчит"),1,0)</f>
        <v/>
      </c>
    </row>
    <row r="245" ht="24" customHeight="1">
      <c r="A245" s="38" t="n">
        <v>244</v>
      </c>
      <c r="B245" s="32" t="inlineStr">
        <is>
          <t>Выше Крыши</t>
        </is>
      </c>
      <c r="C245" s="49" t="inlineStr">
        <is>
          <t>Очередь</t>
        </is>
      </c>
      <c r="D245" s="49" t="n"/>
      <c r="E245" s="50" t="n"/>
      <c r="F245" s="51">
        <f>IF(OR(C245="",C245="Очередь",C245="Клиент",C245="Отказ",C245="Не писать"),"",IF(E245="",IF(AND(C245="Отправлено",I245&lt;&gt;"",TODAY()-INT(I245)&gt;=3),"молчит "&amp;(TODAY()-INT(I245))&amp;" дн.",IF(OR(C245="Перезвонить",C245="Созвон"),"укажи дату","")),IF(INT(E245)&lt;TODAY(),"просрочено",IF(INT(E245)=TODAY(),"сегодня",IF(INT(E245)=TODAY()+1,"завтра",TEXT(E245,"dd.mm"))))))</f>
        <v/>
      </c>
      <c r="G245" s="52" t="n"/>
      <c r="H245" s="36" t="inlineStr">
        <is>
          <t>79187762666</t>
        </is>
      </c>
      <c r="I245" s="53" t="n"/>
      <c r="J245" s="38">
        <f>IFERROR(MATCH(C245,'Справка'!$A$12:$A$21,0),99)</f>
        <v/>
      </c>
      <c r="K245" s="39">
        <f>HYPERLINK("https://wa.me/"&amp;H245&amp;"?text="&amp;ENCODEURL(T245),"✉ Написать")</f>
        <v/>
      </c>
      <c r="L245" s="39">
        <f>HYPERLINK("https://wa.me/"&amp;H245,"Открыть чат")</f>
        <v/>
      </c>
      <c r="M245" s="38" t="inlineStr">
        <is>
          <t>Ставрополь</t>
        </is>
      </c>
      <c r="N245" s="38" t="n"/>
      <c r="O245" s="38" t="n"/>
      <c r="P245" s="38" t="n"/>
      <c r="Q245" s="38" t="inlineStr">
        <is>
          <t>без сайта</t>
        </is>
      </c>
      <c r="R245" s="38" t="n">
        <v>2</v>
      </c>
      <c r="S245" s="38" t="inlineStr">
        <is>
          <t>Ставропольский край</t>
        </is>
      </c>
      <c r="T245" s="38" t="inlineStr">
        <is>
          <t>Здравствуйте! Нашёл вас в 2ГИС среди кровельных компаний в Ставрополе, а сайта в карточке не нашёл.
Могу собрать сайт под «Выше Крыши» за вечер и показать. Не понравится — ничего не должны. Сделать?</t>
        </is>
      </c>
      <c r="U245" s="38">
        <f>B245&amp;IF(D245&lt;&gt;""," · "&amp;D245,"")&amp;IF(F245&lt;&gt;"",CHAR(10)&amp;F245,"")</f>
        <v/>
      </c>
      <c r="V245" s="38">
        <f>IF(OR(F245="просрочено",F245="сегодня",F245="укажи дату",LEFT(F245,6)="молчит"),1,0)</f>
        <v/>
      </c>
    </row>
    <row r="246" ht="24" customHeight="1">
      <c r="A246" s="38" t="n">
        <v>245</v>
      </c>
      <c r="B246" s="32" t="inlineStr">
        <is>
          <t>Промальп и профстрой</t>
        </is>
      </c>
      <c r="C246" s="49" t="inlineStr">
        <is>
          <t>Очередь</t>
        </is>
      </c>
      <c r="D246" s="49" t="n"/>
      <c r="E246" s="50" t="n"/>
      <c r="F246" s="51">
        <f>IF(OR(C246="",C246="Очередь",C246="Клиент",C246="Отказ",C246="Не писать"),"",IF(E246="",IF(AND(C246="Отправлено",I246&lt;&gt;"",TODAY()-INT(I246)&gt;=3),"молчит "&amp;(TODAY()-INT(I246))&amp;" дн.",IF(OR(C246="Перезвонить",C246="Созвон"),"укажи дату","")),IF(INT(E246)&lt;TODAY(),"просрочено",IF(INT(E246)=TODAY(),"сегодня",IF(INT(E246)=TODAY()+1,"завтра",TEXT(E246,"dd.mm"))))))</f>
        <v/>
      </c>
      <c r="G246" s="52" t="n"/>
      <c r="H246" s="36" t="inlineStr">
        <is>
          <t>79283655681</t>
        </is>
      </c>
      <c r="I246" s="53" t="n"/>
      <c r="J246" s="38">
        <f>IFERROR(MATCH(C246,'Справка'!$A$12:$A$21,0),99)</f>
        <v/>
      </c>
      <c r="K246" s="39">
        <f>HYPERLINK("https://wa.me/"&amp;H246&amp;"?text="&amp;ENCODEURL(T246),"✉ Написать")</f>
        <v/>
      </c>
      <c r="L246" s="39">
        <f>HYPERLINK("https://wa.me/"&amp;H246,"Открыть чат")</f>
        <v/>
      </c>
      <c r="M246" s="38" t="inlineStr">
        <is>
          <t>Ставрополь</t>
        </is>
      </c>
      <c r="N246" s="38" t="n"/>
      <c r="O246" s="38" t="n"/>
      <c r="P246" s="38" t="n"/>
      <c r="Q246" s="38" t="inlineStr">
        <is>
          <t>без сайта</t>
        </is>
      </c>
      <c r="R246" s="38" t="n">
        <v>2</v>
      </c>
      <c r="S246" s="38" t="inlineStr">
        <is>
          <t>Ставропольский край</t>
        </is>
      </c>
      <c r="T246" s="38" t="inlineStr">
        <is>
          <t>Здравствуйте! Искал в 2ГИС кровельные компании в Ставрополе и наткнулся на вас. Сайта в карточке не увидел.
Могу за вечер собрать для «Промальп и профстрой» сайт и показать. Платить не нужно, пока не понравится. Собрать?</t>
        </is>
      </c>
      <c r="U246" s="38">
        <f>B246&amp;IF(D246&lt;&gt;""," · "&amp;D246,"")&amp;IF(F246&lt;&gt;"",CHAR(10)&amp;F246,"")</f>
        <v/>
      </c>
      <c r="V246" s="38">
        <f>IF(OR(F246="просрочено",F246="сегодня",F246="укажи дату",LEFT(F246,6)="молчит"),1,0)</f>
        <v/>
      </c>
    </row>
    <row r="247" ht="24" customHeight="1">
      <c r="A247" s="38" t="n">
        <v>246</v>
      </c>
      <c r="B247" s="32" t="inlineStr">
        <is>
          <t>СтавСтройБизнес</t>
        </is>
      </c>
      <c r="C247" s="49" t="inlineStr">
        <is>
          <t>Очередь</t>
        </is>
      </c>
      <c r="D247" s="49" t="n"/>
      <c r="E247" s="50" t="n"/>
      <c r="F247" s="51">
        <f>IF(OR(C247="",C247="Очередь",C247="Клиент",C247="Отказ",C247="Не писать"),"",IF(E247="",IF(AND(C247="Отправлено",I247&lt;&gt;"",TODAY()-INT(I247)&gt;=3),"молчит "&amp;(TODAY()-INT(I247))&amp;" дн.",IF(OR(C247="Перезвонить",C247="Созвон"),"укажи дату","")),IF(INT(E247)&lt;TODAY(),"просрочено",IF(INT(E247)=TODAY(),"сегодня",IF(INT(E247)=TODAY()+1,"завтра",TEXT(E247,"dd.mm"))))))</f>
        <v/>
      </c>
      <c r="G247" s="52" t="n"/>
      <c r="H247" s="36" t="inlineStr">
        <is>
          <t>79624539943</t>
        </is>
      </c>
      <c r="I247" s="53" t="n"/>
      <c r="J247" s="38">
        <f>IFERROR(MATCH(C247,'Справка'!$A$12:$A$21,0),99)</f>
        <v/>
      </c>
      <c r="K247" s="39">
        <f>HYPERLINK("https://wa.me/"&amp;H247&amp;"?text="&amp;ENCODEURL(T247),"✉ Написать")</f>
        <v/>
      </c>
      <c r="L247" s="39">
        <f>HYPERLINK("https://wa.me/"&amp;H247,"Открыть чат")</f>
        <v/>
      </c>
      <c r="M247" s="38" t="inlineStr">
        <is>
          <t>Ставрополь</t>
        </is>
      </c>
      <c r="N247" s="38" t="n"/>
      <c r="O247" s="38" t="n"/>
      <c r="P247" s="38" t="n"/>
      <c r="Q247" s="38" t="inlineStr">
        <is>
          <t>без сайта</t>
        </is>
      </c>
      <c r="R247" s="38" t="n">
        <v>2</v>
      </c>
      <c r="S247" s="38" t="inlineStr">
        <is>
          <t>Ставропольский край</t>
        </is>
      </c>
      <c r="T247" s="38" t="inlineStr">
        <is>
          <t>Здравствуйте! Смотрел в 2ГИС, кто делает кровлю в Ставрополе, и нашёл «СтавСтройБизнес». Сайта в карточке нет.
Готов за вечер собрать сайт для «СтавСтройБизнес» и показать вам. Денег вперёд не беру. Собрать?</t>
        </is>
      </c>
      <c r="U247" s="38">
        <f>B247&amp;IF(D247&lt;&gt;""," · "&amp;D247,"")&amp;IF(F247&lt;&gt;"",CHAR(10)&amp;F247,"")</f>
        <v/>
      </c>
      <c r="V247" s="38">
        <f>IF(OR(F247="просрочено",F247="сегодня",F247="укажи дату",LEFT(F247,6)="молчит"),1,0)</f>
        <v/>
      </c>
    </row>
    <row r="248" ht="24" customHeight="1">
      <c r="A248" s="38" t="n">
        <v>247</v>
      </c>
      <c r="B248" s="32" t="inlineStr">
        <is>
          <t>Крофос</t>
        </is>
      </c>
      <c r="C248" s="49" t="inlineStr">
        <is>
          <t>Очередь</t>
        </is>
      </c>
      <c r="D248" s="49" t="n"/>
      <c r="E248" s="50" t="n"/>
      <c r="F248" s="51">
        <f>IF(OR(C248="",C248="Очередь",C248="Клиент",C248="Отказ",C248="Не писать"),"",IF(E248="",IF(AND(C248="Отправлено",I248&lt;&gt;"",TODAY()-INT(I248)&gt;=3),"молчит "&amp;(TODAY()-INT(I248))&amp;" дн.",IF(OR(C248="Перезвонить",C248="Созвон"),"укажи дату","")),IF(INT(E248)&lt;TODAY(),"просрочено",IF(INT(E248)=TODAY(),"сегодня",IF(INT(E248)=TODAY()+1,"завтра",TEXT(E248,"dd.mm"))))))</f>
        <v/>
      </c>
      <c r="G248" s="52" t="n"/>
      <c r="H248" s="36" t="inlineStr">
        <is>
          <t>79383333022</t>
        </is>
      </c>
      <c r="I248" s="53" t="n"/>
      <c r="J248" s="38">
        <f>IFERROR(MATCH(C248,'Справка'!$A$12:$A$21,0),99)</f>
        <v/>
      </c>
      <c r="K248" s="39">
        <f>HYPERLINK("https://wa.me/"&amp;H248&amp;"?text="&amp;ENCODEURL(T248),"✉ Написать")</f>
        <v/>
      </c>
      <c r="L248" s="39">
        <f>HYPERLINK("https://wa.me/"&amp;H248,"Открыть чат")</f>
        <v/>
      </c>
      <c r="M248" s="38" t="inlineStr">
        <is>
          <t>Ставрополь</t>
        </is>
      </c>
      <c r="N248" s="38" t="n"/>
      <c r="O248" s="38" t="n"/>
      <c r="P248" s="38" t="n"/>
      <c r="Q248" s="38" t="inlineStr">
        <is>
          <t>без сайта</t>
        </is>
      </c>
      <c r="R248" s="38" t="n">
        <v>2</v>
      </c>
      <c r="S248" s="38" t="inlineStr">
        <is>
          <t>Ставропольский край</t>
        </is>
      </c>
      <c r="T248" s="38" t="inlineStr">
        <is>
          <t>Здравствуйте! Нашёл вас в 2ГИС среди кровельных компаний в Ставрополе, а сайта в карточке не нашёл.
Могу собрать сайт под «Крофос» за вечер и показать. Не понравится — ничего не должны. Сделать?</t>
        </is>
      </c>
      <c r="U248" s="38">
        <f>B248&amp;IF(D248&lt;&gt;""," · "&amp;D248,"")&amp;IF(F248&lt;&gt;"",CHAR(10)&amp;F248,"")</f>
        <v/>
      </c>
      <c r="V248" s="38">
        <f>IF(OR(F248="просрочено",F248="сегодня",F248="укажи дату",LEFT(F248,6)="молчит"),1,0)</f>
        <v/>
      </c>
    </row>
    <row r="249" ht="24" customHeight="1">
      <c r="A249" s="38" t="n">
        <v>248</v>
      </c>
      <c r="B249" s="32" t="inlineStr">
        <is>
          <t>Маляров РемСтрой</t>
        </is>
      </c>
      <c r="C249" s="49" t="inlineStr">
        <is>
          <t>Очередь</t>
        </is>
      </c>
      <c r="D249" s="49" t="n"/>
      <c r="E249" s="50" t="n"/>
      <c r="F249" s="51">
        <f>IF(OR(C249="",C249="Очередь",C249="Клиент",C249="Отказ",C249="Не писать"),"",IF(E249="",IF(AND(C249="Отправлено",I249&lt;&gt;"",TODAY()-INT(I249)&gt;=3),"молчит "&amp;(TODAY()-INT(I249))&amp;" дн.",IF(OR(C249="Перезвонить",C249="Созвон"),"укажи дату","")),IF(INT(E249)&lt;TODAY(),"просрочено",IF(INT(E249)=TODAY(),"сегодня",IF(INT(E249)=TODAY()+1,"завтра",TEXT(E249,"dd.mm"))))))</f>
        <v/>
      </c>
      <c r="G249" s="52" t="n"/>
      <c r="H249" s="36" t="inlineStr">
        <is>
          <t>79187415575</t>
        </is>
      </c>
      <c r="I249" s="53" t="n"/>
      <c r="J249" s="38">
        <f>IFERROR(MATCH(C249,'Справка'!$A$12:$A$21,0),99)</f>
        <v/>
      </c>
      <c r="K249" s="39">
        <f>HYPERLINK("https://wa.me/"&amp;H249&amp;"?text="&amp;ENCODEURL(T249),"✉ Написать")</f>
        <v/>
      </c>
      <c r="L249" s="39">
        <f>HYPERLINK("https://wa.me/"&amp;H249,"Открыть чат")</f>
        <v/>
      </c>
      <c r="M249" s="38" t="inlineStr">
        <is>
          <t>Михайловск</t>
        </is>
      </c>
      <c r="N249" s="38" t="n"/>
      <c r="O249" s="38" t="n"/>
      <c r="P249" s="38" t="n"/>
      <c r="Q249" s="38" t="inlineStr">
        <is>
          <t>без сайта</t>
        </is>
      </c>
      <c r="R249" s="38" t="n">
        <v>2</v>
      </c>
      <c r="S249" s="38" t="inlineStr">
        <is>
          <t>Ставропольский край</t>
        </is>
      </c>
      <c r="T249" s="38" t="inlineStr">
        <is>
          <t>Здравствуйте! Искал в 2ГИС кровельные компании в Михайловске и наткнулся на вас. Сайта в карточке не увидел.
Могу за вечер собрать для «Маляров РемСтрой» сайт и показать. Платить не нужно, пока не понравится. Собрать?</t>
        </is>
      </c>
      <c r="U249" s="38">
        <f>B249&amp;IF(D249&lt;&gt;""," · "&amp;D249,"")&amp;IF(F249&lt;&gt;"",CHAR(10)&amp;F249,"")</f>
        <v/>
      </c>
      <c r="V249" s="38">
        <f>IF(OR(F249="просрочено",F249="сегодня",F249="укажи дату",LEFT(F249,6)="молчит"),1,0)</f>
        <v/>
      </c>
    </row>
    <row r="250" ht="24" customHeight="1">
      <c r="A250" s="38" t="n">
        <v>249</v>
      </c>
      <c r="B250" s="32" t="inlineStr">
        <is>
          <t>Всё для Кровли</t>
        </is>
      </c>
      <c r="C250" s="49" t="inlineStr">
        <is>
          <t>Очередь</t>
        </is>
      </c>
      <c r="D250" s="49" t="n"/>
      <c r="E250" s="50" t="n"/>
      <c r="F250" s="51">
        <f>IF(OR(C250="",C250="Очередь",C250="Клиент",C250="Отказ",C250="Не писать"),"",IF(E250="",IF(AND(C250="Отправлено",I250&lt;&gt;"",TODAY()-INT(I250)&gt;=3),"молчит "&amp;(TODAY()-INT(I250))&amp;" дн.",IF(OR(C250="Перезвонить",C250="Созвон"),"укажи дату","")),IF(INT(E250)&lt;TODAY(),"просрочено",IF(INT(E250)=TODAY(),"сегодня",IF(INT(E250)=TODAY()+1,"завтра",TEXT(E250,"dd.mm"))))))</f>
        <v/>
      </c>
      <c r="G250" s="52" t="n"/>
      <c r="H250" s="36" t="inlineStr">
        <is>
          <t>79188852758</t>
        </is>
      </c>
      <c r="I250" s="53" t="n"/>
      <c r="J250" s="38">
        <f>IFERROR(MATCH(C250,'Справка'!$A$12:$A$21,0),99)</f>
        <v/>
      </c>
      <c r="K250" s="39">
        <f>HYPERLINK("https://wa.me/"&amp;H250&amp;"?text="&amp;ENCODEURL(T250),"✉ Написать")</f>
        <v/>
      </c>
      <c r="L250" s="39">
        <f>HYPERLINK("https://wa.me/"&amp;H250,"Открыть чат")</f>
        <v/>
      </c>
      <c r="M250" s="38" t="inlineStr">
        <is>
          <t>с. Грачевка</t>
        </is>
      </c>
      <c r="N250" s="38" t="n"/>
      <c r="O250" s="38" t="n"/>
      <c r="P250" s="38" t="n"/>
      <c r="Q250" s="38" t="inlineStr">
        <is>
          <t>без сайта</t>
        </is>
      </c>
      <c r="R250" s="38" t="n">
        <v>2</v>
      </c>
      <c r="S250" s="38" t="inlineStr">
        <is>
          <t>Ставропольский край</t>
        </is>
      </c>
      <c r="T250" s="38" t="inlineStr">
        <is>
          <t>Здравствуйте! Смотрел в 2ГИС, кто делает кровлю в Ставропольском крае, и нашёл «Всё для Кровли». Сайта в карточке нет.
Готов за вечер собрать сайт для «Всё для Кровли» и показать вам. Денег вперёд не беру. Собрать?</t>
        </is>
      </c>
      <c r="U250" s="38">
        <f>B250&amp;IF(D250&lt;&gt;""," · "&amp;D250,"")&amp;IF(F250&lt;&gt;"",CHAR(10)&amp;F250,"")</f>
        <v/>
      </c>
      <c r="V250" s="38">
        <f>IF(OR(F250="просрочено",F250="сегодня",F250="укажи дату",LEFT(F250,6)="молчит"),1,0)</f>
        <v/>
      </c>
    </row>
    <row r="251" ht="24" customHeight="1">
      <c r="A251" s="38" t="n">
        <v>250</v>
      </c>
      <c r="B251" s="32" t="inlineStr">
        <is>
          <t>Компания по кровельным работам</t>
        </is>
      </c>
      <c r="C251" s="49" t="inlineStr">
        <is>
          <t>Очередь</t>
        </is>
      </c>
      <c r="D251" s="49" t="n"/>
      <c r="E251" s="50" t="n"/>
      <c r="F251" s="51">
        <f>IF(OR(C251="",C251="Очередь",C251="Клиент",C251="Отказ",C251="Не писать"),"",IF(E251="",IF(AND(C251="Отправлено",I251&lt;&gt;"",TODAY()-INT(I251)&gt;=3),"молчит "&amp;(TODAY()-INT(I251))&amp;" дн.",IF(OR(C251="Перезвонить",C251="Созвон"),"укажи дату","")),IF(INT(E251)&lt;TODAY(),"просрочено",IF(INT(E251)=TODAY(),"сегодня",IF(INT(E251)=TODAY()+1,"завтра",TEXT(E251,"dd.mm"))))))</f>
        <v/>
      </c>
      <c r="G251" s="52" t="n"/>
      <c r="H251" s="36" t="inlineStr">
        <is>
          <t>79188861019</t>
        </is>
      </c>
      <c r="I251" s="53" t="n"/>
      <c r="J251" s="38">
        <f>IFERROR(MATCH(C251,'Справка'!$A$12:$A$21,0),99)</f>
        <v/>
      </c>
      <c r="K251" s="39">
        <f>HYPERLINK("https://wa.me/"&amp;H251&amp;"?text="&amp;ENCODEURL(T251),"✉ Написать")</f>
        <v/>
      </c>
      <c r="L251" s="39">
        <f>HYPERLINK("https://wa.me/"&amp;H251,"Открыть чат")</f>
        <v/>
      </c>
      <c r="M251" s="38" t="inlineStr">
        <is>
          <t>Изобильный</t>
        </is>
      </c>
      <c r="N251" s="38" t="n"/>
      <c r="O251" s="38" t="n"/>
      <c r="P251" s="38" t="n"/>
      <c r="Q251" s="38" t="inlineStr">
        <is>
          <t>без сайта</t>
        </is>
      </c>
      <c r="R251" s="38" t="n">
        <v>2</v>
      </c>
      <c r="S251" s="38" t="inlineStr">
        <is>
          <t>Ставропольский край</t>
        </is>
      </c>
      <c r="T251" s="38" t="inlineStr">
        <is>
          <t>Здравствуйте! Нашёл вас в 2ГИС среди кровельных компаний в Изобильном, а сайта в карточке не нашёл.
Могу собрать сайт под «Компания по кровельным работам» за вечер и показать. Не понравится — ничего не должны. Сделать?</t>
        </is>
      </c>
      <c r="U251" s="38">
        <f>B251&amp;IF(D251&lt;&gt;""," · "&amp;D251,"")&amp;IF(F251&lt;&gt;"",CHAR(10)&amp;F251,"")</f>
        <v/>
      </c>
      <c r="V251" s="38">
        <f>IF(OR(F251="просрочено",F251="сегодня",F251="укажи дату",LEFT(F251,6)="молчит"),1,0)</f>
        <v/>
      </c>
    </row>
    <row r="252" ht="24" customHeight="1">
      <c r="A252" s="38" t="n">
        <v>251</v>
      </c>
      <c r="B252" s="32" t="inlineStr">
        <is>
          <t>Стройкровля</t>
        </is>
      </c>
      <c r="C252" s="49" t="inlineStr">
        <is>
          <t>Очередь</t>
        </is>
      </c>
      <c r="D252" s="49" t="n"/>
      <c r="E252" s="50" t="n"/>
      <c r="F252" s="51">
        <f>IF(OR(C252="",C252="Очередь",C252="Клиент",C252="Отказ",C252="Не писать"),"",IF(E252="",IF(AND(C252="Отправлено",I252&lt;&gt;"",TODAY()-INT(I252)&gt;=3),"молчит "&amp;(TODAY()-INT(I252))&amp;" дн.",IF(OR(C252="Перезвонить",C252="Созвон"),"укажи дату","")),IF(INT(E252)&lt;TODAY(),"просрочено",IF(INT(E252)=TODAY(),"сегодня",IF(INT(E252)=TODAY()+1,"завтра",TEXT(E252,"dd.mm"))))))</f>
        <v/>
      </c>
      <c r="G252" s="52" t="n"/>
      <c r="H252" s="36" t="inlineStr">
        <is>
          <t>79187693427</t>
        </is>
      </c>
      <c r="I252" s="53" t="n"/>
      <c r="J252" s="38">
        <f>IFERROR(MATCH(C252,'Справка'!$A$12:$A$21,0),99)</f>
        <v/>
      </c>
      <c r="K252" s="39">
        <f>HYPERLINK("https://wa.me/"&amp;H252&amp;"?text="&amp;ENCODEURL(T252),"✉ Написать")</f>
        <v/>
      </c>
      <c r="L252" s="39">
        <f>HYPERLINK("https://wa.me/"&amp;H252,"Открыть чат")</f>
        <v/>
      </c>
      <c r="M252" s="38" t="inlineStr">
        <is>
          <t>с. Обильное</t>
        </is>
      </c>
      <c r="N252" s="38" t="n"/>
      <c r="O252" s="38" t="n"/>
      <c r="P252" s="38" t="n"/>
      <c r="Q252" s="38" t="inlineStr">
        <is>
          <t>без сайта</t>
        </is>
      </c>
      <c r="R252" s="38" t="n">
        <v>2</v>
      </c>
      <c r="S252" s="38" t="inlineStr">
        <is>
          <t>Ставропольский край</t>
        </is>
      </c>
      <c r="T252" s="38" t="inlineStr">
        <is>
          <t>Здравствуйте! Искал в 2ГИС кровельные компании в Ставропольском крае и наткнулся на вас. Сайта в карточке не увидел.
Могу за вечер собрать для «Стройкровля» сайт и показать. Платить не нужно, пока не понравится. Собрать?</t>
        </is>
      </c>
      <c r="U252" s="38">
        <f>B252&amp;IF(D252&lt;&gt;""," · "&amp;D252,"")&amp;IF(F252&lt;&gt;"",CHAR(10)&amp;F252,"")</f>
        <v/>
      </c>
      <c r="V252" s="38">
        <f>IF(OR(F252="просрочено",F252="сегодня",F252="укажи дату",LEFT(F252,6)="молчит"),1,0)</f>
        <v/>
      </c>
    </row>
    <row r="253" ht="24" customHeight="1">
      <c r="A253" s="38" t="n">
        <v>252</v>
      </c>
      <c r="B253" s="32" t="inlineStr">
        <is>
          <t>Авида Ремстрой</t>
        </is>
      </c>
      <c r="C253" s="49" t="inlineStr">
        <is>
          <t>Очередь</t>
        </is>
      </c>
      <c r="D253" s="49" t="n"/>
      <c r="E253" s="50" t="n"/>
      <c r="F253" s="51">
        <f>IF(OR(C253="",C253="Очередь",C253="Клиент",C253="Отказ",C253="Не писать"),"",IF(E253="",IF(AND(C253="Отправлено",I253&lt;&gt;"",TODAY()-INT(I253)&gt;=3),"молчит "&amp;(TODAY()-INT(I253))&amp;" дн.",IF(OR(C253="Перезвонить",C253="Созвон"),"укажи дату","")),IF(INT(E253)&lt;TODAY(),"просрочено",IF(INT(E253)=TODAY(),"сегодня",IF(INT(E253)=TODAY()+1,"завтра",TEXT(E253,"dd.mm"))))))</f>
        <v/>
      </c>
      <c r="G253" s="52" t="n"/>
      <c r="H253" s="36" t="inlineStr">
        <is>
          <t>79023127777</t>
        </is>
      </c>
      <c r="I253" s="53" t="n"/>
      <c r="J253" s="38">
        <f>IFERROR(MATCH(C253,'Справка'!$A$12:$A$21,0),99)</f>
        <v/>
      </c>
      <c r="K253" s="39">
        <f>HYPERLINK("https://wa.me/"&amp;H253&amp;"?text="&amp;ENCODEURL(T253),"✉ Написать")</f>
        <v/>
      </c>
      <c r="L253" s="39">
        <f>HYPERLINK("https://wa.me/"&amp;H253,"Открыть чат")</f>
        <v/>
      </c>
      <c r="M253" s="38" t="inlineStr">
        <is>
          <t>Волгоград</t>
        </is>
      </c>
      <c r="N253" s="38" t="n"/>
      <c r="O253" s="38" t="n"/>
      <c r="P253" s="38" t="n"/>
      <c r="Q253" s="38" t="inlineStr">
        <is>
          <t>без сайта, WhatsApp не подтверждён</t>
        </is>
      </c>
      <c r="R253" s="38" t="n">
        <v>2</v>
      </c>
      <c r="S253" s="38" t="inlineStr">
        <is>
          <t>Волгоградская область</t>
        </is>
      </c>
      <c r="T253" s="38" t="inlineStr">
        <is>
          <t>Здравствуйте! Смотрел в 2ГИС, кто делает кровлю в Волгограде, и нашёл «Авида Ремстрой». Сайта в карточке нет.
Готов за вечер собрать сайт для «Авида Ремстрой» и показать вам. Денег вперёд не беру. Собрать?</t>
        </is>
      </c>
      <c r="U253" s="38">
        <f>B253&amp;IF(D253&lt;&gt;""," · "&amp;D253,"")&amp;IF(F253&lt;&gt;"",CHAR(10)&amp;F253,"")</f>
        <v/>
      </c>
      <c r="V253" s="38">
        <f>IF(OR(F253="просрочено",F253="сегодня",F253="укажи дату",LEFT(F253,6)="молчит"),1,0)</f>
        <v/>
      </c>
    </row>
    <row r="254" ht="24" customHeight="1">
      <c r="A254" s="38" t="n">
        <v>253</v>
      </c>
      <c r="B254" s="32" t="inlineStr">
        <is>
          <t>Фартстрой</t>
        </is>
      </c>
      <c r="C254" s="49" t="inlineStr">
        <is>
          <t>Очередь</t>
        </is>
      </c>
      <c r="D254" s="49" t="n"/>
      <c r="E254" s="50" t="n"/>
      <c r="F254" s="51">
        <f>IF(OR(C254="",C254="Очередь",C254="Клиент",C254="Отказ",C254="Не писать"),"",IF(E254="",IF(AND(C254="Отправлено",I254&lt;&gt;"",TODAY()-INT(I254)&gt;=3),"молчит "&amp;(TODAY()-INT(I254))&amp;" дн.",IF(OR(C254="Перезвонить",C254="Созвон"),"укажи дату","")),IF(INT(E254)&lt;TODAY(),"просрочено",IF(INT(E254)=TODAY(),"сегодня",IF(INT(E254)=TODAY()+1,"завтра",TEXT(E254,"dd.mm"))))))</f>
        <v/>
      </c>
      <c r="G254" s="52" t="n"/>
      <c r="H254" s="36" t="inlineStr">
        <is>
          <t>79610659390</t>
        </is>
      </c>
      <c r="I254" s="53" t="n"/>
      <c r="J254" s="38">
        <f>IFERROR(MATCH(C254,'Справка'!$A$12:$A$21,0),99)</f>
        <v/>
      </c>
      <c r="K254" s="39">
        <f>HYPERLINK("https://wa.me/"&amp;H254&amp;"?text="&amp;ENCODEURL(T254),"✉ Написать")</f>
        <v/>
      </c>
      <c r="L254" s="39">
        <f>HYPERLINK("https://wa.me/"&amp;H254,"Открыть чат")</f>
        <v/>
      </c>
      <c r="M254" s="38" t="inlineStr">
        <is>
          <t>Волгоград</t>
        </is>
      </c>
      <c r="N254" s="38" t="n"/>
      <c r="O254" s="38" t="n"/>
      <c r="P254" s="38" t="n"/>
      <c r="Q254" s="38" t="inlineStr">
        <is>
          <t>без сайта, WhatsApp не подтверждён</t>
        </is>
      </c>
      <c r="R254" s="38" t="n">
        <v>2</v>
      </c>
      <c r="S254" s="38" t="inlineStr">
        <is>
          <t>Волгоградская область</t>
        </is>
      </c>
      <c r="T254" s="38" t="inlineStr">
        <is>
          <t>Здравствуйте! Нашёл вас в 2ГИС среди кровельных компаний в Волгограде, а сайта в карточке не нашёл.
Могу собрать сайт под «Фартстрой» за вечер и показать. Не понравится — ничего не должны. Сделать?</t>
        </is>
      </c>
      <c r="U254" s="38">
        <f>B254&amp;IF(D254&lt;&gt;""," · "&amp;D254,"")&amp;IF(F254&lt;&gt;"",CHAR(10)&amp;F254,"")</f>
        <v/>
      </c>
      <c r="V254" s="38">
        <f>IF(OR(F254="просрочено",F254="сегодня",F254="укажи дату",LEFT(F254,6)="молчит"),1,0)</f>
        <v/>
      </c>
    </row>
    <row r="255" ht="24" customHeight="1">
      <c r="A255" s="38" t="n">
        <v>254</v>
      </c>
      <c r="B255" s="32" t="inlineStr">
        <is>
          <t>Конкор</t>
        </is>
      </c>
      <c r="C255" s="49" t="inlineStr">
        <is>
          <t>Очередь</t>
        </is>
      </c>
      <c r="D255" s="49" t="n"/>
      <c r="E255" s="50" t="n"/>
      <c r="F255" s="51">
        <f>IF(OR(C255="",C255="Очередь",C255="Клиент",C255="Отказ",C255="Не писать"),"",IF(E255="",IF(AND(C255="Отправлено",I255&lt;&gt;"",TODAY()-INT(I255)&gt;=3),"молчит "&amp;(TODAY()-INT(I255))&amp;" дн.",IF(OR(C255="Перезвонить",C255="Созвон"),"укажи дату","")),IF(INT(E255)&lt;TODAY(),"просрочено",IF(INT(E255)=TODAY(),"сегодня",IF(INT(E255)=TODAY()+1,"завтра",TEXT(E255,"dd.mm"))))))</f>
        <v/>
      </c>
      <c r="G255" s="52" t="n"/>
      <c r="H255" s="36" t="inlineStr">
        <is>
          <t>79375519933</t>
        </is>
      </c>
      <c r="I255" s="53" t="n"/>
      <c r="J255" s="38">
        <f>IFERROR(MATCH(C255,'Справка'!$A$12:$A$21,0),99)</f>
        <v/>
      </c>
      <c r="K255" s="39">
        <f>HYPERLINK("https://wa.me/"&amp;H255&amp;"?text="&amp;ENCODEURL(T255),"✉ Написать")</f>
        <v/>
      </c>
      <c r="L255" s="39">
        <f>HYPERLINK("https://wa.me/"&amp;H255,"Открыть чат")</f>
        <v/>
      </c>
      <c r="M255" s="38" t="inlineStr">
        <is>
          <t>Волгоград</t>
        </is>
      </c>
      <c r="N255" s="38" t="n"/>
      <c r="O255" s="38" t="n"/>
      <c r="P255" s="38" t="n"/>
      <c r="Q255" s="38" t="inlineStr">
        <is>
          <t>без сайта, WhatsApp не подтверждён</t>
        </is>
      </c>
      <c r="R255" s="38" t="n">
        <v>2</v>
      </c>
      <c r="S255" s="38" t="inlineStr">
        <is>
          <t>Волгоградская область</t>
        </is>
      </c>
      <c r="T255" s="38" t="inlineStr">
        <is>
          <t>Здравствуйте! Искал в 2ГИС кровельные компании в Волгограде и наткнулся на вас. Сайта в карточке не увидел.
Могу за вечер собрать для «Конкор» сайт и показать. Платить не нужно, пока не понравится. Собрать?</t>
        </is>
      </c>
      <c r="U255" s="38">
        <f>B255&amp;IF(D255&lt;&gt;""," · "&amp;D255,"")&amp;IF(F255&lt;&gt;"",CHAR(10)&amp;F255,"")</f>
        <v/>
      </c>
      <c r="V255" s="38">
        <f>IF(OR(F255="просрочено",F255="сегодня",F255="укажи дату",LEFT(F255,6)="молчит"),1,0)</f>
        <v/>
      </c>
    </row>
    <row r="256" ht="24" customHeight="1">
      <c r="A256" s="38" t="n">
        <v>255</v>
      </c>
      <c r="B256" s="32" t="inlineStr">
        <is>
          <t>Рус-кроф</t>
        </is>
      </c>
      <c r="C256" s="49" t="inlineStr">
        <is>
          <t>Очередь</t>
        </is>
      </c>
      <c r="D256" s="49" t="n"/>
      <c r="E256" s="50" t="n"/>
      <c r="F256" s="51">
        <f>IF(OR(C256="",C256="Очередь",C256="Клиент",C256="Отказ",C256="Не писать"),"",IF(E256="",IF(AND(C256="Отправлено",I256&lt;&gt;"",TODAY()-INT(I256)&gt;=3),"молчит "&amp;(TODAY()-INT(I256))&amp;" дн.",IF(OR(C256="Перезвонить",C256="Созвон"),"укажи дату","")),IF(INT(E256)&lt;TODAY(),"просрочено",IF(INT(E256)=TODAY(),"сегодня",IF(INT(E256)=TODAY()+1,"завтра",TEXT(E256,"dd.mm"))))))</f>
        <v/>
      </c>
      <c r="G256" s="52" t="n"/>
      <c r="H256" s="36" t="inlineStr">
        <is>
          <t>79610662170</t>
        </is>
      </c>
      <c r="I256" s="53" t="n"/>
      <c r="J256" s="38">
        <f>IFERROR(MATCH(C256,'Справка'!$A$12:$A$21,0),99)</f>
        <v/>
      </c>
      <c r="K256" s="39">
        <f>HYPERLINK("https://wa.me/"&amp;H256&amp;"?text="&amp;ENCODEURL(T256),"✉ Написать")</f>
        <v/>
      </c>
      <c r="L256" s="39">
        <f>HYPERLINK("https://wa.me/"&amp;H256,"Открыть чат")</f>
        <v/>
      </c>
      <c r="M256" s="38" t="inlineStr">
        <is>
          <t>Волгоград</t>
        </is>
      </c>
      <c r="N256" s="38" t="n"/>
      <c r="O256" s="38" t="n"/>
      <c r="P256" s="38" t="n"/>
      <c r="Q256" s="38" t="inlineStr">
        <is>
          <t>без сайта, WhatsApp не подтверждён</t>
        </is>
      </c>
      <c r="R256" s="38" t="n">
        <v>2</v>
      </c>
      <c r="S256" s="38" t="inlineStr">
        <is>
          <t>Волгоградская область</t>
        </is>
      </c>
      <c r="T256" s="38" t="inlineStr">
        <is>
          <t>Здравствуйте! Смотрел в 2ГИС, кто делает кровлю в Волгограде, и нашёл «Рус-кроф». Сайта в карточке нет.
Готов за вечер собрать сайт для «Рус-кроф» и показать вам. Денег вперёд не беру. Собрать?</t>
        </is>
      </c>
      <c r="U256" s="38">
        <f>B256&amp;IF(D256&lt;&gt;""," · "&amp;D256,"")&amp;IF(F256&lt;&gt;"",CHAR(10)&amp;F256,"")</f>
        <v/>
      </c>
      <c r="V256" s="38">
        <f>IF(OR(F256="просрочено",F256="сегодня",F256="укажи дату",LEFT(F256,6)="молчит"),1,0)</f>
        <v/>
      </c>
    </row>
    <row r="257" ht="24" customHeight="1">
      <c r="A257" s="38" t="n">
        <v>256</v>
      </c>
      <c r="B257" s="32" t="inlineStr">
        <is>
          <t>Компания кровельных работ</t>
        </is>
      </c>
      <c r="C257" s="49" t="inlineStr">
        <is>
          <t>Очередь</t>
        </is>
      </c>
      <c r="D257" s="49" t="n"/>
      <c r="E257" s="50" t="n"/>
      <c r="F257" s="51">
        <f>IF(OR(C257="",C257="Очередь",C257="Клиент",C257="Отказ",C257="Не писать"),"",IF(E257="",IF(AND(C257="Отправлено",I257&lt;&gt;"",TODAY()-INT(I257)&gt;=3),"молчит "&amp;(TODAY()-INT(I257))&amp;" дн.",IF(OR(C257="Перезвонить",C257="Созвон"),"укажи дату","")),IF(INT(E257)&lt;TODAY(),"просрочено",IF(INT(E257)=TODAY(),"сегодня",IF(INT(E257)=TODAY()+1,"завтра",TEXT(E257,"dd.mm"))))))</f>
        <v/>
      </c>
      <c r="G257" s="52" t="n"/>
      <c r="H257" s="36" t="inlineStr">
        <is>
          <t>79275283075</t>
        </is>
      </c>
      <c r="I257" s="53" t="n"/>
      <c r="J257" s="38">
        <f>IFERROR(MATCH(C257,'Справка'!$A$12:$A$21,0),99)</f>
        <v/>
      </c>
      <c r="K257" s="39">
        <f>HYPERLINK("https://wa.me/"&amp;H257&amp;"?text="&amp;ENCODEURL(T257),"✉ Написать")</f>
        <v/>
      </c>
      <c r="L257" s="39">
        <f>HYPERLINK("https://wa.me/"&amp;H257,"Открыть чат")</f>
        <v/>
      </c>
      <c r="M257" s="38" t="inlineStr">
        <is>
          <t>Волгоград</t>
        </is>
      </c>
      <c r="N257" s="38" t="n"/>
      <c r="O257" s="38" t="n"/>
      <c r="P257" s="38" t="n"/>
      <c r="Q257" s="38" t="inlineStr">
        <is>
          <t>без сайта, WhatsApp не подтверждён</t>
        </is>
      </c>
      <c r="R257" s="38" t="n">
        <v>2</v>
      </c>
      <c r="S257" s="38" t="inlineStr">
        <is>
          <t>Волгоградская область</t>
        </is>
      </c>
      <c r="T257" s="38" t="inlineStr">
        <is>
          <t>Здравствуйте! Нашёл вас в 2ГИС среди кровельных компаний в Волгограде, а сайта в карточке не нашёл.
Могу собрать сайт под «Компания кровельных работ» за вечер и показать. Не понравится — ничего не должны. Сделать?</t>
        </is>
      </c>
      <c r="U257" s="38">
        <f>B257&amp;IF(D257&lt;&gt;""," · "&amp;D257,"")&amp;IF(F257&lt;&gt;"",CHAR(10)&amp;F257,"")</f>
        <v/>
      </c>
      <c r="V257" s="38">
        <f>IF(OR(F257="просрочено",F257="сегодня",F257="укажи дату",LEFT(F257,6)="молчит"),1,0)</f>
        <v/>
      </c>
    </row>
    <row r="258" ht="24" customHeight="1">
      <c r="A258" s="38" t="n">
        <v>257</v>
      </c>
      <c r="B258" s="32" t="inlineStr">
        <is>
          <t>Работа на высоте</t>
        </is>
      </c>
      <c r="C258" s="49" t="inlineStr">
        <is>
          <t>Очередь</t>
        </is>
      </c>
      <c r="D258" s="49" t="n"/>
      <c r="E258" s="50" t="n"/>
      <c r="F258" s="51">
        <f>IF(OR(C258="",C258="Очередь",C258="Клиент",C258="Отказ",C258="Не писать"),"",IF(E258="",IF(AND(C258="Отправлено",I258&lt;&gt;"",TODAY()-INT(I258)&gt;=3),"молчит "&amp;(TODAY()-INT(I258))&amp;" дн.",IF(OR(C258="Перезвонить",C258="Созвон"),"укажи дату","")),IF(INT(E258)&lt;TODAY(),"просрочено",IF(INT(E258)=TODAY(),"сегодня",IF(INT(E258)=TODAY()+1,"завтра",TEXT(E258,"dd.mm"))))))</f>
        <v/>
      </c>
      <c r="G258" s="52" t="n"/>
      <c r="H258" s="36" t="inlineStr">
        <is>
          <t>79195441050</t>
        </is>
      </c>
      <c r="I258" s="53" t="n"/>
      <c r="J258" s="38">
        <f>IFERROR(MATCH(C258,'Справка'!$A$12:$A$21,0),99)</f>
        <v/>
      </c>
      <c r="K258" s="39">
        <f>HYPERLINK("https://wa.me/"&amp;H258&amp;"?text="&amp;ENCODEURL(T258),"✉ Написать")</f>
        <v/>
      </c>
      <c r="L258" s="39">
        <f>HYPERLINK("https://wa.me/"&amp;H258,"Открыть чат")</f>
        <v/>
      </c>
      <c r="M258" s="38" t="inlineStr">
        <is>
          <t>Волгоград</t>
        </is>
      </c>
      <c r="N258" s="38" t="n"/>
      <c r="O258" s="38" t="n"/>
      <c r="P258" s="38" t="n"/>
      <c r="Q258" s="38" t="inlineStr">
        <is>
          <t>без сайта, WhatsApp не подтверждён</t>
        </is>
      </c>
      <c r="R258" s="38" t="n">
        <v>2</v>
      </c>
      <c r="S258" s="38" t="inlineStr">
        <is>
          <t>Волгоградская область</t>
        </is>
      </c>
      <c r="T258" s="38" t="inlineStr">
        <is>
          <t>Здравствуйте! Искал в 2ГИС кровельные компании в Волгограде и наткнулся на вас. Сайта в карточке не увидел.
Могу за вечер собрать для «Работа на высоте» сайт и показать. Платить не нужно, пока не понравится. Собрать?</t>
        </is>
      </c>
      <c r="U258" s="38">
        <f>B258&amp;IF(D258&lt;&gt;""," · "&amp;D258,"")&amp;IF(F258&lt;&gt;"",CHAR(10)&amp;F258,"")</f>
        <v/>
      </c>
      <c r="V258" s="38">
        <f>IF(OR(F258="просрочено",F258="сегодня",F258="укажи дату",LEFT(F258,6)="молчит"),1,0)</f>
        <v/>
      </c>
    </row>
    <row r="259" ht="24" customHeight="1">
      <c r="A259" s="38" t="n">
        <v>258</v>
      </c>
      <c r="B259" s="32" t="inlineStr">
        <is>
          <t>Компания кровельных работ под ключ</t>
        </is>
      </c>
      <c r="C259" s="49" t="inlineStr">
        <is>
          <t>Очередь</t>
        </is>
      </c>
      <c r="D259" s="49" t="n"/>
      <c r="E259" s="50" t="n"/>
      <c r="F259" s="51">
        <f>IF(OR(C259="",C259="Очередь",C259="Клиент",C259="Отказ",C259="Не писать"),"",IF(E259="",IF(AND(C259="Отправлено",I259&lt;&gt;"",TODAY()-INT(I259)&gt;=3),"молчит "&amp;(TODAY()-INT(I259))&amp;" дн.",IF(OR(C259="Перезвонить",C259="Созвон"),"укажи дату","")),IF(INT(E259)&lt;TODAY(),"просрочено",IF(INT(E259)=TODAY(),"сегодня",IF(INT(E259)=TODAY()+1,"завтра",TEXT(E259,"dd.mm"))))))</f>
        <v/>
      </c>
      <c r="G259" s="52" t="n"/>
      <c r="H259" s="36" t="inlineStr">
        <is>
          <t>79033722454</t>
        </is>
      </c>
      <c r="I259" s="53" t="n"/>
      <c r="J259" s="38">
        <f>IFERROR(MATCH(C259,'Справка'!$A$12:$A$21,0),99)</f>
        <v/>
      </c>
      <c r="K259" s="39">
        <f>HYPERLINK("https://wa.me/"&amp;H259&amp;"?text="&amp;ENCODEURL(T259),"✉ Написать")</f>
        <v/>
      </c>
      <c r="L259" s="39">
        <f>HYPERLINK("https://wa.me/"&amp;H259,"Открыть чат")</f>
        <v/>
      </c>
      <c r="M259" s="38" t="inlineStr">
        <is>
          <t>Волжский</t>
        </is>
      </c>
      <c r="N259" s="38" t="n"/>
      <c r="O259" s="38" t="n"/>
      <c r="P259" s="38" t="n"/>
      <c r="Q259" s="38" t="inlineStr">
        <is>
          <t>без сайта, WhatsApp не подтверждён</t>
        </is>
      </c>
      <c r="R259" s="38" t="n">
        <v>2</v>
      </c>
      <c r="S259" s="38" t="inlineStr">
        <is>
          <t>Волгоградская область</t>
        </is>
      </c>
      <c r="T259" s="38" t="inlineStr">
        <is>
          <t>Здравствуйте! Смотрел в 2ГИС, кто делает кровлю в Волжском, и нашёл «Компания кровельных работ под ключ». Сайта в карточке нет.
Готов за вечер собрать сайт для «Компания кровельных работ под ключ» и показать вам. Денег вперёд не беру. Собрать?</t>
        </is>
      </c>
      <c r="U259" s="38">
        <f>B259&amp;IF(D259&lt;&gt;""," · "&amp;D259,"")&amp;IF(F259&lt;&gt;"",CHAR(10)&amp;F259,"")</f>
        <v/>
      </c>
      <c r="V259" s="38">
        <f>IF(OR(F259="просрочено",F259="сегодня",F259="укажи дату",LEFT(F259,6)="молчит"),1,0)</f>
        <v/>
      </c>
    </row>
    <row r="260" ht="24" customHeight="1">
      <c r="A260" s="38" t="n">
        <v>259</v>
      </c>
      <c r="B260" s="32" t="inlineStr">
        <is>
          <t>Кровельно-монтажная компания</t>
        </is>
      </c>
      <c r="C260" s="49" t="inlineStr">
        <is>
          <t>Очередь</t>
        </is>
      </c>
      <c r="D260" s="49" t="n"/>
      <c r="E260" s="50" t="n"/>
      <c r="F260" s="51">
        <f>IF(OR(C260="",C260="Очередь",C260="Клиент",C260="Отказ",C260="Не писать"),"",IF(E260="",IF(AND(C260="Отправлено",I260&lt;&gt;"",TODAY()-INT(I260)&gt;=3),"молчит "&amp;(TODAY()-INT(I260))&amp;" дн.",IF(OR(C260="Перезвонить",C260="Созвон"),"укажи дату","")),IF(INT(E260)&lt;TODAY(),"просрочено",IF(INT(E260)=TODAY(),"сегодня",IF(INT(E260)=TODAY()+1,"завтра",TEXT(E260,"dd.mm"))))))</f>
        <v/>
      </c>
      <c r="G260" s="52" t="n"/>
      <c r="H260" s="36" t="inlineStr">
        <is>
          <t>79015971760</t>
        </is>
      </c>
      <c r="I260" s="53" t="n"/>
      <c r="J260" s="38">
        <f>IFERROR(MATCH(C260,'Справка'!$A$12:$A$21,0),99)</f>
        <v/>
      </c>
      <c r="K260" s="39">
        <f>HYPERLINK("https://wa.me/"&amp;H260&amp;"?text="&amp;ENCODEURL(T260),"✉ Написать")</f>
        <v/>
      </c>
      <c r="L260" s="39">
        <f>HYPERLINK("https://wa.me/"&amp;H260,"Открыть чат")</f>
        <v/>
      </c>
      <c r="M260" s="38" t="inlineStr">
        <is>
          <t>х. Захаров</t>
        </is>
      </c>
      <c r="N260" s="38" t="n"/>
      <c r="O260" s="38" t="n"/>
      <c r="P260" s="38" t="n"/>
      <c r="Q260" s="38" t="inlineStr">
        <is>
          <t>без сайта, WhatsApp не подтверждён</t>
        </is>
      </c>
      <c r="R260" s="38" t="n">
        <v>2</v>
      </c>
      <c r="S260" s="38" t="inlineStr">
        <is>
          <t>Волгоградская область</t>
        </is>
      </c>
      <c r="T260" s="38" t="inlineStr">
        <is>
          <t>Здравствуйте! Нашёл вас в 2ГИС среди кровельных компаний в Волгоградской области, а сайта в карточке не нашёл.
Могу собрать сайт под «Кровельно-монтажная компания» за вечер и показать. Не понравится — ничего не должны. Сделать?</t>
        </is>
      </c>
      <c r="U260" s="38">
        <f>B260&amp;IF(D260&lt;&gt;""," · "&amp;D260,"")&amp;IF(F260&lt;&gt;"",CHAR(10)&amp;F260,"")</f>
        <v/>
      </c>
      <c r="V260" s="38">
        <f>IF(OR(F260="просрочено",F260="сегодня",F260="укажи дату",LEFT(F260,6)="молчит"),1,0)</f>
        <v/>
      </c>
    </row>
    <row r="261" ht="24" customHeight="1">
      <c r="A261" s="38" t="n">
        <v>260</v>
      </c>
      <c r="B261" s="32" t="inlineStr">
        <is>
          <t>Центр кровельных решений и строительных работ</t>
        </is>
      </c>
      <c r="C261" s="49" t="inlineStr">
        <is>
          <t>Очередь</t>
        </is>
      </c>
      <c r="D261" s="49" t="n"/>
      <c r="E261" s="50" t="n"/>
      <c r="F261" s="51">
        <f>IF(OR(C261="",C261="Очередь",C261="Клиент",C261="Отказ",C261="Не писать"),"",IF(E261="",IF(AND(C261="Отправлено",I261&lt;&gt;"",TODAY()-INT(I261)&gt;=3),"молчит "&amp;(TODAY()-INT(I261))&amp;" дн.",IF(OR(C261="Перезвонить",C261="Созвон"),"укажи дату","")),IF(INT(E261)&lt;TODAY(),"просрочено",IF(INT(E261)=TODAY(),"сегодня",IF(INT(E261)=TODAY()+1,"завтра",TEXT(E261,"dd.mm"))))))</f>
        <v/>
      </c>
      <c r="G261" s="52" t="n"/>
      <c r="H261" s="36" t="inlineStr">
        <is>
          <t>79377117775</t>
        </is>
      </c>
      <c r="I261" s="53" t="n"/>
      <c r="J261" s="38">
        <f>IFERROR(MATCH(C261,'Справка'!$A$12:$A$21,0),99)</f>
        <v/>
      </c>
      <c r="K261" s="39">
        <f>HYPERLINK("https://wa.me/"&amp;H261&amp;"?text="&amp;ENCODEURL(T261),"✉ Написать")</f>
        <v/>
      </c>
      <c r="L261" s="39">
        <f>HYPERLINK("https://wa.me/"&amp;H261,"Открыть чат")</f>
        <v/>
      </c>
      <c r="M261" s="38" t="inlineStr">
        <is>
          <t>Волгоград</t>
        </is>
      </c>
      <c r="N261" s="38" t="n"/>
      <c r="O261" s="38" t="n"/>
      <c r="P261" s="38" t="n"/>
      <c r="Q261" s="38" t="inlineStr">
        <is>
          <t>без сайта, WhatsApp не подтверждён</t>
        </is>
      </c>
      <c r="R261" s="38" t="n">
        <v>2</v>
      </c>
      <c r="S261" s="38" t="inlineStr">
        <is>
          <t>Волгоградская область</t>
        </is>
      </c>
      <c r="T261" s="38" t="inlineStr">
        <is>
          <t>Здравствуйте! Искал в 2ГИС кровельные компании в Волгограде и наткнулся на вас. Сайта в карточке не увидел.
Могу за вечер собрать для «Центр кровельных решений и строительных работ» сайт и показать. Платить не нужно, пока не понравится. Собрать?</t>
        </is>
      </c>
      <c r="U261" s="38">
        <f>B261&amp;IF(D261&lt;&gt;""," · "&amp;D261,"")&amp;IF(F261&lt;&gt;"",CHAR(10)&amp;F261,"")</f>
        <v/>
      </c>
      <c r="V261" s="38">
        <f>IF(OR(F261="просрочено",F261="сегодня",F261="укажи дату",LEFT(F261,6)="молчит"),1,0)</f>
        <v/>
      </c>
    </row>
    <row r="262" ht="24" customHeight="1">
      <c r="A262" s="38" t="n">
        <v>261</v>
      </c>
      <c r="B262" s="32" t="inlineStr">
        <is>
          <t>КР Прогресс-Москва</t>
        </is>
      </c>
      <c r="C262" s="49" t="inlineStr">
        <is>
          <t>Очередь</t>
        </is>
      </c>
      <c r="D262" s="49" t="n"/>
      <c r="E262" s="50" t="n"/>
      <c r="F262" s="51">
        <f>IF(OR(C262="",C262="Очередь",C262="Клиент",C262="Отказ",C262="Не писать"),"",IF(E262="",IF(AND(C262="Отправлено",I262&lt;&gt;"",TODAY()-INT(I262)&gt;=3),"молчит "&amp;(TODAY()-INT(I262))&amp;" дн.",IF(OR(C262="Перезвонить",C262="Созвон"),"укажи дату","")),IF(INT(E262)&lt;TODAY(),"просрочено",IF(INT(E262)=TODAY(),"сегодня",IF(INT(E262)=TODAY()+1,"завтра",TEXT(E262,"dd.mm"))))))</f>
        <v/>
      </c>
      <c r="G262" s="52" t="n"/>
      <c r="H262" s="36" t="inlineStr">
        <is>
          <t>79066758332</t>
        </is>
      </c>
      <c r="I262" s="53" t="n"/>
      <c r="J262" s="38">
        <f>IFERROR(MATCH(C262,'Справка'!$A$12:$A$21,0),99)</f>
        <v/>
      </c>
      <c r="K262" s="39">
        <f>HYPERLINK("https://wa.me/"&amp;H262&amp;"?text="&amp;ENCODEURL(T262),"✉ Написать")</f>
        <v/>
      </c>
      <c r="L262" s="39">
        <f>HYPERLINK("https://wa.me/"&amp;H262,"Открыть чат")</f>
        <v/>
      </c>
      <c r="M262" s="38" t="inlineStr">
        <is>
          <t>Воронеж</t>
        </is>
      </c>
      <c r="N262" s="38" t="n">
        <v>5</v>
      </c>
      <c r="O262" s="38" t="n">
        <v>1</v>
      </c>
      <c r="P262" s="38" t="n"/>
      <c r="Q262" s="38" t="inlineStr">
        <is>
          <t>без сайта, WhatsApp не подтверждён</t>
        </is>
      </c>
      <c r="R262" s="38" t="n">
        <v>2</v>
      </c>
      <c r="S262" s="38" t="inlineStr">
        <is>
          <t>Воронежская область</t>
        </is>
      </c>
      <c r="T262" s="38" t="inlineStr">
        <is>
          <t>Здравствуйте! Смотрел в 2ГИС, кто делает кровлю в Воронеже, и нашёл «КР Прогресс-Москва». Сайта в карточке нет.
Готов за вечер собрать сайт для «КР Прогресс-Москва» и показать вам. Денег вперёд не беру. Собрать?</t>
        </is>
      </c>
      <c r="U262" s="38">
        <f>B262&amp;IF(D262&lt;&gt;""," · "&amp;D262,"")&amp;IF(F262&lt;&gt;"",CHAR(10)&amp;F262,"")</f>
        <v/>
      </c>
      <c r="V262" s="38">
        <f>IF(OR(F262="просрочено",F262="сегодня",F262="укажи дату",LEFT(F262,6)="молчит"),1,0)</f>
        <v/>
      </c>
    </row>
    <row r="263" ht="24" customHeight="1">
      <c r="A263" s="38" t="n">
        <v>262</v>
      </c>
      <c r="B263" s="32" t="inlineStr">
        <is>
          <t>Компания кровельных работ</t>
        </is>
      </c>
      <c r="C263" s="49" t="inlineStr">
        <is>
          <t>Очередь</t>
        </is>
      </c>
      <c r="D263" s="49" t="n"/>
      <c r="E263" s="50" t="n"/>
      <c r="F263" s="51">
        <f>IF(OR(C263="",C263="Очередь",C263="Клиент",C263="Отказ",C263="Не писать"),"",IF(E263="",IF(AND(C263="Отправлено",I263&lt;&gt;"",TODAY()-INT(I263)&gt;=3),"молчит "&amp;(TODAY()-INT(I263))&amp;" дн.",IF(OR(C263="Перезвонить",C263="Созвон"),"укажи дату","")),IF(INT(E263)&lt;TODAY(),"просрочено",IF(INT(E263)=TODAY(),"сегодня",IF(INT(E263)=TODAY()+1,"завтра",TEXT(E263,"dd.mm"))))))</f>
        <v/>
      </c>
      <c r="G263" s="52" t="n"/>
      <c r="H263" s="36" t="inlineStr">
        <is>
          <t>79515569935</t>
        </is>
      </c>
      <c r="I263" s="53" t="n"/>
      <c r="J263" s="38">
        <f>IFERROR(MATCH(C263,'Справка'!$A$12:$A$21,0),99)</f>
        <v/>
      </c>
      <c r="K263" s="39">
        <f>HYPERLINK("https://wa.me/"&amp;H263&amp;"?text="&amp;ENCODEURL(T263),"✉ Написать")</f>
        <v/>
      </c>
      <c r="L263" s="39">
        <f>HYPERLINK("https://wa.me/"&amp;H263,"Открыть чат")</f>
        <v/>
      </c>
      <c r="M263" s="38" t="inlineStr">
        <is>
          <t>Воронеж</t>
        </is>
      </c>
      <c r="N263" s="38" t="n">
        <v>5</v>
      </c>
      <c r="O263" s="38" t="n">
        <v>1</v>
      </c>
      <c r="P263" s="38" t="n"/>
      <c r="Q263" s="38" t="inlineStr">
        <is>
          <t>без сайта, WhatsApp не подтверждён</t>
        </is>
      </c>
      <c r="R263" s="38" t="n">
        <v>2</v>
      </c>
      <c r="S263" s="38" t="inlineStr">
        <is>
          <t>Воронежская область</t>
        </is>
      </c>
      <c r="T263" s="38" t="inlineStr">
        <is>
          <t>Здравствуйте! Нашёл вас в 2ГИС среди кровельных компаний в Воронеже, а сайта в карточке не нашёл.
Могу собрать сайт под «Компания кровельных работ» за вечер и показать. Не понравится — ничего не должны. Сделать?</t>
        </is>
      </c>
      <c r="U263" s="38">
        <f>B263&amp;IF(D263&lt;&gt;""," · "&amp;D263,"")&amp;IF(F263&lt;&gt;"",CHAR(10)&amp;F263,"")</f>
        <v/>
      </c>
      <c r="V263" s="38">
        <f>IF(OR(F263="просрочено",F263="сегодня",F263="укажи дату",LEFT(F263,6)="молчит"),1,0)</f>
        <v/>
      </c>
    </row>
    <row r="264" ht="24" customHeight="1">
      <c r="A264" s="38" t="n">
        <v>263</v>
      </c>
      <c r="B264" s="32" t="inlineStr">
        <is>
          <t>МеталлПрофиль</t>
        </is>
      </c>
      <c r="C264" s="49" t="inlineStr">
        <is>
          <t>Очередь</t>
        </is>
      </c>
      <c r="D264" s="49" t="n"/>
      <c r="E264" s="50" t="n"/>
      <c r="F264" s="51">
        <f>IF(OR(C264="",C264="Очередь",C264="Клиент",C264="Отказ",C264="Не писать"),"",IF(E264="",IF(AND(C264="Отправлено",I264&lt;&gt;"",TODAY()-INT(I264)&gt;=3),"молчит "&amp;(TODAY()-INT(I264))&amp;" дн.",IF(OR(C264="Перезвонить",C264="Созвон"),"укажи дату","")),IF(INT(E264)&lt;TODAY(),"просрочено",IF(INT(E264)=TODAY(),"сегодня",IF(INT(E264)=TODAY()+1,"завтра",TEXT(E264,"dd.mm"))))))</f>
        <v/>
      </c>
      <c r="G264" s="52" t="n"/>
      <c r="H264" s="36" t="inlineStr">
        <is>
          <t>79202118224</t>
        </is>
      </c>
      <c r="I264" s="53" t="n"/>
      <c r="J264" s="38">
        <f>IFERROR(MATCH(C264,'Справка'!$A$12:$A$21,0),99)</f>
        <v/>
      </c>
      <c r="K264" s="39">
        <f>HYPERLINK("https://wa.me/"&amp;H264&amp;"?text="&amp;ENCODEURL(T264),"✉ Написать")</f>
        <v/>
      </c>
      <c r="L264" s="39">
        <f>HYPERLINK("https://wa.me/"&amp;H264,"Открыть чат")</f>
        <v/>
      </c>
      <c r="M264" s="38" t="inlineStr">
        <is>
          <t>с. Нижнедевицк</t>
        </is>
      </c>
      <c r="N264" s="38" t="n">
        <v>5</v>
      </c>
      <c r="O264" s="38" t="n">
        <v>1</v>
      </c>
      <c r="P264" s="38" t="n"/>
      <c r="Q264" s="38" t="inlineStr">
        <is>
          <t>без сайта, WhatsApp не подтверждён</t>
        </is>
      </c>
      <c r="R264" s="38" t="n">
        <v>2</v>
      </c>
      <c r="S264" s="38" t="inlineStr">
        <is>
          <t>Воронежская область</t>
        </is>
      </c>
      <c r="T264" s="38" t="inlineStr">
        <is>
          <t>Здравствуйте! Искал в 2ГИС кровельные компании в Воронежской области и наткнулся на вас. Сайта в карточке не увидел.
Могу за вечер собрать для «МеталлПрофиль» сайт и показать. Платить не нужно, пока не понравится. Собрать?</t>
        </is>
      </c>
      <c r="U264" s="38">
        <f>B264&amp;IF(D264&lt;&gt;""," · "&amp;D264,"")&amp;IF(F264&lt;&gt;"",CHAR(10)&amp;F264,"")</f>
        <v/>
      </c>
      <c r="V264" s="38">
        <f>IF(OR(F264="просрочено",F264="сегодня",F264="укажи дату",LEFT(F264,6)="молчит"),1,0)</f>
        <v/>
      </c>
    </row>
    <row r="265" ht="24" customHeight="1">
      <c r="A265" s="38" t="n">
        <v>264</v>
      </c>
      <c r="B265" s="32" t="inlineStr">
        <is>
          <t>СК Март</t>
        </is>
      </c>
      <c r="C265" s="49" t="inlineStr">
        <is>
          <t>Очередь</t>
        </is>
      </c>
      <c r="D265" s="49" t="n"/>
      <c r="E265" s="50" t="n"/>
      <c r="F265" s="51">
        <f>IF(OR(C265="",C265="Очередь",C265="Клиент",C265="Отказ",C265="Не писать"),"",IF(E265="",IF(AND(C265="Отправлено",I265&lt;&gt;"",TODAY()-INT(I265)&gt;=3),"молчит "&amp;(TODAY()-INT(I265))&amp;" дн.",IF(OR(C265="Перезвонить",C265="Созвон"),"укажи дату","")),IF(INT(E265)&lt;TODAY(),"просрочено",IF(INT(E265)=TODAY(),"сегодня",IF(INT(E265)=TODAY()+1,"завтра",TEXT(E265,"dd.mm"))))))</f>
        <v/>
      </c>
      <c r="G265" s="52" t="n"/>
      <c r="H265" s="36" t="inlineStr">
        <is>
          <t>79192496365</t>
        </is>
      </c>
      <c r="I265" s="53" t="n"/>
      <c r="J265" s="38">
        <f>IFERROR(MATCH(C265,'Справка'!$A$12:$A$21,0),99)</f>
        <v/>
      </c>
      <c r="K265" s="39">
        <f>HYPERLINK("https://wa.me/"&amp;H265&amp;"?text="&amp;ENCODEURL(T265),"✉ Написать")</f>
        <v/>
      </c>
      <c r="L265" s="39">
        <f>HYPERLINK("https://wa.me/"&amp;H265,"Открыть чат")</f>
        <v/>
      </c>
      <c r="M265" s="38" t="inlineStr">
        <is>
          <t>Воронеж</t>
        </is>
      </c>
      <c r="N265" s="38" t="n"/>
      <c r="O265" s="38" t="n"/>
      <c r="P265" s="38" t="n"/>
      <c r="Q265" s="38" t="inlineStr">
        <is>
          <t>без сайта, WhatsApp не подтверждён</t>
        </is>
      </c>
      <c r="R265" s="38" t="n">
        <v>2</v>
      </c>
      <c r="S265" s="38" t="inlineStr">
        <is>
          <t>Воронежская область</t>
        </is>
      </c>
      <c r="T265" s="38" t="inlineStr">
        <is>
          <t>Здравствуйте! Смотрел в 2ГИС, кто делает кровлю в Воронеже, и нашёл «СК Март». Сайта в карточке нет.
Готов за вечер собрать сайт для «СК Март» и показать вам. Денег вперёд не беру. Собрать?</t>
        </is>
      </c>
      <c r="U265" s="38">
        <f>B265&amp;IF(D265&lt;&gt;""," · "&amp;D265,"")&amp;IF(F265&lt;&gt;"",CHAR(10)&amp;F265,"")</f>
        <v/>
      </c>
      <c r="V265" s="38">
        <f>IF(OR(F265="просрочено",F265="сегодня",F265="укажи дату",LEFT(F265,6)="молчит"),1,0)</f>
        <v/>
      </c>
    </row>
    <row r="266" ht="24" customHeight="1">
      <c r="A266" s="38" t="n">
        <v>265</v>
      </c>
      <c r="B266" s="32" t="inlineStr">
        <is>
          <t>АрхСтройЭксперт</t>
        </is>
      </c>
      <c r="C266" s="49" t="inlineStr">
        <is>
          <t>Очередь</t>
        </is>
      </c>
      <c r="D266" s="49" t="n"/>
      <c r="E266" s="50" t="n"/>
      <c r="F266" s="51">
        <f>IF(OR(C266="",C266="Очередь",C266="Клиент",C266="Отказ",C266="Не писать"),"",IF(E266="",IF(AND(C266="Отправлено",I266&lt;&gt;"",TODAY()-INT(I266)&gt;=3),"молчит "&amp;(TODAY()-INT(I266))&amp;" дн.",IF(OR(C266="Перезвонить",C266="Созвон"),"укажи дату","")),IF(INT(E266)&lt;TODAY(),"просрочено",IF(INT(E266)=TODAY(),"сегодня",IF(INT(E266)=TODAY()+1,"завтра",TEXT(E266,"dd.mm"))))))</f>
        <v/>
      </c>
      <c r="G266" s="52" t="n"/>
      <c r="H266" s="36" t="inlineStr">
        <is>
          <t>79155820107</t>
        </is>
      </c>
      <c r="I266" s="53" t="n"/>
      <c r="J266" s="38">
        <f>IFERROR(MATCH(C266,'Справка'!$A$12:$A$21,0),99)</f>
        <v/>
      </c>
      <c r="K266" s="39">
        <f>HYPERLINK("https://wa.me/"&amp;H266&amp;"?text="&amp;ENCODEURL(T266),"✉ Написать")</f>
        <v/>
      </c>
      <c r="L266" s="39">
        <f>HYPERLINK("https://wa.me/"&amp;H266,"Открыть чат")</f>
        <v/>
      </c>
      <c r="M266" s="38" t="inlineStr">
        <is>
          <t>Воронеж</t>
        </is>
      </c>
      <c r="N266" s="38" t="n"/>
      <c r="O266" s="38" t="n"/>
      <c r="P266" s="38" t="n"/>
      <c r="Q266" s="38" t="inlineStr">
        <is>
          <t>без сайта, WhatsApp не подтверждён</t>
        </is>
      </c>
      <c r="R266" s="38" t="n">
        <v>2</v>
      </c>
      <c r="S266" s="38" t="inlineStr">
        <is>
          <t>Воронежская область</t>
        </is>
      </c>
      <c r="T266" s="38" t="inlineStr">
        <is>
          <t>Здравствуйте! Нашёл вас в 2ГИС среди кровельных компаний в Воронеже, а сайта в карточке не нашёл.
Могу собрать сайт под «АрхСтройЭксперт» за вечер и показать. Не понравится — ничего не должны. Сделать?</t>
        </is>
      </c>
      <c r="U266" s="38">
        <f>B266&amp;IF(D266&lt;&gt;""," · "&amp;D266,"")&amp;IF(F266&lt;&gt;"",CHAR(10)&amp;F266,"")</f>
        <v/>
      </c>
      <c r="V266" s="38">
        <f>IF(OR(F266="просрочено",F266="сегодня",F266="укажи дату",LEFT(F266,6)="молчит"),1,0)</f>
        <v/>
      </c>
    </row>
    <row r="267" ht="24" customHeight="1">
      <c r="A267" s="38" t="n">
        <v>266</v>
      </c>
      <c r="B267" s="32" t="inlineStr">
        <is>
          <t>Юрлайн</t>
        </is>
      </c>
      <c r="C267" s="49" t="inlineStr">
        <is>
          <t>Очередь</t>
        </is>
      </c>
      <c r="D267" s="49" t="n"/>
      <c r="E267" s="50" t="n"/>
      <c r="F267" s="51">
        <f>IF(OR(C267="",C267="Очередь",C267="Клиент",C267="Отказ",C267="Не писать"),"",IF(E267="",IF(AND(C267="Отправлено",I267&lt;&gt;"",TODAY()-INT(I267)&gt;=3),"молчит "&amp;(TODAY()-INT(I267))&amp;" дн.",IF(OR(C267="Перезвонить",C267="Созвон"),"укажи дату","")),IF(INT(E267)&lt;TODAY(),"просрочено",IF(INT(E267)=TODAY(),"сегодня",IF(INT(E267)=TODAY()+1,"завтра",TEXT(E267,"dd.mm"))))))</f>
        <v/>
      </c>
      <c r="G267" s="52" t="n"/>
      <c r="H267" s="36" t="inlineStr">
        <is>
          <t>79529568151</t>
        </is>
      </c>
      <c r="I267" s="53" t="n"/>
      <c r="J267" s="38">
        <f>IFERROR(MATCH(C267,'Справка'!$A$12:$A$21,0),99)</f>
        <v/>
      </c>
      <c r="K267" s="39">
        <f>HYPERLINK("https://wa.me/"&amp;H267&amp;"?text="&amp;ENCODEURL(T267),"✉ Написать")</f>
        <v/>
      </c>
      <c r="L267" s="39">
        <f>HYPERLINK("https://wa.me/"&amp;H267,"Открыть чат")</f>
        <v/>
      </c>
      <c r="M267" s="38" t="inlineStr">
        <is>
          <t>Воронеж</t>
        </is>
      </c>
      <c r="N267" s="38" t="n"/>
      <c r="O267" s="38" t="n"/>
      <c r="P267" s="38" t="n"/>
      <c r="Q267" s="38" t="inlineStr">
        <is>
          <t>без сайта, WhatsApp не подтверждён</t>
        </is>
      </c>
      <c r="R267" s="38" t="n">
        <v>2</v>
      </c>
      <c r="S267" s="38" t="inlineStr">
        <is>
          <t>Воронежская область</t>
        </is>
      </c>
      <c r="T267" s="38" t="inlineStr">
        <is>
          <t>Здравствуйте! Искал в 2ГИС кровельные компании в Воронеже и наткнулся на вас. Сайта в карточке не увидел.
Могу за вечер собрать для «Юрлайн» сайт и показать. Платить не нужно, пока не понравится. Собрать?</t>
        </is>
      </c>
      <c r="U267" s="38">
        <f>B267&amp;IF(D267&lt;&gt;""," · "&amp;D267,"")&amp;IF(F267&lt;&gt;"",CHAR(10)&amp;F267,"")</f>
        <v/>
      </c>
      <c r="V267" s="38">
        <f>IF(OR(F267="просрочено",F267="сегодня",F267="укажи дату",LEFT(F267,6)="молчит"),1,0)</f>
        <v/>
      </c>
    </row>
    <row r="268" ht="24" customHeight="1">
      <c r="A268" s="38" t="n">
        <v>267</v>
      </c>
      <c r="B268" s="32" t="inlineStr">
        <is>
          <t>Компания по кровельным работам</t>
        </is>
      </c>
      <c r="C268" s="49" t="inlineStr">
        <is>
          <t>Очередь</t>
        </is>
      </c>
      <c r="D268" s="49" t="n"/>
      <c r="E268" s="50" t="n"/>
      <c r="F268" s="51">
        <f>IF(OR(C268="",C268="Очередь",C268="Клиент",C268="Отказ",C268="Не писать"),"",IF(E268="",IF(AND(C268="Отправлено",I268&lt;&gt;"",TODAY()-INT(I268)&gt;=3),"молчит "&amp;(TODAY()-INT(I268))&amp;" дн.",IF(OR(C268="Перезвонить",C268="Созвон"),"укажи дату","")),IF(INT(E268)&lt;TODAY(),"просрочено",IF(INT(E268)=TODAY(),"сегодня",IF(INT(E268)=TODAY()+1,"завтра",TEXT(E268,"dd.mm"))))))</f>
        <v/>
      </c>
      <c r="G268" s="52" t="n"/>
      <c r="H268" s="36" t="inlineStr">
        <is>
          <t>79290110725</t>
        </is>
      </c>
      <c r="I268" s="53" t="n"/>
      <c r="J268" s="38">
        <f>IFERROR(MATCH(C268,'Справка'!$A$12:$A$21,0),99)</f>
        <v/>
      </c>
      <c r="K268" s="39">
        <f>HYPERLINK("https://wa.me/"&amp;H268&amp;"?text="&amp;ENCODEURL(T268),"✉ Написать")</f>
        <v/>
      </c>
      <c r="L268" s="39">
        <f>HYPERLINK("https://wa.me/"&amp;H268,"Открыть чат")</f>
        <v/>
      </c>
      <c r="M268" s="38" t="inlineStr">
        <is>
          <t>Воронеж</t>
        </is>
      </c>
      <c r="N268" s="38" t="n"/>
      <c r="O268" s="38" t="n"/>
      <c r="P268" s="38" t="n"/>
      <c r="Q268" s="38" t="inlineStr">
        <is>
          <t>без сайта, WhatsApp не подтверждён</t>
        </is>
      </c>
      <c r="R268" s="38" t="n">
        <v>2</v>
      </c>
      <c r="S268" s="38" t="inlineStr">
        <is>
          <t>Воронежская область</t>
        </is>
      </c>
      <c r="T268" s="38" t="inlineStr">
        <is>
          <t>Здравствуйте! Смотрел в 2ГИС, кто делает кровлю в Воронеже, и нашёл «Компания по кровельным работам». Сайта в карточке нет.
Готов за вечер собрать сайт для «Компания по кровельным работам» и показать вам. Денег вперёд не беру. Собрать?</t>
        </is>
      </c>
      <c r="U268" s="38">
        <f>B268&amp;IF(D268&lt;&gt;""," · "&amp;D268,"")&amp;IF(F268&lt;&gt;"",CHAR(10)&amp;F268,"")</f>
        <v/>
      </c>
      <c r="V268" s="38">
        <f>IF(OR(F268="просрочено",F268="сегодня",F268="укажи дату",LEFT(F268,6)="молчит"),1,0)</f>
        <v/>
      </c>
    </row>
    <row r="269" ht="24" customHeight="1">
      <c r="A269" s="38" t="n">
        <v>268</v>
      </c>
      <c r="B269" s="32" t="inlineStr">
        <is>
          <t>Компания кровельных работ</t>
        </is>
      </c>
      <c r="C269" s="49" t="inlineStr">
        <is>
          <t>Очередь</t>
        </is>
      </c>
      <c r="D269" s="49" t="n"/>
      <c r="E269" s="50" t="n"/>
      <c r="F269" s="51">
        <f>IF(OR(C269="",C269="Очередь",C269="Клиент",C269="Отказ",C269="Не писать"),"",IF(E269="",IF(AND(C269="Отправлено",I269&lt;&gt;"",TODAY()-INT(I269)&gt;=3),"молчит "&amp;(TODAY()-INT(I269))&amp;" дн.",IF(OR(C269="Перезвонить",C269="Созвон"),"укажи дату","")),IF(INT(E269)&lt;TODAY(),"просрочено",IF(INT(E269)=TODAY(),"сегодня",IF(INT(E269)=TODAY()+1,"завтра",TEXT(E269,"dd.mm"))))))</f>
        <v/>
      </c>
      <c r="G269" s="52" t="n"/>
      <c r="H269" s="36" t="inlineStr">
        <is>
          <t>79065906965</t>
        </is>
      </c>
      <c r="I269" s="53" t="n"/>
      <c r="J269" s="38">
        <f>IFERROR(MATCH(C269,'Справка'!$A$12:$A$21,0),99)</f>
        <v/>
      </c>
      <c r="K269" s="39">
        <f>HYPERLINK("https://wa.me/"&amp;H269&amp;"?text="&amp;ENCODEURL(T269),"✉ Написать")</f>
        <v/>
      </c>
      <c r="L269" s="39">
        <f>HYPERLINK("https://wa.me/"&amp;H269,"Открыть чат")</f>
        <v/>
      </c>
      <c r="M269" s="38" t="inlineStr">
        <is>
          <t>пос. Отрадное</t>
        </is>
      </c>
      <c r="N269" s="38" t="n"/>
      <c r="O269" s="38" t="n"/>
      <c r="P269" s="38" t="n"/>
      <c r="Q269" s="38" t="inlineStr">
        <is>
          <t>без сайта, WhatsApp не подтверждён</t>
        </is>
      </c>
      <c r="R269" s="38" t="n">
        <v>2</v>
      </c>
      <c r="S269" s="38" t="inlineStr">
        <is>
          <t>Воронежская область</t>
        </is>
      </c>
      <c r="T269" s="38" t="inlineStr">
        <is>
          <t>Здравствуйте! Нашёл вас в 2ГИС среди кровельных компаний в Воронежской области, а сайта в карточке не нашёл.
Могу собрать сайт под «Компания кровельных работ» за вечер и показать. Не понравится — ничего не должны. Сделать?</t>
        </is>
      </c>
      <c r="U269" s="38">
        <f>B269&amp;IF(D269&lt;&gt;""," · "&amp;D269,"")&amp;IF(F269&lt;&gt;"",CHAR(10)&amp;F269,"")</f>
        <v/>
      </c>
      <c r="V269" s="38">
        <f>IF(OR(F269="просрочено",F269="сегодня",F269="укажи дату",LEFT(F269,6)="молчит"),1,0)</f>
        <v/>
      </c>
    </row>
    <row r="270" ht="24" customHeight="1">
      <c r="A270" s="38" t="n">
        <v>269</v>
      </c>
      <c r="B270" s="32" t="inlineStr">
        <is>
          <t>Кровельная компания</t>
        </is>
      </c>
      <c r="C270" s="49" t="inlineStr">
        <is>
          <t>Очередь</t>
        </is>
      </c>
      <c r="D270" s="49" t="n"/>
      <c r="E270" s="50" t="n"/>
      <c r="F270" s="51">
        <f>IF(OR(C270="",C270="Очередь",C270="Клиент",C270="Отказ",C270="Не писать"),"",IF(E270="",IF(AND(C270="Отправлено",I270&lt;&gt;"",TODAY()-INT(I270)&gt;=3),"молчит "&amp;(TODAY()-INT(I270))&amp;" дн.",IF(OR(C270="Перезвонить",C270="Созвон"),"укажи дату","")),IF(INT(E270)&lt;TODAY(),"просрочено",IF(INT(E270)=TODAY(),"сегодня",IF(INT(E270)=TODAY()+1,"завтра",TEXT(E270,"dd.mm"))))))</f>
        <v/>
      </c>
      <c r="G270" s="52" t="n"/>
      <c r="H270" s="36" t="inlineStr">
        <is>
          <t>79805398613</t>
        </is>
      </c>
      <c r="I270" s="53" t="n"/>
      <c r="J270" s="38">
        <f>IFERROR(MATCH(C270,'Справка'!$A$12:$A$21,0),99)</f>
        <v/>
      </c>
      <c r="K270" s="39">
        <f>HYPERLINK("https://wa.me/"&amp;H270&amp;"?text="&amp;ENCODEURL(T270),"✉ Написать")</f>
        <v/>
      </c>
      <c r="L270" s="39">
        <f>HYPERLINK("https://wa.me/"&amp;H270,"Открыть чат")</f>
        <v/>
      </c>
      <c r="M270" s="38" t="inlineStr">
        <is>
          <t>Борисоглебск</t>
        </is>
      </c>
      <c r="N270" s="38" t="n"/>
      <c r="O270" s="38" t="n"/>
      <c r="P270" s="38" t="n"/>
      <c r="Q270" s="38" t="inlineStr">
        <is>
          <t>без сайта, WhatsApp не подтверждён</t>
        </is>
      </c>
      <c r="R270" s="38" t="n">
        <v>2</v>
      </c>
      <c r="S270" s="38" t="inlineStr">
        <is>
          <t>Воронежская область</t>
        </is>
      </c>
      <c r="T270" s="38" t="inlineStr">
        <is>
          <t>Здравствуйте! Искал в 2ГИС кровельные компании в Борисоглебске и наткнулся на вас. Сайта в карточке не увидел.
Могу за вечер собрать для «Кровельная компания» сайт и показать. Платить не нужно, пока не понравится. Собрать?</t>
        </is>
      </c>
      <c r="U270" s="38">
        <f>B270&amp;IF(D270&lt;&gt;""," · "&amp;D270,"")&amp;IF(F270&lt;&gt;"",CHAR(10)&amp;F270,"")</f>
        <v/>
      </c>
      <c r="V270" s="38">
        <f>IF(OR(F270="просрочено",F270="сегодня",F270="укажи дату",LEFT(F270,6)="молчит"),1,0)</f>
        <v/>
      </c>
    </row>
    <row r="271" ht="24" customHeight="1">
      <c r="A271" s="38" t="n">
        <v>270</v>
      </c>
      <c r="B271" s="32" t="inlineStr">
        <is>
          <t>Рубикон</t>
        </is>
      </c>
      <c r="C271" s="49" t="inlineStr">
        <is>
          <t>Очередь</t>
        </is>
      </c>
      <c r="D271" s="49" t="n"/>
      <c r="E271" s="50" t="n"/>
      <c r="F271" s="51">
        <f>IF(OR(C271="",C271="Очередь",C271="Клиент",C271="Отказ",C271="Не писать"),"",IF(E271="",IF(AND(C271="Отправлено",I271&lt;&gt;"",TODAY()-INT(I271)&gt;=3),"молчит "&amp;(TODAY()-INT(I271))&amp;" дн.",IF(OR(C271="Перезвонить",C271="Созвон"),"укажи дату","")),IF(INT(E271)&lt;TODAY(),"просрочено",IF(INT(E271)=TODAY(),"сегодня",IF(INT(E271)=TODAY()+1,"завтра",TEXT(E271,"dd.mm"))))))</f>
        <v/>
      </c>
      <c r="G271" s="52" t="n"/>
      <c r="H271" s="36" t="inlineStr">
        <is>
          <t>79933088808</t>
        </is>
      </c>
      <c r="I271" s="53" t="n"/>
      <c r="J271" s="38">
        <f>IFERROR(MATCH(C271,'Справка'!$A$12:$A$21,0),99)</f>
        <v/>
      </c>
      <c r="K271" s="39">
        <f>HYPERLINK("https://wa.me/"&amp;H271&amp;"?text="&amp;ENCODEURL(T271),"✉ Написать")</f>
        <v/>
      </c>
      <c r="L271" s="39">
        <f>HYPERLINK("https://wa.me/"&amp;H271,"Открыть чат")</f>
        <v/>
      </c>
      <c r="M271" s="38" t="inlineStr">
        <is>
          <t>Сочи</t>
        </is>
      </c>
      <c r="N271" s="38" t="n">
        <v>5</v>
      </c>
      <c r="O271" s="38" t="n">
        <v>2</v>
      </c>
      <c r="P271" s="38" t="n"/>
      <c r="Q271" s="38" t="inlineStr">
        <is>
          <t>без сайта, WhatsApp не подтверждён</t>
        </is>
      </c>
      <c r="R271" s="38" t="n">
        <v>2</v>
      </c>
      <c r="S271" s="38" t="inlineStr">
        <is>
          <t>Краснодарский край</t>
        </is>
      </c>
      <c r="T271" s="38" t="inlineStr">
        <is>
          <t>Здравствуйте! Смотрел в 2ГИС, кто делает кровлю в Сочи, и нашёл «Рубикон». Сайта в карточке нет.
Готов за вечер собрать сайт для «Рубикон» и показать вам. Денег вперёд не беру. Собрать?</t>
        </is>
      </c>
      <c r="U271" s="38">
        <f>B271&amp;IF(D271&lt;&gt;""," · "&amp;D271,"")&amp;IF(F271&lt;&gt;"",CHAR(10)&amp;F271,"")</f>
        <v/>
      </c>
      <c r="V271" s="38">
        <f>IF(OR(F271="просрочено",F271="сегодня",F271="укажи дату",LEFT(F271,6)="молчит"),1,0)</f>
        <v/>
      </c>
    </row>
    <row r="272" ht="24" customHeight="1">
      <c r="A272" s="38" t="n">
        <v>271</v>
      </c>
      <c r="B272" s="32" t="inlineStr">
        <is>
          <t>Кровстрой</t>
        </is>
      </c>
      <c r="C272" s="49" t="inlineStr">
        <is>
          <t>Очередь</t>
        </is>
      </c>
      <c r="D272" s="49" t="n"/>
      <c r="E272" s="50" t="n"/>
      <c r="F272" s="51">
        <f>IF(OR(C272="",C272="Очередь",C272="Клиент",C272="Отказ",C272="Не писать"),"",IF(E272="",IF(AND(C272="Отправлено",I272&lt;&gt;"",TODAY()-INT(I272)&gt;=3),"молчит "&amp;(TODAY()-INT(I272))&amp;" дн.",IF(OR(C272="Перезвонить",C272="Созвон"),"укажи дату","")),IF(INT(E272)&lt;TODAY(),"просрочено",IF(INT(E272)=TODAY(),"сегодня",IF(INT(E272)=TODAY()+1,"завтра",TEXT(E272,"dd.mm"))))))</f>
        <v/>
      </c>
      <c r="G272" s="52" t="n"/>
      <c r="H272" s="36" t="inlineStr">
        <is>
          <t>79511114119</t>
        </is>
      </c>
      <c r="I272" s="53" t="n"/>
      <c r="J272" s="38">
        <f>IFERROR(MATCH(C272,'Справка'!$A$12:$A$21,0),99)</f>
        <v/>
      </c>
      <c r="K272" s="39">
        <f>HYPERLINK("https://wa.me/"&amp;H272&amp;"?text="&amp;ENCODEURL(T272),"✉ Написать")</f>
        <v/>
      </c>
      <c r="L272" s="39">
        <f>HYPERLINK("https://wa.me/"&amp;H272,"Открыть чат")</f>
        <v/>
      </c>
      <c r="M272" s="38" t="inlineStr">
        <is>
          <t>с. Барановка (Хостинский)</t>
        </is>
      </c>
      <c r="N272" s="38" t="n">
        <v>5</v>
      </c>
      <c r="O272" s="38" t="n">
        <v>1</v>
      </c>
      <c r="P272" s="38" t="n"/>
      <c r="Q272" s="38" t="inlineStr">
        <is>
          <t>без сайта, WhatsApp не подтверждён</t>
        </is>
      </c>
      <c r="R272" s="38" t="n">
        <v>2</v>
      </c>
      <c r="S272" s="38" t="inlineStr">
        <is>
          <t>Краснодарский край</t>
        </is>
      </c>
      <c r="T272" s="38" t="inlineStr">
        <is>
          <t>Здравствуйте! Нашёл вас в 2ГИС среди кровельных компаний в Сочи, а сайта в карточке не нашёл.
Могу собрать сайт под «Кровстрой» за вечер и показать. Не понравится — ничего не должны. Сделать?</t>
        </is>
      </c>
      <c r="U272" s="38">
        <f>B272&amp;IF(D272&lt;&gt;""," · "&amp;D272,"")&amp;IF(F272&lt;&gt;"",CHAR(10)&amp;F272,"")</f>
        <v/>
      </c>
      <c r="V272" s="38">
        <f>IF(OR(F272="просрочено",F272="сегодня",F272="укажи дату",LEFT(F272,6)="молчит"),1,0)</f>
        <v/>
      </c>
    </row>
    <row r="273" ht="24" customHeight="1">
      <c r="A273" s="38" t="n">
        <v>272</v>
      </c>
      <c r="B273" s="32" t="inlineStr">
        <is>
          <t>Строительная компания</t>
        </is>
      </c>
      <c r="C273" s="49" t="inlineStr">
        <is>
          <t>Очередь</t>
        </is>
      </c>
      <c r="D273" s="49" t="n"/>
      <c r="E273" s="50" t="n"/>
      <c r="F273" s="51">
        <f>IF(OR(C273="",C273="Очередь",C273="Клиент",C273="Отказ",C273="Не писать"),"",IF(E273="",IF(AND(C273="Отправлено",I273&lt;&gt;"",TODAY()-INT(I273)&gt;=3),"молчит "&amp;(TODAY()-INT(I273))&amp;" дн.",IF(OR(C273="Перезвонить",C273="Созвон"),"укажи дату","")),IF(INT(E273)&lt;TODAY(),"просрочено",IF(INT(E273)=TODAY(),"сегодня",IF(INT(E273)=TODAY()+1,"завтра",TEXT(E273,"dd.mm"))))))</f>
        <v/>
      </c>
      <c r="G273" s="52" t="n"/>
      <c r="H273" s="36" t="inlineStr">
        <is>
          <t>79231255067</t>
        </is>
      </c>
      <c r="I273" s="53" t="n"/>
      <c r="J273" s="38">
        <f>IFERROR(MATCH(C273,'Справка'!$A$12:$A$21,0),99)</f>
        <v/>
      </c>
      <c r="K273" s="39">
        <f>HYPERLINK("https://wa.me/"&amp;H273&amp;"?text="&amp;ENCODEURL(T273),"✉ Написать")</f>
        <v/>
      </c>
      <c r="L273" s="39">
        <f>HYPERLINK("https://wa.me/"&amp;H273,"Открыть чат")</f>
        <v/>
      </c>
      <c r="M273" s="38" t="inlineStr">
        <is>
          <t>Сочи</t>
        </is>
      </c>
      <c r="N273" s="38" t="n"/>
      <c r="O273" s="38" t="n"/>
      <c r="P273" s="38" t="n"/>
      <c r="Q273" s="38" t="inlineStr">
        <is>
          <t>без сайта, WhatsApp не подтверждён</t>
        </is>
      </c>
      <c r="R273" s="38" t="n">
        <v>2</v>
      </c>
      <c r="S273" s="38" t="inlineStr">
        <is>
          <t>Краснодарский край</t>
        </is>
      </c>
      <c r="T273" s="38" t="inlineStr">
        <is>
          <t>Здравствуйте! Искал в 2ГИС кровельные компании в Сочи и наткнулся на вас. Сайта в карточке не увидел.
Могу за вечер собрать для «Строительная компания» сайт и показать. Платить не нужно, пока не понравится. Собрать?</t>
        </is>
      </c>
      <c r="U273" s="38">
        <f>B273&amp;IF(D273&lt;&gt;""," · "&amp;D273,"")&amp;IF(F273&lt;&gt;"",CHAR(10)&amp;F273,"")</f>
        <v/>
      </c>
      <c r="V273" s="38">
        <f>IF(OR(F273="просрочено",F273="сегодня",F273="укажи дату",LEFT(F273,6)="молчит"),1,0)</f>
        <v/>
      </c>
    </row>
    <row r="274" ht="24" customHeight="1">
      <c r="A274" s="38" t="n">
        <v>273</v>
      </c>
      <c r="B274" s="32" t="inlineStr">
        <is>
          <t>Компания промышленного альпинизма</t>
        </is>
      </c>
      <c r="C274" s="49" t="inlineStr">
        <is>
          <t>Очередь</t>
        </is>
      </c>
      <c r="D274" s="49" t="n"/>
      <c r="E274" s="50" t="n"/>
      <c r="F274" s="51">
        <f>IF(OR(C274="",C274="Очередь",C274="Клиент",C274="Отказ",C274="Не писать"),"",IF(E274="",IF(AND(C274="Отправлено",I274&lt;&gt;"",TODAY()-INT(I274)&gt;=3),"молчит "&amp;(TODAY()-INT(I274))&amp;" дн.",IF(OR(C274="Перезвонить",C274="Созвон"),"укажи дату","")),IF(INT(E274)&lt;TODAY(),"просрочено",IF(INT(E274)=TODAY(),"сегодня",IF(INT(E274)=TODAY()+1,"завтра",TEXT(E274,"dd.mm"))))))</f>
        <v/>
      </c>
      <c r="G274" s="52" t="n"/>
      <c r="H274" s="36" t="inlineStr">
        <is>
          <t>79613010039</t>
        </is>
      </c>
      <c r="I274" s="53" t="n"/>
      <c r="J274" s="38">
        <f>IFERROR(MATCH(C274,'Справка'!$A$12:$A$21,0),99)</f>
        <v/>
      </c>
      <c r="K274" s="39">
        <f>HYPERLINK("https://wa.me/"&amp;H274&amp;"?text="&amp;ENCODEURL(T274),"✉ Написать")</f>
        <v/>
      </c>
      <c r="L274" s="39">
        <f>HYPERLINK("https://wa.me/"&amp;H274,"Открыть чат")</f>
        <v/>
      </c>
      <c r="M274" s="38" t="inlineStr">
        <is>
          <t>Сочи</t>
        </is>
      </c>
      <c r="N274" s="38" t="n"/>
      <c r="O274" s="38" t="n"/>
      <c r="P274" s="38" t="n"/>
      <c r="Q274" s="38" t="inlineStr">
        <is>
          <t>без сайта, WhatsApp не подтверждён</t>
        </is>
      </c>
      <c r="R274" s="38" t="n">
        <v>2</v>
      </c>
      <c r="S274" s="38" t="inlineStr">
        <is>
          <t>Краснодарский край</t>
        </is>
      </c>
      <c r="T274" s="38" t="inlineStr">
        <is>
          <t>Здравствуйте! Смотрел в 2ГИС, кто делает кровлю в Сочи, и нашёл «Компания промышленного альпинизма». Сайта в карточке нет.
Готов за вечер собрать сайт для «Компания промышленного альпинизма» и показать вам. Денег вперёд не беру. Собрать?</t>
        </is>
      </c>
      <c r="U274" s="38">
        <f>B274&amp;IF(D274&lt;&gt;""," · "&amp;D274,"")&amp;IF(F274&lt;&gt;"",CHAR(10)&amp;F274,"")</f>
        <v/>
      </c>
      <c r="V274" s="38">
        <f>IF(OR(F274="просрочено",F274="сегодня",F274="укажи дату",LEFT(F274,6)="молчит"),1,0)</f>
        <v/>
      </c>
    </row>
    <row r="275" ht="24" customHeight="1">
      <c r="A275" s="38" t="n">
        <v>274</v>
      </c>
      <c r="B275" s="32" t="inlineStr">
        <is>
          <t>Строительная компания</t>
        </is>
      </c>
      <c r="C275" s="49" t="inlineStr">
        <is>
          <t>Очередь</t>
        </is>
      </c>
      <c r="D275" s="49" t="n"/>
      <c r="E275" s="50" t="n"/>
      <c r="F275" s="51">
        <f>IF(OR(C275="",C275="Очередь",C275="Клиент",C275="Отказ",C275="Не писать"),"",IF(E275="",IF(AND(C275="Отправлено",I275&lt;&gt;"",TODAY()-INT(I275)&gt;=3),"молчит "&amp;(TODAY()-INT(I275))&amp;" дн.",IF(OR(C275="Перезвонить",C275="Созвон"),"укажи дату","")),IF(INT(E275)&lt;TODAY(),"просрочено",IF(INT(E275)=TODAY(),"сегодня",IF(INT(E275)=TODAY()+1,"завтра",TEXT(E275,"dd.mm"))))))</f>
        <v/>
      </c>
      <c r="G275" s="52" t="n"/>
      <c r="H275" s="36" t="inlineStr">
        <is>
          <t>79773309070</t>
        </is>
      </c>
      <c r="I275" s="53" t="n"/>
      <c r="J275" s="38">
        <f>IFERROR(MATCH(C275,'Справка'!$A$12:$A$21,0),99)</f>
        <v/>
      </c>
      <c r="K275" s="39">
        <f>HYPERLINK("https://wa.me/"&amp;H275&amp;"?text="&amp;ENCODEURL(T275),"✉ Написать")</f>
        <v/>
      </c>
      <c r="L275" s="39">
        <f>HYPERLINK("https://wa.me/"&amp;H275,"Открыть чат")</f>
        <v/>
      </c>
      <c r="M275" s="38" t="inlineStr">
        <is>
          <t>Сочи</t>
        </is>
      </c>
      <c r="N275" s="38" t="n"/>
      <c r="O275" s="38" t="n"/>
      <c r="P275" s="38" t="n"/>
      <c r="Q275" s="38" t="inlineStr">
        <is>
          <t>без сайта, WhatsApp не подтверждён</t>
        </is>
      </c>
      <c r="R275" s="38" t="n">
        <v>2</v>
      </c>
      <c r="S275" s="38" t="inlineStr">
        <is>
          <t>Краснодарский край</t>
        </is>
      </c>
      <c r="T275" s="38" t="inlineStr">
        <is>
          <t>Здравствуйте! Нашёл вас в 2ГИС среди кровельных компаний в Сочи, а сайта в карточке не нашёл.
Могу собрать сайт под «Строительная компания» за вечер и показать. Не понравится — ничего не должны. Сделать?</t>
        </is>
      </c>
      <c r="U275" s="38">
        <f>B275&amp;IF(D275&lt;&gt;""," · "&amp;D275,"")&amp;IF(F275&lt;&gt;"",CHAR(10)&amp;F275,"")</f>
        <v/>
      </c>
      <c r="V275" s="38">
        <f>IF(OR(F275="просрочено",F275="сегодня",F275="укажи дату",LEFT(F275,6)="молчит"),1,0)</f>
        <v/>
      </c>
    </row>
    <row r="276" ht="24" customHeight="1">
      <c r="A276" s="38" t="n">
        <v>275</v>
      </c>
      <c r="B276" s="32" t="inlineStr">
        <is>
          <t>Компания по строительству дачных домов и коттеджей</t>
        </is>
      </c>
      <c r="C276" s="49" t="inlineStr">
        <is>
          <t>Очередь</t>
        </is>
      </c>
      <c r="D276" s="49" t="n"/>
      <c r="E276" s="50" t="n"/>
      <c r="F276" s="51">
        <f>IF(OR(C276="",C276="Очередь",C276="Клиент",C276="Отказ",C276="Не писать"),"",IF(E276="",IF(AND(C276="Отправлено",I276&lt;&gt;"",TODAY()-INT(I276)&gt;=3),"молчит "&amp;(TODAY()-INT(I276))&amp;" дн.",IF(OR(C276="Перезвонить",C276="Созвон"),"укажи дату","")),IF(INT(E276)&lt;TODAY(),"просрочено",IF(INT(E276)=TODAY(),"сегодня",IF(INT(E276)=TODAY()+1,"завтра",TEXT(E276,"dd.mm"))))))</f>
        <v/>
      </c>
      <c r="G276" s="52" t="n"/>
      <c r="H276" s="36" t="inlineStr">
        <is>
          <t>79514146427</t>
        </is>
      </c>
      <c r="I276" s="53" t="n"/>
      <c r="J276" s="38">
        <f>IFERROR(MATCH(C276,'Справка'!$A$12:$A$21,0),99)</f>
        <v/>
      </c>
      <c r="K276" s="39">
        <f>HYPERLINK("https://wa.me/"&amp;H276&amp;"?text="&amp;ENCODEURL(T276),"✉ Написать")</f>
        <v/>
      </c>
      <c r="L276" s="39">
        <f>HYPERLINK("https://wa.me/"&amp;H276,"Открыть чат")</f>
        <v/>
      </c>
      <c r="M276" s="38" t="inlineStr">
        <is>
          <t>с. Краевско-Армянское</t>
        </is>
      </c>
      <c r="N276" s="38" t="n"/>
      <c r="O276" s="38" t="n"/>
      <c r="P276" s="38" t="n"/>
      <c r="Q276" s="38" t="inlineStr">
        <is>
          <t>без сайта, WhatsApp не подтверждён</t>
        </is>
      </c>
      <c r="R276" s="38" t="n">
        <v>2</v>
      </c>
      <c r="S276" s="38" t="inlineStr">
        <is>
          <t>Краснодарский край</t>
        </is>
      </c>
      <c r="T276" s="38" t="inlineStr">
        <is>
          <t>Здравствуйте! Искал в 2ГИС кровельные компании в Сочи и наткнулся на вас. Сайта в карточке не увидел.
Могу за вечер собрать для «Компания по строительству дачных домов и коттеджей» сайт и показать. Платить не нужно, пока не понравится. Собрать?</t>
        </is>
      </c>
      <c r="U276" s="38">
        <f>B276&amp;IF(D276&lt;&gt;""," · "&amp;D276,"")&amp;IF(F276&lt;&gt;"",CHAR(10)&amp;F276,"")</f>
        <v/>
      </c>
      <c r="V276" s="38">
        <f>IF(OR(F276="просрочено",F276="сегодня",F276="укажи дату",LEFT(F276,6)="молчит"),1,0)</f>
        <v/>
      </c>
    </row>
    <row r="277" ht="24" customHeight="1">
      <c r="A277" s="38" t="n">
        <v>276</v>
      </c>
      <c r="B277" s="32" t="inlineStr">
        <is>
          <t>Элитстрой</t>
        </is>
      </c>
      <c r="C277" s="49" t="inlineStr">
        <is>
          <t>Очередь</t>
        </is>
      </c>
      <c r="D277" s="49" t="n"/>
      <c r="E277" s="50" t="n"/>
      <c r="F277" s="51">
        <f>IF(OR(C277="",C277="Очередь",C277="Клиент",C277="Отказ",C277="Не писать"),"",IF(E277="",IF(AND(C277="Отправлено",I277&lt;&gt;"",TODAY()-INT(I277)&gt;=3),"молчит "&amp;(TODAY()-INT(I277))&amp;" дн.",IF(OR(C277="Перезвонить",C277="Созвон"),"укажи дату","")),IF(INT(E277)&lt;TODAY(),"просрочено",IF(INT(E277)=TODAY(),"сегодня",IF(INT(E277)=TODAY()+1,"завтра",TEXT(E277,"dd.mm"))))))</f>
        <v/>
      </c>
      <c r="G277" s="52" t="n"/>
      <c r="H277" s="36" t="inlineStr">
        <is>
          <t>79180016642</t>
        </is>
      </c>
      <c r="I277" s="53" t="n"/>
      <c r="J277" s="38">
        <f>IFERROR(MATCH(C277,'Справка'!$A$12:$A$21,0),99)</f>
        <v/>
      </c>
      <c r="K277" s="39">
        <f>HYPERLINK("https://wa.me/"&amp;H277&amp;"?text="&amp;ENCODEURL(T277),"✉ Написать")</f>
        <v/>
      </c>
      <c r="L277" s="39">
        <f>HYPERLINK("https://wa.me/"&amp;H277,"Открыть чат")</f>
        <v/>
      </c>
      <c r="M277" s="38" t="inlineStr">
        <is>
          <t>Сочи</t>
        </is>
      </c>
      <c r="N277" s="38" t="n"/>
      <c r="O277" s="38" t="n"/>
      <c r="P277" s="38" t="n"/>
      <c r="Q277" s="38" t="inlineStr">
        <is>
          <t>без сайта, WhatsApp не подтверждён</t>
        </is>
      </c>
      <c r="R277" s="38" t="n">
        <v>2</v>
      </c>
      <c r="S277" s="38" t="inlineStr">
        <is>
          <t>Краснодарский край</t>
        </is>
      </c>
      <c r="T277" s="38" t="inlineStr">
        <is>
          <t>Здравствуйте! Смотрел в 2ГИС, кто делает кровлю в Сочи, и нашёл «Элитстрой». Сайта в карточке нет.
Готов за вечер собрать сайт для «Элитстрой» и показать вам. Денег вперёд не беру. Собрать?</t>
        </is>
      </c>
      <c r="U277" s="38">
        <f>B277&amp;IF(D277&lt;&gt;""," · "&amp;D277,"")&amp;IF(F277&lt;&gt;"",CHAR(10)&amp;F277,"")</f>
        <v/>
      </c>
      <c r="V277" s="38">
        <f>IF(OR(F277="просрочено",F277="сегодня",F277="укажи дату",LEFT(F277,6)="молчит"),1,0)</f>
        <v/>
      </c>
    </row>
    <row r="278" ht="24" customHeight="1">
      <c r="A278" s="38" t="n">
        <v>277</v>
      </c>
      <c r="B278" s="32" t="inlineStr">
        <is>
          <t>На высоте</t>
        </is>
      </c>
      <c r="C278" s="49" t="inlineStr">
        <is>
          <t>Очередь</t>
        </is>
      </c>
      <c r="D278" s="49" t="n"/>
      <c r="E278" s="50" t="n"/>
      <c r="F278" s="51">
        <f>IF(OR(C278="",C278="Очередь",C278="Клиент",C278="Отказ",C278="Не писать"),"",IF(E278="",IF(AND(C278="Отправлено",I278&lt;&gt;"",TODAY()-INT(I278)&gt;=3),"молчит "&amp;(TODAY()-INT(I278))&amp;" дн.",IF(OR(C278="Перезвонить",C278="Созвон"),"укажи дату","")),IF(INT(E278)&lt;TODAY(),"просрочено",IF(INT(E278)=TODAY(),"сегодня",IF(INT(E278)=TODAY()+1,"завтра",TEXT(E278,"dd.mm"))))))</f>
        <v/>
      </c>
      <c r="G278" s="52" t="n"/>
      <c r="H278" s="36" t="inlineStr">
        <is>
          <t>79036066323</t>
        </is>
      </c>
      <c r="I278" s="53" t="n"/>
      <c r="J278" s="38">
        <f>IFERROR(MATCH(C278,'Справка'!$A$12:$A$21,0),99)</f>
        <v/>
      </c>
      <c r="K278" s="39">
        <f>HYPERLINK("https://wa.me/"&amp;H278&amp;"?text="&amp;ENCODEURL(T278),"✉ Написать")</f>
        <v/>
      </c>
      <c r="L278" s="39">
        <f>HYPERLINK("https://wa.me/"&amp;H278,"Открыть чат")</f>
        <v/>
      </c>
      <c r="M278" s="38" t="inlineStr">
        <is>
          <t>Дзержинск</t>
        </is>
      </c>
      <c r="N278" s="38" t="n">
        <v>1</v>
      </c>
      <c r="O278" s="38" t="n">
        <v>2</v>
      </c>
      <c r="P278" s="38" t="n"/>
      <c r="Q278" s="38" t="inlineStr">
        <is>
          <t>без сайта, WhatsApp не подтверждён</t>
        </is>
      </c>
      <c r="R278" s="38" t="n">
        <v>2</v>
      </c>
      <c r="S278" s="38" t="inlineStr">
        <is>
          <t>Нижегородская область</t>
        </is>
      </c>
      <c r="T278" s="38" t="inlineStr">
        <is>
          <t>Здравствуйте! Нашёл вас в 2ГИС среди кровельных компаний в Дзержинске, а сайта в карточке не нашёл.
Могу собрать сайт под «На высоте» за вечер и показать. Не понравится — ничего не должны. Сделать?</t>
        </is>
      </c>
      <c r="U278" s="38">
        <f>B278&amp;IF(D278&lt;&gt;""," · "&amp;D278,"")&amp;IF(F278&lt;&gt;"",CHAR(10)&amp;F278,"")</f>
        <v/>
      </c>
      <c r="V278" s="38">
        <f>IF(OR(F278="просрочено",F278="сегодня",F278="укажи дату",LEFT(F278,6)="молчит"),1,0)</f>
        <v/>
      </c>
    </row>
    <row r="279" ht="24" customHeight="1">
      <c r="A279" s="38" t="n">
        <v>278</v>
      </c>
      <c r="B279" s="32" t="inlineStr">
        <is>
          <t>М-строй</t>
        </is>
      </c>
      <c r="C279" s="49" t="inlineStr">
        <is>
          <t>Очередь</t>
        </is>
      </c>
      <c r="D279" s="49" t="n"/>
      <c r="E279" s="50" t="n"/>
      <c r="F279" s="51">
        <f>IF(OR(C279="",C279="Очередь",C279="Клиент",C279="Отказ",C279="Не писать"),"",IF(E279="",IF(AND(C279="Отправлено",I279&lt;&gt;"",TODAY()-INT(I279)&gt;=3),"молчит "&amp;(TODAY()-INT(I279))&amp;" дн.",IF(OR(C279="Перезвонить",C279="Созвон"),"укажи дату","")),IF(INT(E279)&lt;TODAY(),"просрочено",IF(INT(E279)=TODAY(),"сегодня",IF(INT(E279)=TODAY()+1,"завтра",TEXT(E279,"dd.mm"))))))</f>
        <v/>
      </c>
      <c r="G279" s="52" t="n"/>
      <c r="H279" s="36" t="inlineStr">
        <is>
          <t>79108783272</t>
        </is>
      </c>
      <c r="I279" s="53" t="n"/>
      <c r="J279" s="38">
        <f>IFERROR(MATCH(C279,'Справка'!$A$12:$A$21,0),99)</f>
        <v/>
      </c>
      <c r="K279" s="39">
        <f>HYPERLINK("https://wa.me/"&amp;H279&amp;"?text="&amp;ENCODEURL(T279),"✉ Написать")</f>
        <v/>
      </c>
      <c r="L279" s="39">
        <f>HYPERLINK("https://wa.me/"&amp;H279,"Открыть чат")</f>
        <v/>
      </c>
      <c r="M279" s="38" t="inlineStr">
        <is>
          <t>Дзержинск</t>
        </is>
      </c>
      <c r="N279" s="38" t="n">
        <v>5</v>
      </c>
      <c r="O279" s="38" t="n">
        <v>1</v>
      </c>
      <c r="P279" s="38" t="n"/>
      <c r="Q279" s="38" t="inlineStr">
        <is>
          <t>без сайта, WhatsApp не подтверждён</t>
        </is>
      </c>
      <c r="R279" s="38" t="n">
        <v>2</v>
      </c>
      <c r="S279" s="38" t="inlineStr">
        <is>
          <t>Нижегородская область</t>
        </is>
      </c>
      <c r="T279" s="38" t="inlineStr">
        <is>
          <t>Здравствуйте! Искал в 2ГИС кровельные компании в Дзержинске и наткнулся на вас. Сайта в карточке не увидел.
Могу за вечер собрать для «М-строй» сайт и показать. Платить не нужно, пока не понравится. Собрать?</t>
        </is>
      </c>
      <c r="U279" s="38">
        <f>B279&amp;IF(D279&lt;&gt;""," · "&amp;D279,"")&amp;IF(F279&lt;&gt;"",CHAR(10)&amp;F279,"")</f>
        <v/>
      </c>
      <c r="V279" s="38">
        <f>IF(OR(F279="просрочено",F279="сегодня",F279="укажи дату",LEFT(F279,6)="молчит"),1,0)</f>
        <v/>
      </c>
    </row>
    <row r="280" ht="24" customHeight="1">
      <c r="A280" s="38" t="n">
        <v>279</v>
      </c>
      <c r="B280" s="32" t="inlineStr">
        <is>
          <t>Темп52</t>
        </is>
      </c>
      <c r="C280" s="49" t="inlineStr">
        <is>
          <t>Очередь</t>
        </is>
      </c>
      <c r="D280" s="49" t="n"/>
      <c r="E280" s="50" t="n"/>
      <c r="F280" s="51">
        <f>IF(OR(C280="",C280="Очередь",C280="Клиент",C280="Отказ",C280="Не писать"),"",IF(E280="",IF(AND(C280="Отправлено",I280&lt;&gt;"",TODAY()-INT(I280)&gt;=3),"молчит "&amp;(TODAY()-INT(I280))&amp;" дн.",IF(OR(C280="Перезвонить",C280="Созвон"),"укажи дату","")),IF(INT(E280)&lt;TODAY(),"просрочено",IF(INT(E280)=TODAY(),"сегодня",IF(INT(E280)=TODAY()+1,"завтра",TEXT(E280,"dd.mm"))))))</f>
        <v/>
      </c>
      <c r="G280" s="52" t="n"/>
      <c r="H280" s="36" t="inlineStr">
        <is>
          <t>79103956001</t>
        </is>
      </c>
      <c r="I280" s="53" t="n"/>
      <c r="J280" s="38">
        <f>IFERROR(MATCH(C280,'Справка'!$A$12:$A$21,0),99)</f>
        <v/>
      </c>
      <c r="K280" s="39">
        <f>HYPERLINK("https://wa.me/"&amp;H280&amp;"?text="&amp;ENCODEURL(T280),"✉ Написать")</f>
        <v/>
      </c>
      <c r="L280" s="39">
        <f>HYPERLINK("https://wa.me/"&amp;H280,"Открыть чат")</f>
        <v/>
      </c>
      <c r="M280" s="38" t="inlineStr">
        <is>
          <t>Нижний Новгород</t>
        </is>
      </c>
      <c r="N280" s="38" t="n"/>
      <c r="O280" s="38" t="n"/>
      <c r="P280" s="38" t="n"/>
      <c r="Q280" s="38" t="inlineStr">
        <is>
          <t>без сайта, WhatsApp не подтверждён</t>
        </is>
      </c>
      <c r="R280" s="38" t="n">
        <v>2</v>
      </c>
      <c r="S280" s="38" t="inlineStr">
        <is>
          <t>Нижегородская область</t>
        </is>
      </c>
      <c r="T280" s="38" t="inlineStr">
        <is>
          <t>Здравствуйте! Смотрел в 2ГИС, кто делает кровлю в Нижнем Новгороде, и нашёл «Темп52». Сайта в карточке нет.
Готов за вечер собрать сайт для «Темп52» и показать вам. Денег вперёд не беру. Собрать?</t>
        </is>
      </c>
      <c r="U280" s="38">
        <f>B280&amp;IF(D280&lt;&gt;""," · "&amp;D280,"")&amp;IF(F280&lt;&gt;"",CHAR(10)&amp;F280,"")</f>
        <v/>
      </c>
      <c r="V280" s="38">
        <f>IF(OR(F280="просрочено",F280="сегодня",F280="укажи дату",LEFT(F280,6)="молчит"),1,0)</f>
        <v/>
      </c>
    </row>
    <row r="281" ht="24" customHeight="1">
      <c r="A281" s="38" t="n">
        <v>280</v>
      </c>
      <c r="B281" s="32" t="inlineStr">
        <is>
          <t>Мик-строй</t>
        </is>
      </c>
      <c r="C281" s="49" t="inlineStr">
        <is>
          <t>Очередь</t>
        </is>
      </c>
      <c r="D281" s="49" t="n"/>
      <c r="E281" s="50" t="n"/>
      <c r="F281" s="51">
        <f>IF(OR(C281="",C281="Очередь",C281="Клиент",C281="Отказ",C281="Не писать"),"",IF(E281="",IF(AND(C281="Отправлено",I281&lt;&gt;"",TODAY()-INT(I281)&gt;=3),"молчит "&amp;(TODAY()-INT(I281))&amp;" дн.",IF(OR(C281="Перезвонить",C281="Созвон"),"укажи дату","")),IF(INT(E281)&lt;TODAY(),"просрочено",IF(INT(E281)=TODAY(),"сегодня",IF(INT(E281)=TODAY()+1,"завтра",TEXT(E281,"dd.mm"))))))</f>
        <v/>
      </c>
      <c r="G281" s="52" t="n"/>
      <c r="H281" s="36" t="inlineStr">
        <is>
          <t>79527718984</t>
        </is>
      </c>
      <c r="I281" s="53" t="n"/>
      <c r="J281" s="38">
        <f>IFERROR(MATCH(C281,'Справка'!$A$12:$A$21,0),99)</f>
        <v/>
      </c>
      <c r="K281" s="39">
        <f>HYPERLINK("https://wa.me/"&amp;H281&amp;"?text="&amp;ENCODEURL(T281),"✉ Написать")</f>
        <v/>
      </c>
      <c r="L281" s="39">
        <f>HYPERLINK("https://wa.me/"&amp;H281,"Открыть чат")</f>
        <v/>
      </c>
      <c r="M281" s="38" t="inlineStr">
        <is>
          <t>Нижний Новгород</t>
        </is>
      </c>
      <c r="N281" s="38" t="n"/>
      <c r="O281" s="38" t="n"/>
      <c r="P281" s="38" t="n"/>
      <c r="Q281" s="38" t="inlineStr">
        <is>
          <t>без сайта, WhatsApp не подтверждён</t>
        </is>
      </c>
      <c r="R281" s="38" t="n">
        <v>2</v>
      </c>
      <c r="S281" s="38" t="inlineStr">
        <is>
          <t>Нижегородская область</t>
        </is>
      </c>
      <c r="T281" s="38" t="inlineStr">
        <is>
          <t>Здравствуйте! Нашёл вас в 2ГИС среди кровельных компаний в Нижнем Новгороде, а сайта в карточке не нашёл.
Могу собрать сайт под «Мик-строй» за вечер и показать. Не понравится — ничего не должны. Сделать?</t>
        </is>
      </c>
      <c r="U281" s="38">
        <f>B281&amp;IF(D281&lt;&gt;""," · "&amp;D281,"")&amp;IF(F281&lt;&gt;"",CHAR(10)&amp;F281,"")</f>
        <v/>
      </c>
      <c r="V281" s="38">
        <f>IF(OR(F281="просрочено",F281="сегодня",F281="укажи дату",LEFT(F281,6)="молчит"),1,0)</f>
        <v/>
      </c>
    </row>
    <row r="282" ht="24" customHeight="1">
      <c r="A282" s="38" t="n">
        <v>281</v>
      </c>
      <c r="B282" s="32" t="inlineStr">
        <is>
          <t>Компания кровельных работ</t>
        </is>
      </c>
      <c r="C282" s="49" t="inlineStr">
        <is>
          <t>Очередь</t>
        </is>
      </c>
      <c r="D282" s="49" t="n"/>
      <c r="E282" s="50" t="n"/>
      <c r="F282" s="51">
        <f>IF(OR(C282="",C282="Очередь",C282="Клиент",C282="Отказ",C282="Не писать"),"",IF(E282="",IF(AND(C282="Отправлено",I282&lt;&gt;"",TODAY()-INT(I282)&gt;=3),"молчит "&amp;(TODAY()-INT(I282))&amp;" дн.",IF(OR(C282="Перезвонить",C282="Созвон"),"укажи дату","")),IF(INT(E282)&lt;TODAY(),"просрочено",IF(INT(E282)=TODAY(),"сегодня",IF(INT(E282)=TODAY()+1,"завтра",TEXT(E282,"dd.mm"))))))</f>
        <v/>
      </c>
      <c r="G282" s="52" t="n"/>
      <c r="H282" s="36" t="inlineStr">
        <is>
          <t>79535657152</t>
        </is>
      </c>
      <c r="I282" s="53" t="n"/>
      <c r="J282" s="38">
        <f>IFERROR(MATCH(C282,'Справка'!$A$12:$A$21,0),99)</f>
        <v/>
      </c>
      <c r="K282" s="39">
        <f>HYPERLINK("https://wa.me/"&amp;H282&amp;"?text="&amp;ENCODEURL(T282),"✉ Написать")</f>
        <v/>
      </c>
      <c r="L282" s="39">
        <f>HYPERLINK("https://wa.me/"&amp;H282,"Открыть чат")</f>
        <v/>
      </c>
      <c r="M282" s="38" t="inlineStr">
        <is>
          <t>Нижний Новгород</t>
        </is>
      </c>
      <c r="N282" s="38" t="n"/>
      <c r="O282" s="38" t="n"/>
      <c r="P282" s="38" t="n"/>
      <c r="Q282" s="38" t="inlineStr">
        <is>
          <t>без сайта, WhatsApp не подтверждён</t>
        </is>
      </c>
      <c r="R282" s="38" t="n">
        <v>2</v>
      </c>
      <c r="S282" s="38" t="inlineStr">
        <is>
          <t>Нижегородская область</t>
        </is>
      </c>
      <c r="T282" s="38" t="inlineStr">
        <is>
          <t>Здравствуйте! Искал в 2ГИС кровельные компании в Нижнем Новгороде и наткнулся на вас. Сайта в карточке не увидел.
Могу за вечер собрать для «Компания кровельных работ» сайт и показать. Платить не нужно, пока не понравится. Собрать?</t>
        </is>
      </c>
      <c r="U282" s="38">
        <f>B282&amp;IF(D282&lt;&gt;""," · "&amp;D282,"")&amp;IF(F282&lt;&gt;"",CHAR(10)&amp;F282,"")</f>
        <v/>
      </c>
      <c r="V282" s="38">
        <f>IF(OR(F282="просрочено",F282="сегодня",F282="укажи дату",LEFT(F282,6)="молчит"),1,0)</f>
        <v/>
      </c>
    </row>
    <row r="283" ht="24" customHeight="1">
      <c r="A283" s="38" t="n">
        <v>282</v>
      </c>
      <c r="B283" s="32" t="inlineStr">
        <is>
          <t>Технологии качества</t>
        </is>
      </c>
      <c r="C283" s="49" t="inlineStr">
        <is>
          <t>Очередь</t>
        </is>
      </c>
      <c r="D283" s="49" t="n"/>
      <c r="E283" s="50" t="n"/>
      <c r="F283" s="51">
        <f>IF(OR(C283="",C283="Очередь",C283="Клиент",C283="Отказ",C283="Не писать"),"",IF(E283="",IF(AND(C283="Отправлено",I283&lt;&gt;"",TODAY()-INT(I283)&gt;=3),"молчит "&amp;(TODAY()-INT(I283))&amp;" дн.",IF(OR(C283="Перезвонить",C283="Созвон"),"укажи дату","")),IF(INT(E283)&lt;TODAY(),"просрочено",IF(INT(E283)=TODAY(),"сегодня",IF(INT(E283)=TODAY()+1,"завтра",TEXT(E283,"dd.mm"))))))</f>
        <v/>
      </c>
      <c r="G283" s="52" t="n"/>
      <c r="H283" s="36" t="inlineStr">
        <is>
          <t>79519046681</t>
        </is>
      </c>
      <c r="I283" s="53" t="n"/>
      <c r="J283" s="38">
        <f>IFERROR(MATCH(C283,'Справка'!$A$12:$A$21,0),99)</f>
        <v/>
      </c>
      <c r="K283" s="39">
        <f>HYPERLINK("https://wa.me/"&amp;H283&amp;"?text="&amp;ENCODEURL(T283),"✉ Написать")</f>
        <v/>
      </c>
      <c r="L283" s="39">
        <f>HYPERLINK("https://wa.me/"&amp;H283,"Открыть чат")</f>
        <v/>
      </c>
      <c r="M283" s="38" t="inlineStr">
        <is>
          <t>Нижний Новгород</t>
        </is>
      </c>
      <c r="N283" s="38" t="n"/>
      <c r="O283" s="38" t="n"/>
      <c r="P283" s="38" t="n"/>
      <c r="Q283" s="38" t="inlineStr">
        <is>
          <t>без сайта, WhatsApp не подтверждён</t>
        </is>
      </c>
      <c r="R283" s="38" t="n">
        <v>2</v>
      </c>
      <c r="S283" s="38" t="inlineStr">
        <is>
          <t>Нижегородская область</t>
        </is>
      </c>
      <c r="T283" s="38" t="inlineStr">
        <is>
          <t>Здравствуйте! Смотрел в 2ГИС, кто делает кровлю в Нижнем Новгороде, и нашёл «Технологии качества». Сайта в карточке нет.
Готов за вечер собрать сайт для «Технологии качества» и показать вам. Денег вперёд не беру. Собрать?</t>
        </is>
      </c>
      <c r="U283" s="38">
        <f>B283&amp;IF(D283&lt;&gt;""," · "&amp;D283,"")&amp;IF(F283&lt;&gt;"",CHAR(10)&amp;F283,"")</f>
        <v/>
      </c>
      <c r="V283" s="38">
        <f>IF(OR(F283="просрочено",F283="сегодня",F283="укажи дату",LEFT(F283,6)="молчит"),1,0)</f>
        <v/>
      </c>
    </row>
    <row r="284" ht="24" customHeight="1">
      <c r="A284" s="38" t="n">
        <v>283</v>
      </c>
      <c r="B284" s="32" t="inlineStr">
        <is>
          <t>Выездная организация кровельных работ</t>
        </is>
      </c>
      <c r="C284" s="49" t="inlineStr">
        <is>
          <t>Очередь</t>
        </is>
      </c>
      <c r="D284" s="49" t="n"/>
      <c r="E284" s="50" t="n"/>
      <c r="F284" s="51">
        <f>IF(OR(C284="",C284="Очередь",C284="Клиент",C284="Отказ",C284="Не писать"),"",IF(E284="",IF(AND(C284="Отправлено",I284&lt;&gt;"",TODAY()-INT(I284)&gt;=3),"молчит "&amp;(TODAY()-INT(I284))&amp;" дн.",IF(OR(C284="Перезвонить",C284="Созвон"),"укажи дату","")),IF(INT(E284)&lt;TODAY(),"просрочено",IF(INT(E284)=TODAY(),"сегодня",IF(INT(E284)=TODAY()+1,"завтра",TEXT(E284,"dd.mm"))))))</f>
        <v/>
      </c>
      <c r="G284" s="52" t="n"/>
      <c r="H284" s="36" t="inlineStr">
        <is>
          <t>79307170010</t>
        </is>
      </c>
      <c r="I284" s="53" t="n"/>
      <c r="J284" s="38">
        <f>IFERROR(MATCH(C284,'Справка'!$A$12:$A$21,0),99)</f>
        <v/>
      </c>
      <c r="K284" s="39">
        <f>HYPERLINK("https://wa.me/"&amp;H284&amp;"?text="&amp;ENCODEURL(T284),"✉ Написать")</f>
        <v/>
      </c>
      <c r="L284" s="39">
        <f>HYPERLINK("https://wa.me/"&amp;H284,"Открыть чат")</f>
        <v/>
      </c>
      <c r="M284" s="38" t="inlineStr">
        <is>
          <t>Нижний Новгород</t>
        </is>
      </c>
      <c r="N284" s="38" t="n"/>
      <c r="O284" s="38" t="n"/>
      <c r="P284" s="38" t="n"/>
      <c r="Q284" s="38" t="inlineStr">
        <is>
          <t>без сайта, WhatsApp не подтверждён</t>
        </is>
      </c>
      <c r="R284" s="38" t="n">
        <v>2</v>
      </c>
      <c r="S284" s="38" t="inlineStr">
        <is>
          <t>Нижегородская область</t>
        </is>
      </c>
      <c r="T284" s="38" t="inlineStr">
        <is>
          <t>Здравствуйте! Нашёл вас в 2ГИС среди кровельных компаний в Нижнем Новгороде, а сайта в карточке не нашёл.
Могу собрать сайт под «Выездная организация кровельных работ» за вечер и показать. Не понравится — ничего не должны. Сделать?</t>
        </is>
      </c>
      <c r="U284" s="38">
        <f>B284&amp;IF(D284&lt;&gt;""," · "&amp;D284,"")&amp;IF(F284&lt;&gt;"",CHAR(10)&amp;F284,"")</f>
        <v/>
      </c>
      <c r="V284" s="38">
        <f>IF(OR(F284="просрочено",F284="сегодня",F284="укажи дату",LEFT(F284,6)="молчит"),1,0)</f>
        <v/>
      </c>
    </row>
    <row r="285" ht="24" customHeight="1">
      <c r="A285" s="38" t="n">
        <v>284</v>
      </c>
      <c r="B285" s="32" t="inlineStr">
        <is>
          <t>Ремонтная компания</t>
        </is>
      </c>
      <c r="C285" s="49" t="inlineStr">
        <is>
          <t>Очередь</t>
        </is>
      </c>
      <c r="D285" s="49" t="n"/>
      <c r="E285" s="50" t="n"/>
      <c r="F285" s="51">
        <f>IF(OR(C285="",C285="Очередь",C285="Клиент",C285="Отказ",C285="Не писать"),"",IF(E285="",IF(AND(C285="Отправлено",I285&lt;&gt;"",TODAY()-INT(I285)&gt;=3),"молчит "&amp;(TODAY()-INT(I285))&amp;" дн.",IF(OR(C285="Перезвонить",C285="Созвон"),"укажи дату","")),IF(INT(E285)&lt;TODAY(),"просрочено",IF(INT(E285)=TODAY(),"сегодня",IF(INT(E285)=TODAY()+1,"завтра",TEXT(E285,"dd.mm"))))))</f>
        <v/>
      </c>
      <c r="G285" s="52" t="n"/>
      <c r="H285" s="36" t="inlineStr">
        <is>
          <t>79200777768</t>
        </is>
      </c>
      <c r="I285" s="53" t="n"/>
      <c r="J285" s="38">
        <f>IFERROR(MATCH(C285,'Справка'!$A$12:$A$21,0),99)</f>
        <v/>
      </c>
      <c r="K285" s="39">
        <f>HYPERLINK("https://wa.me/"&amp;H285&amp;"?text="&amp;ENCODEURL(T285),"✉ Написать")</f>
        <v/>
      </c>
      <c r="L285" s="39">
        <f>HYPERLINK("https://wa.me/"&amp;H285,"Открыть чат")</f>
        <v/>
      </c>
      <c r="M285" s="38" t="inlineStr">
        <is>
          <t>Нижний Новгород</t>
        </is>
      </c>
      <c r="N285" s="38" t="n"/>
      <c r="O285" s="38" t="n"/>
      <c r="P285" s="38" t="n"/>
      <c r="Q285" s="38" t="inlineStr">
        <is>
          <t>без сайта, WhatsApp не подтверждён</t>
        </is>
      </c>
      <c r="R285" s="38" t="n">
        <v>2</v>
      </c>
      <c r="S285" s="38" t="inlineStr">
        <is>
          <t>Нижегородская область</t>
        </is>
      </c>
      <c r="T285" s="38" t="inlineStr">
        <is>
          <t>Здравствуйте! Искал в 2ГИС кровельные компании в Нижнем Новгороде и наткнулся на вас. Сайта в карточке не увидел.
Могу за вечер собрать для «Ремонтная компания» сайт и показать. Платить не нужно, пока не понравится. Собрать?</t>
        </is>
      </c>
      <c r="U285" s="38">
        <f>B285&amp;IF(D285&lt;&gt;""," · "&amp;D285,"")&amp;IF(F285&lt;&gt;"",CHAR(10)&amp;F285,"")</f>
        <v/>
      </c>
      <c r="V285" s="38">
        <f>IF(OR(F285="просрочено",F285="сегодня",F285="укажи дату",LEFT(F285,6)="молчит"),1,0)</f>
        <v/>
      </c>
    </row>
    <row r="286" ht="24" customHeight="1">
      <c r="A286" s="38" t="n">
        <v>285</v>
      </c>
      <c r="B286" s="32" t="inlineStr">
        <is>
          <t>Krovelshik NN</t>
        </is>
      </c>
      <c r="C286" s="49" t="inlineStr">
        <is>
          <t>Очередь</t>
        </is>
      </c>
      <c r="D286" s="49" t="n"/>
      <c r="E286" s="50" t="n"/>
      <c r="F286" s="51">
        <f>IF(OR(C286="",C286="Очередь",C286="Клиент",C286="Отказ",C286="Не писать"),"",IF(E286="",IF(AND(C286="Отправлено",I286&lt;&gt;"",TODAY()-INT(I286)&gt;=3),"молчит "&amp;(TODAY()-INT(I286))&amp;" дн.",IF(OR(C286="Перезвонить",C286="Созвон"),"укажи дату","")),IF(INT(E286)&lt;TODAY(),"просрочено",IF(INT(E286)=TODAY(),"сегодня",IF(INT(E286)=TODAY()+1,"завтра",TEXT(E286,"dd.mm"))))))</f>
        <v/>
      </c>
      <c r="G286" s="52" t="n"/>
      <c r="H286" s="36" t="inlineStr">
        <is>
          <t>79047936965</t>
        </is>
      </c>
      <c r="I286" s="53" t="n"/>
      <c r="J286" s="38">
        <f>IFERROR(MATCH(C286,'Справка'!$A$12:$A$21,0),99)</f>
        <v/>
      </c>
      <c r="K286" s="39">
        <f>HYPERLINK("https://wa.me/"&amp;H286&amp;"?text="&amp;ENCODEURL(T286),"✉ Написать")</f>
        <v/>
      </c>
      <c r="L286" s="39">
        <f>HYPERLINK("https://wa.me/"&amp;H286,"Открыть чат")</f>
        <v/>
      </c>
      <c r="M286" s="38" t="inlineStr">
        <is>
          <t>Бор</t>
        </is>
      </c>
      <c r="N286" s="38" t="n"/>
      <c r="O286" s="38" t="n"/>
      <c r="P286" s="38" t="n"/>
      <c r="Q286" s="38" t="inlineStr">
        <is>
          <t>без сайта, WhatsApp не подтверждён</t>
        </is>
      </c>
      <c r="R286" s="38" t="n">
        <v>2</v>
      </c>
      <c r="S286" s="38" t="inlineStr">
        <is>
          <t>Нижегородская область</t>
        </is>
      </c>
      <c r="T286" s="38" t="inlineStr">
        <is>
          <t>Здравствуйте! Смотрел в 2ГИС, кто делает кровлю в городе Бор, и нашёл «Krovelshik NN». Сайта в карточке нет.
Готов за вечер собрать сайт для «Krovelshik NN» и показать вам. Денег вперёд не беру. Собрать?</t>
        </is>
      </c>
      <c r="U286" s="38">
        <f>B286&amp;IF(D286&lt;&gt;""," · "&amp;D286,"")&amp;IF(F286&lt;&gt;"",CHAR(10)&amp;F286,"")</f>
        <v/>
      </c>
      <c r="V286" s="38">
        <f>IF(OR(F286="просрочено",F286="сегодня",F286="укажи дату",LEFT(F286,6)="молчит"),1,0)</f>
        <v/>
      </c>
    </row>
    <row r="287" ht="24" customHeight="1">
      <c r="A287" s="38" t="n">
        <v>286</v>
      </c>
      <c r="B287" s="32" t="inlineStr">
        <is>
          <t>Эльтонстрой</t>
        </is>
      </c>
      <c r="C287" s="49" t="inlineStr">
        <is>
          <t>Очередь</t>
        </is>
      </c>
      <c r="D287" s="49" t="n"/>
      <c r="E287" s="50" t="n"/>
      <c r="F287" s="51">
        <f>IF(OR(C287="",C287="Очередь",C287="Клиент",C287="Отказ",C287="Не писать"),"",IF(E287="",IF(AND(C287="Отправлено",I287&lt;&gt;"",TODAY()-INT(I287)&gt;=3),"молчит "&amp;(TODAY()-INT(I287))&amp;" дн.",IF(OR(C287="Перезвонить",C287="Созвон"),"укажи дату","")),IF(INT(E287)&lt;TODAY(),"просрочено",IF(INT(E287)=TODAY(),"сегодня",IF(INT(E287)=TODAY()+1,"завтра",TEXT(E287,"dd.mm"))))))</f>
        <v/>
      </c>
      <c r="G287" s="52" t="n"/>
      <c r="H287" s="36" t="inlineStr">
        <is>
          <t>79103899187</t>
        </is>
      </c>
      <c r="I287" s="53" t="n"/>
      <c r="J287" s="38">
        <f>IFERROR(MATCH(C287,'Справка'!$A$12:$A$21,0),99)</f>
        <v/>
      </c>
      <c r="K287" s="39">
        <f>HYPERLINK("https://wa.me/"&amp;H287&amp;"?text="&amp;ENCODEURL(T287),"✉ Написать")</f>
        <v/>
      </c>
      <c r="L287" s="39">
        <f>HYPERLINK("https://wa.me/"&amp;H287,"Открыть чат")</f>
        <v/>
      </c>
      <c r="M287" s="38" t="inlineStr">
        <is>
          <t>Нижний Новгород</t>
        </is>
      </c>
      <c r="N287" s="38" t="n"/>
      <c r="O287" s="38" t="n"/>
      <c r="P287" s="38" t="n"/>
      <c r="Q287" s="38" t="inlineStr">
        <is>
          <t>без сайта, WhatsApp не подтверждён</t>
        </is>
      </c>
      <c r="R287" s="38" t="n">
        <v>2</v>
      </c>
      <c r="S287" s="38" t="inlineStr">
        <is>
          <t>Нижегородская область</t>
        </is>
      </c>
      <c r="T287" s="38" t="inlineStr">
        <is>
          <t>Здравствуйте! Нашёл вас в 2ГИС среди кровельных компаний в Нижнем Новгороде, а сайта в карточке не нашёл.
Могу собрать сайт под «Эльтонстрой» за вечер и показать. Не понравится — ничего не должны. Сделать?</t>
        </is>
      </c>
      <c r="U287" s="38">
        <f>B287&amp;IF(D287&lt;&gt;""," · "&amp;D287,"")&amp;IF(F287&lt;&gt;"",CHAR(10)&amp;F287,"")</f>
        <v/>
      </c>
      <c r="V287" s="38">
        <f>IF(OR(F287="просрочено",F287="сегодня",F287="укажи дату",LEFT(F287,6)="молчит"),1,0)</f>
        <v/>
      </c>
    </row>
    <row r="288" ht="24" customHeight="1">
      <c r="A288" s="38" t="n">
        <v>287</v>
      </c>
      <c r="B288" s="32" t="inlineStr">
        <is>
          <t>Электропроф</t>
        </is>
      </c>
      <c r="C288" s="49" t="inlineStr">
        <is>
          <t>Очередь</t>
        </is>
      </c>
      <c r="D288" s="49" t="n"/>
      <c r="E288" s="50" t="n"/>
      <c r="F288" s="51">
        <f>IF(OR(C288="",C288="Очередь",C288="Клиент",C288="Отказ",C288="Не писать"),"",IF(E288="",IF(AND(C288="Отправлено",I288&lt;&gt;"",TODAY()-INT(I288)&gt;=3),"молчит "&amp;(TODAY()-INT(I288))&amp;" дн.",IF(OR(C288="Перезвонить",C288="Созвон"),"укажи дату","")),IF(INT(E288)&lt;TODAY(),"просрочено",IF(INT(E288)=TODAY(),"сегодня",IF(INT(E288)=TODAY()+1,"завтра",TEXT(E288,"dd.mm"))))))</f>
        <v/>
      </c>
      <c r="G288" s="52" t="n"/>
      <c r="H288" s="36" t="inlineStr">
        <is>
          <t>79087311877</t>
        </is>
      </c>
      <c r="I288" s="53" t="n"/>
      <c r="J288" s="38">
        <f>IFERROR(MATCH(C288,'Справка'!$A$12:$A$21,0),99)</f>
        <v/>
      </c>
      <c r="K288" s="39">
        <f>HYPERLINK("https://wa.me/"&amp;H288&amp;"?text="&amp;ENCODEURL(T288),"✉ Написать")</f>
        <v/>
      </c>
      <c r="L288" s="39">
        <f>HYPERLINK("https://wa.me/"&amp;H288,"Открыть чат")</f>
        <v/>
      </c>
      <c r="M288" s="38" t="inlineStr">
        <is>
          <t>д. Пичугино</t>
        </is>
      </c>
      <c r="N288" s="38" t="n"/>
      <c r="O288" s="38" t="n"/>
      <c r="P288" s="38" t="n"/>
      <c r="Q288" s="38" t="inlineStr">
        <is>
          <t>без сайта, WhatsApp не подтверждён</t>
        </is>
      </c>
      <c r="R288" s="38" t="n">
        <v>2</v>
      </c>
      <c r="S288" s="38" t="inlineStr">
        <is>
          <t>Нижегородская область</t>
        </is>
      </c>
      <c r="T288" s="38" t="inlineStr">
        <is>
          <t>Здравствуйте! Искал в 2ГИС кровельные компании в Нижегородской области и наткнулся на вас. Сайта в карточке не увидел.
Могу за вечер собрать для «Электропроф» сайт и показать. Платить не нужно, пока не понравится. Собрать?</t>
        </is>
      </c>
      <c r="U288" s="38">
        <f>B288&amp;IF(D288&lt;&gt;""," · "&amp;D288,"")&amp;IF(F288&lt;&gt;"",CHAR(10)&amp;F288,"")</f>
        <v/>
      </c>
      <c r="V288" s="38">
        <f>IF(OR(F288="просрочено",F288="сегодня",F288="укажи дату",LEFT(F288,6)="молчит"),1,0)</f>
        <v/>
      </c>
    </row>
    <row r="289" ht="24" customHeight="1">
      <c r="A289" s="38" t="n">
        <v>288</v>
      </c>
      <c r="B289" s="32" t="inlineStr">
        <is>
          <t>Баупрофис</t>
        </is>
      </c>
      <c r="C289" s="49" t="inlineStr">
        <is>
          <t>Очередь</t>
        </is>
      </c>
      <c r="D289" s="49" t="n"/>
      <c r="E289" s="50" t="n"/>
      <c r="F289" s="51">
        <f>IF(OR(C289="",C289="Очередь",C289="Клиент",C289="Отказ",C289="Не писать"),"",IF(E289="",IF(AND(C289="Отправлено",I289&lt;&gt;"",TODAY()-INT(I289)&gt;=3),"молчит "&amp;(TODAY()-INT(I289))&amp;" дн.",IF(OR(C289="Перезвонить",C289="Созвон"),"укажи дату","")),IF(INT(E289)&lt;TODAY(),"просрочено",IF(INT(E289)=TODAY(),"сегодня",IF(INT(E289)=TODAY()+1,"завтра",TEXT(E289,"dd.mm"))))))</f>
        <v/>
      </c>
      <c r="G289" s="52" t="n"/>
      <c r="H289" s="36" t="inlineStr">
        <is>
          <t>79991997686</t>
        </is>
      </c>
      <c r="I289" s="53" t="n"/>
      <c r="J289" s="38">
        <f>IFERROR(MATCH(C289,'Справка'!$A$12:$A$21,0),99)</f>
        <v/>
      </c>
      <c r="K289" s="39">
        <f>HYPERLINK("https://wa.me/"&amp;H289&amp;"?text="&amp;ENCODEURL(T289),"✉ Написать")</f>
        <v/>
      </c>
      <c r="L289" s="39">
        <f>HYPERLINK("https://wa.me/"&amp;H289,"Открыть чат")</f>
        <v/>
      </c>
      <c r="M289" s="38" t="inlineStr">
        <is>
          <t>Нижний Новгород</t>
        </is>
      </c>
      <c r="N289" s="38" t="n"/>
      <c r="O289" s="38" t="n"/>
      <c r="P289" s="38" t="n"/>
      <c r="Q289" s="38" t="inlineStr">
        <is>
          <t>без сайта, WhatsApp не подтверждён</t>
        </is>
      </c>
      <c r="R289" s="38" t="n">
        <v>2</v>
      </c>
      <c r="S289" s="38" t="inlineStr">
        <is>
          <t>Нижегородская область</t>
        </is>
      </c>
      <c r="T289" s="38" t="inlineStr">
        <is>
          <t>Здравствуйте! Смотрел в 2ГИС, кто делает кровлю в Нижнем Новгороде, и нашёл «Баупрофис». Сайта в карточке нет.
Готов за вечер собрать сайт для «Баупрофис» и показать вам. Денег вперёд не беру. Собрать?</t>
        </is>
      </c>
      <c r="U289" s="38">
        <f>B289&amp;IF(D289&lt;&gt;""," · "&amp;D289,"")&amp;IF(F289&lt;&gt;"",CHAR(10)&amp;F289,"")</f>
        <v/>
      </c>
      <c r="V289" s="38">
        <f>IF(OR(F289="просрочено",F289="сегодня",F289="укажи дату",LEFT(F289,6)="молчит"),1,0)</f>
        <v/>
      </c>
    </row>
    <row r="290" ht="24" customHeight="1">
      <c r="A290" s="38" t="n">
        <v>289</v>
      </c>
      <c r="B290" s="32" t="inlineStr">
        <is>
          <t>Альянс-фк</t>
        </is>
      </c>
      <c r="C290" s="49" t="inlineStr">
        <is>
          <t>Очередь</t>
        </is>
      </c>
      <c r="D290" s="49" t="n"/>
      <c r="E290" s="50" t="n"/>
      <c r="F290" s="51">
        <f>IF(OR(C290="",C290="Очередь",C290="Клиент",C290="Отказ",C290="Не писать"),"",IF(E290="",IF(AND(C290="Отправлено",I290&lt;&gt;"",TODAY()-INT(I290)&gt;=3),"молчит "&amp;(TODAY()-INT(I290))&amp;" дн.",IF(OR(C290="Перезвонить",C290="Созвон"),"укажи дату","")),IF(INT(E290)&lt;TODAY(),"просрочено",IF(INT(E290)=TODAY(),"сегодня",IF(INT(E290)=TODAY()+1,"завтра",TEXT(E290,"dd.mm"))))))</f>
        <v/>
      </c>
      <c r="G290" s="52" t="n"/>
      <c r="H290" s="36" t="inlineStr">
        <is>
          <t>79200033901</t>
        </is>
      </c>
      <c r="I290" s="53" t="n"/>
      <c r="J290" s="38">
        <f>IFERROR(MATCH(C290,'Справка'!$A$12:$A$21,0),99)</f>
        <v/>
      </c>
      <c r="K290" s="39">
        <f>HYPERLINK("https://wa.me/"&amp;H290&amp;"?text="&amp;ENCODEURL(T290),"✉ Написать")</f>
        <v/>
      </c>
      <c r="L290" s="39">
        <f>HYPERLINK("https://wa.me/"&amp;H290,"Открыть чат")</f>
        <v/>
      </c>
      <c r="M290" s="38" t="inlineStr">
        <is>
          <t>Дзержинск</t>
        </is>
      </c>
      <c r="N290" s="38" t="n"/>
      <c r="O290" s="38" t="n"/>
      <c r="P290" s="38" t="n"/>
      <c r="Q290" s="38" t="inlineStr">
        <is>
          <t>без сайта, WhatsApp не подтверждён</t>
        </is>
      </c>
      <c r="R290" s="38" t="n">
        <v>2</v>
      </c>
      <c r="S290" s="38" t="inlineStr">
        <is>
          <t>Нижегородская область</t>
        </is>
      </c>
      <c r="T290" s="38" t="inlineStr">
        <is>
          <t>Здравствуйте! Нашёл вас в 2ГИС среди кровельных компаний в Дзержинске, а сайта в карточке не нашёл.
Могу собрать сайт под «Альянс-фк» за вечер и показать. Не понравится — ничего не должны. Сделать?</t>
        </is>
      </c>
      <c r="U290" s="38">
        <f>B290&amp;IF(D290&lt;&gt;""," · "&amp;D290,"")&amp;IF(F290&lt;&gt;"",CHAR(10)&amp;F290,"")</f>
        <v/>
      </c>
      <c r="V290" s="38">
        <f>IF(OR(F290="просрочено",F290="сегодня",F290="укажи дату",LEFT(F290,6)="молчит"),1,0)</f>
        <v/>
      </c>
    </row>
    <row r="291" ht="24" customHeight="1">
      <c r="A291" s="38" t="n">
        <v>290</v>
      </c>
      <c r="B291" s="32" t="inlineStr">
        <is>
          <t>Компания кровельных работ</t>
        </is>
      </c>
      <c r="C291" s="49" t="inlineStr">
        <is>
          <t>Очередь</t>
        </is>
      </c>
      <c r="D291" s="49" t="n"/>
      <c r="E291" s="50" t="n"/>
      <c r="F291" s="51">
        <f>IF(OR(C291="",C291="Очередь",C291="Клиент",C291="Отказ",C291="Не писать"),"",IF(E291="",IF(AND(C291="Отправлено",I291&lt;&gt;"",TODAY()-INT(I291)&gt;=3),"молчит "&amp;(TODAY()-INT(I291))&amp;" дн.",IF(OR(C291="Перезвонить",C291="Созвон"),"укажи дату","")),IF(INT(E291)&lt;TODAY(),"просрочено",IF(INT(E291)=TODAY(),"сегодня",IF(INT(E291)=TODAY()+1,"завтра",TEXT(E291,"dd.mm"))))))</f>
        <v/>
      </c>
      <c r="G291" s="52" t="n"/>
      <c r="H291" s="36" t="inlineStr">
        <is>
          <t>79202522470</t>
        </is>
      </c>
      <c r="I291" s="53" t="n"/>
      <c r="J291" s="38">
        <f>IFERROR(MATCH(C291,'Справка'!$A$12:$A$21,0),99)</f>
        <v/>
      </c>
      <c r="K291" s="39">
        <f>HYPERLINK("https://wa.me/"&amp;H291&amp;"?text="&amp;ENCODEURL(T291),"✉ Написать")</f>
        <v/>
      </c>
      <c r="L291" s="39">
        <f>HYPERLINK("https://wa.me/"&amp;H291,"Открыть чат")</f>
        <v/>
      </c>
      <c r="M291" s="38" t="inlineStr">
        <is>
          <t>Арзамас</t>
        </is>
      </c>
      <c r="N291" s="38" t="n"/>
      <c r="O291" s="38" t="n"/>
      <c r="P291" s="38" t="n"/>
      <c r="Q291" s="38" t="inlineStr">
        <is>
          <t>без сайта, WhatsApp не подтверждён</t>
        </is>
      </c>
      <c r="R291" s="38" t="n">
        <v>2</v>
      </c>
      <c r="S291" s="38" t="inlineStr">
        <is>
          <t>Нижегородская область</t>
        </is>
      </c>
      <c r="T291" s="38" t="inlineStr">
        <is>
          <t>Здравствуйте! Искал в 2ГИС кровельные компании в Арзамасе и наткнулся на вас. Сайта в карточке не увидел.
Могу за вечер собрать для «Компания кровельных работ» сайт и показать. Платить не нужно, пока не понравится. Собрать?</t>
        </is>
      </c>
      <c r="U291" s="38">
        <f>B291&amp;IF(D291&lt;&gt;""," · "&amp;D291,"")&amp;IF(F291&lt;&gt;"",CHAR(10)&amp;F291,"")</f>
        <v/>
      </c>
      <c r="V291" s="38">
        <f>IF(OR(F291="просрочено",F291="сегодня",F291="укажи дату",LEFT(F291,6)="молчит"),1,0)</f>
        <v/>
      </c>
    </row>
    <row r="292" ht="24" customHeight="1">
      <c r="A292" s="38" t="n">
        <v>291</v>
      </c>
      <c r="B292" s="32" t="inlineStr">
        <is>
          <t>Эверест</t>
        </is>
      </c>
      <c r="C292" s="49" t="inlineStr">
        <is>
          <t>Очередь</t>
        </is>
      </c>
      <c r="D292" s="49" t="n"/>
      <c r="E292" s="50" t="n"/>
      <c r="F292" s="51">
        <f>IF(OR(C292="",C292="Очередь",C292="Клиент",C292="Отказ",C292="Не писать"),"",IF(E292="",IF(AND(C292="Отправлено",I292&lt;&gt;"",TODAY()-INT(I292)&gt;=3),"молчит "&amp;(TODAY()-INT(I292))&amp;" дн.",IF(OR(C292="Перезвонить",C292="Созвон"),"укажи дату","")),IF(INT(E292)&lt;TODAY(),"просрочено",IF(INT(E292)=TODAY(),"сегодня",IF(INT(E292)=TODAY()+1,"завтра",TEXT(E292,"dd.mm"))))))</f>
        <v/>
      </c>
      <c r="G292" s="52" t="n"/>
      <c r="H292" s="36" t="inlineStr">
        <is>
          <t>79868227377</t>
        </is>
      </c>
      <c r="I292" s="53" t="n"/>
      <c r="J292" s="38">
        <f>IFERROR(MATCH(C292,'Справка'!$A$12:$A$21,0),99)</f>
        <v/>
      </c>
      <c r="K292" s="39">
        <f>HYPERLINK("https://wa.me/"&amp;H292&amp;"?text="&amp;ENCODEURL(T292),"✉ Написать")</f>
        <v/>
      </c>
      <c r="L292" s="39">
        <f>HYPERLINK("https://wa.me/"&amp;H292,"Открыть чат")</f>
        <v/>
      </c>
      <c r="M292" s="38" t="inlineStr">
        <is>
          <t>Казань</t>
        </is>
      </c>
      <c r="N292" s="38" t="n"/>
      <c r="O292" s="38" t="n"/>
      <c r="P292" s="38" t="n"/>
      <c r="Q292" s="38" t="inlineStr">
        <is>
          <t>без сайта, WhatsApp не подтверждён</t>
        </is>
      </c>
      <c r="R292" s="38" t="n">
        <v>2</v>
      </c>
      <c r="S292" s="38" t="inlineStr">
        <is>
          <t>Республика Татарстан</t>
        </is>
      </c>
      <c r="T292" s="38" t="inlineStr">
        <is>
          <t>Здравствуйте! Смотрел в 2ГИС, кто делает кровлю в Казани, и нашёл «Эверест». Сайта в карточке нет.
Готов за вечер собрать сайт для «Эверест» и показать вам. Денег вперёд не беру. Собрать?</t>
        </is>
      </c>
      <c r="U292" s="38">
        <f>B292&amp;IF(D292&lt;&gt;""," · "&amp;D292,"")&amp;IF(F292&lt;&gt;"",CHAR(10)&amp;F292,"")</f>
        <v/>
      </c>
      <c r="V292" s="38">
        <f>IF(OR(F292="просрочено",F292="сегодня",F292="укажи дату",LEFT(F292,6)="молчит"),1,0)</f>
        <v/>
      </c>
    </row>
    <row r="293" ht="24" customHeight="1">
      <c r="A293" s="38" t="n">
        <v>292</v>
      </c>
      <c r="B293" s="32" t="inlineStr">
        <is>
          <t>Кровля+Крепеж</t>
        </is>
      </c>
      <c r="C293" s="49" t="inlineStr">
        <is>
          <t>Очередь</t>
        </is>
      </c>
      <c r="D293" s="49" t="n"/>
      <c r="E293" s="50" t="n"/>
      <c r="F293" s="51">
        <f>IF(OR(C293="",C293="Очередь",C293="Клиент",C293="Отказ",C293="Не писать"),"",IF(E293="",IF(AND(C293="Отправлено",I293&lt;&gt;"",TODAY()-INT(I293)&gt;=3),"молчит "&amp;(TODAY()-INT(I293))&amp;" дн.",IF(OR(C293="Перезвонить",C293="Созвон"),"укажи дату","")),IF(INT(E293)&lt;TODAY(),"просрочено",IF(INT(E293)=TODAY(),"сегодня",IF(INT(E293)=TODAY()+1,"завтра",TEXT(E293,"dd.mm"))))))</f>
        <v/>
      </c>
      <c r="G293" s="52" t="n"/>
      <c r="H293" s="36" t="inlineStr">
        <is>
          <t>79053765461</t>
        </is>
      </c>
      <c r="I293" s="53" t="n"/>
      <c r="J293" s="38">
        <f>IFERROR(MATCH(C293,'Справка'!$A$12:$A$21,0),99)</f>
        <v/>
      </c>
      <c r="K293" s="39">
        <f>HYPERLINK("https://wa.me/"&amp;H293&amp;"?text="&amp;ENCODEURL(T293),"✉ Написать")</f>
        <v/>
      </c>
      <c r="L293" s="39">
        <f>HYPERLINK("https://wa.me/"&amp;H293,"Открыть чат")</f>
        <v/>
      </c>
      <c r="M293" s="38" t="inlineStr">
        <is>
          <t>пос. Октябрьский</t>
        </is>
      </c>
      <c r="N293" s="38" t="n"/>
      <c r="O293" s="38" t="n"/>
      <c r="P293" s="38" t="n"/>
      <c r="Q293" s="38" t="inlineStr">
        <is>
          <t>без сайта, WhatsApp не подтверждён</t>
        </is>
      </c>
      <c r="R293" s="38" t="n">
        <v>2</v>
      </c>
      <c r="S293" s="38" t="inlineStr">
        <is>
          <t>Республика Татарстан</t>
        </is>
      </c>
      <c r="T293" s="38" t="inlineStr">
        <is>
          <t>Здравствуйте! Нашёл вас в 2ГИС среди кровельных компаний в Татарстане, а сайта в карточке не нашёл.
Могу собрать сайт под «Кровля+Крепеж» за вечер и показать. Не понравится — ничего не должны. Сделать?</t>
        </is>
      </c>
      <c r="U293" s="38">
        <f>B293&amp;IF(D293&lt;&gt;""," · "&amp;D293,"")&amp;IF(F293&lt;&gt;"",CHAR(10)&amp;F293,"")</f>
        <v/>
      </c>
      <c r="V293" s="38">
        <f>IF(OR(F293="просрочено",F293="сегодня",F293="укажи дату",LEFT(F293,6)="молчит"),1,0)</f>
        <v/>
      </c>
    </row>
    <row r="294" ht="24" customHeight="1">
      <c r="A294" s="38" t="n">
        <v>293</v>
      </c>
      <c r="B294" s="32" t="inlineStr">
        <is>
          <t>Памир</t>
        </is>
      </c>
      <c r="C294" s="49" t="inlineStr">
        <is>
          <t>Очередь</t>
        </is>
      </c>
      <c r="D294" s="49" t="n"/>
      <c r="E294" s="50" t="n"/>
      <c r="F294" s="51">
        <f>IF(OR(C294="",C294="Очередь",C294="Клиент",C294="Отказ",C294="Не писать"),"",IF(E294="",IF(AND(C294="Отправлено",I294&lt;&gt;"",TODAY()-INT(I294)&gt;=3),"молчит "&amp;(TODAY()-INT(I294))&amp;" дн.",IF(OR(C294="Перезвонить",C294="Созвон"),"укажи дату","")),IF(INT(E294)&lt;TODAY(),"просрочено",IF(INT(E294)=TODAY(),"сегодня",IF(INT(E294)=TODAY()+1,"завтра",TEXT(E294,"dd.mm"))))))</f>
        <v/>
      </c>
      <c r="G294" s="52" t="n"/>
      <c r="H294" s="36" t="inlineStr">
        <is>
          <t>79133351777</t>
        </is>
      </c>
      <c r="I294" s="53" t="n"/>
      <c r="J294" s="38">
        <f>IFERROR(MATCH(C294,'Справка'!$A$12:$A$21,0),99)</f>
        <v/>
      </c>
      <c r="K294" s="39">
        <f>HYPERLINK("https://wa.me/"&amp;H294&amp;"?text="&amp;ENCODEURL(T294),"✉ Написать")</f>
        <v/>
      </c>
      <c r="L294" s="39">
        <f>HYPERLINK("https://wa.me/"&amp;H294,"Открыть чат")</f>
        <v/>
      </c>
      <c r="M294" s="38" t="inlineStr">
        <is>
          <t>Ростов-на-Дону</t>
        </is>
      </c>
      <c r="N294" s="38" t="n"/>
      <c r="O294" s="38" t="n"/>
      <c r="P294" s="38" t="n"/>
      <c r="Q294" s="38" t="inlineStr">
        <is>
          <t>без сайта, WhatsApp не подтверждён</t>
        </is>
      </c>
      <c r="R294" s="38" t="n">
        <v>2</v>
      </c>
      <c r="S294" s="38" t="inlineStr">
        <is>
          <t>Ростовская область</t>
        </is>
      </c>
      <c r="T294" s="38" t="inlineStr">
        <is>
          <t>Здравствуйте! Искал в 2ГИС кровельные компании в Ростове-на-Дону и наткнулся на вас. Сайта в карточке не увидел.
Могу за вечер собрать для «Памир» сайт и показать. Платить не нужно, пока не понравится. Собрать?</t>
        </is>
      </c>
      <c r="U294" s="38">
        <f>B294&amp;IF(D294&lt;&gt;""," · "&amp;D294,"")&amp;IF(F294&lt;&gt;"",CHAR(10)&amp;F294,"")</f>
        <v/>
      </c>
      <c r="V294" s="38">
        <f>IF(OR(F294="просрочено",F294="сегодня",F294="укажи дату",LEFT(F294,6)="молчит"),1,0)</f>
        <v/>
      </c>
    </row>
    <row r="295" ht="24" customHeight="1">
      <c r="A295" s="38" t="n">
        <v>294</v>
      </c>
      <c r="B295" s="32" t="inlineStr">
        <is>
          <t>ДонСтройФасад</t>
        </is>
      </c>
      <c r="C295" s="49" t="inlineStr">
        <is>
          <t>Очередь</t>
        </is>
      </c>
      <c r="D295" s="49" t="n"/>
      <c r="E295" s="50" t="n"/>
      <c r="F295" s="51">
        <f>IF(OR(C295="",C295="Очередь",C295="Клиент",C295="Отказ",C295="Не писать"),"",IF(E295="",IF(AND(C295="Отправлено",I295&lt;&gt;"",TODAY()-INT(I295)&gt;=3),"молчит "&amp;(TODAY()-INT(I295))&amp;" дн.",IF(OR(C295="Перезвонить",C295="Созвон"),"укажи дату","")),IF(INT(E295)&lt;TODAY(),"просрочено",IF(INT(E295)=TODAY(),"сегодня",IF(INT(E295)=TODAY()+1,"завтра",TEXT(E295,"dd.mm"))))))</f>
        <v/>
      </c>
      <c r="G295" s="52" t="n"/>
      <c r="H295" s="36" t="inlineStr">
        <is>
          <t>79198765517</t>
        </is>
      </c>
      <c r="I295" s="53" t="n"/>
      <c r="J295" s="38">
        <f>IFERROR(MATCH(C295,'Справка'!$A$12:$A$21,0),99)</f>
        <v/>
      </c>
      <c r="K295" s="39">
        <f>HYPERLINK("https://wa.me/"&amp;H295&amp;"?text="&amp;ENCODEURL(T295),"✉ Написать")</f>
        <v/>
      </c>
      <c r="L295" s="39">
        <f>HYPERLINK("https://wa.me/"&amp;H295,"Открыть чат")</f>
        <v/>
      </c>
      <c r="M295" s="38" t="inlineStr">
        <is>
          <t>Ростов-на-Дону</t>
        </is>
      </c>
      <c r="N295" s="38" t="n"/>
      <c r="O295" s="38" t="n"/>
      <c r="P295" s="38" t="n"/>
      <c r="Q295" s="38" t="inlineStr">
        <is>
          <t>без сайта, WhatsApp не подтверждён</t>
        </is>
      </c>
      <c r="R295" s="38" t="n">
        <v>2</v>
      </c>
      <c r="S295" s="38" t="inlineStr">
        <is>
          <t>Ростовская область</t>
        </is>
      </c>
      <c r="T295" s="38" t="inlineStr">
        <is>
          <t>Здравствуйте! Смотрел в 2ГИС, кто делает кровлю в Ростове-на-Дону, и нашёл «ДонСтройФасад». Сайта в карточке нет.
Готов за вечер собрать сайт для «ДонСтройФасад» и показать вам. Денег вперёд не беру. Собрать?</t>
        </is>
      </c>
      <c r="U295" s="38">
        <f>B295&amp;IF(D295&lt;&gt;""," · "&amp;D295,"")&amp;IF(F295&lt;&gt;"",CHAR(10)&amp;F295,"")</f>
        <v/>
      </c>
      <c r="V295" s="38">
        <f>IF(OR(F295="просрочено",F295="сегодня",F295="укажи дату",LEFT(F295,6)="молчит"),1,0)</f>
        <v/>
      </c>
    </row>
    <row r="296" ht="24" customHeight="1">
      <c r="A296" s="38" t="n">
        <v>295</v>
      </c>
      <c r="B296" s="32" t="inlineStr">
        <is>
          <t>Стройдоставка</t>
        </is>
      </c>
      <c r="C296" s="49" t="inlineStr">
        <is>
          <t>Очередь</t>
        </is>
      </c>
      <c r="D296" s="49" t="n"/>
      <c r="E296" s="50" t="n"/>
      <c r="F296" s="51">
        <f>IF(OR(C296="",C296="Очередь",C296="Клиент",C296="Отказ",C296="Не писать"),"",IF(E296="",IF(AND(C296="Отправлено",I296&lt;&gt;"",TODAY()-INT(I296)&gt;=3),"молчит "&amp;(TODAY()-INT(I296))&amp;" дн.",IF(OR(C296="Перезвонить",C296="Созвон"),"укажи дату","")),IF(INT(E296)&lt;TODAY(),"просрочено",IF(INT(E296)=TODAY(),"сегодня",IF(INT(E296)=TODAY()+1,"завтра",TEXT(E296,"dd.mm"))))))</f>
        <v/>
      </c>
      <c r="G296" s="52" t="n"/>
      <c r="H296" s="36" t="inlineStr">
        <is>
          <t>79185923144</t>
        </is>
      </c>
      <c r="I296" s="53" t="n"/>
      <c r="J296" s="38">
        <f>IFERROR(MATCH(C296,'Справка'!$A$12:$A$21,0),99)</f>
        <v/>
      </c>
      <c r="K296" s="39">
        <f>HYPERLINK("https://wa.me/"&amp;H296&amp;"?text="&amp;ENCODEURL(T296),"✉ Написать")</f>
        <v/>
      </c>
      <c r="L296" s="39">
        <f>HYPERLINK("https://wa.me/"&amp;H296,"Открыть чат")</f>
        <v/>
      </c>
      <c r="M296" s="38" t="inlineStr">
        <is>
          <t>Ростов-на-Дону</t>
        </is>
      </c>
      <c r="N296" s="38" t="n"/>
      <c r="O296" s="38" t="n"/>
      <c r="P296" s="38" t="n"/>
      <c r="Q296" s="38" t="inlineStr">
        <is>
          <t>без сайта, WhatsApp не подтверждён</t>
        </is>
      </c>
      <c r="R296" s="38" t="n">
        <v>2</v>
      </c>
      <c r="S296" s="38" t="inlineStr">
        <is>
          <t>Ростовская область</t>
        </is>
      </c>
      <c r="T296" s="38" t="inlineStr">
        <is>
          <t>Здравствуйте! Нашёл вас в 2ГИС среди кровельных компаний в Ростове-на-Дону, а сайта в карточке не нашёл.
Могу собрать сайт под «Стройдоставка» за вечер и показать. Не понравится — ничего не должны. Сделать?</t>
        </is>
      </c>
      <c r="U296" s="38">
        <f>B296&amp;IF(D296&lt;&gt;""," · "&amp;D296,"")&amp;IF(F296&lt;&gt;"",CHAR(10)&amp;F296,"")</f>
        <v/>
      </c>
      <c r="V296" s="38">
        <f>IF(OR(F296="просрочено",F296="сегодня",F296="укажи дату",LEFT(F296,6)="молчит"),1,0)</f>
        <v/>
      </c>
    </row>
    <row r="297" ht="24" customHeight="1">
      <c r="A297" s="38" t="n">
        <v>296</v>
      </c>
      <c r="B297" s="32" t="inlineStr">
        <is>
          <t>Архимед</t>
        </is>
      </c>
      <c r="C297" s="49" t="inlineStr">
        <is>
          <t>Очередь</t>
        </is>
      </c>
      <c r="D297" s="49" t="n"/>
      <c r="E297" s="50" t="n"/>
      <c r="F297" s="51">
        <f>IF(OR(C297="",C297="Очередь",C297="Клиент",C297="Отказ",C297="Не писать"),"",IF(E297="",IF(AND(C297="Отправлено",I297&lt;&gt;"",TODAY()-INT(I297)&gt;=3),"молчит "&amp;(TODAY()-INT(I297))&amp;" дн.",IF(OR(C297="Перезвонить",C297="Созвон"),"укажи дату","")),IF(INT(E297)&lt;TODAY(),"просрочено",IF(INT(E297)=TODAY(),"сегодня",IF(INT(E297)=TODAY()+1,"завтра",TEXT(E297,"dd.mm"))))))</f>
        <v/>
      </c>
      <c r="G297" s="52" t="n"/>
      <c r="H297" s="36" t="inlineStr">
        <is>
          <t>79287725000</t>
        </is>
      </c>
      <c r="I297" s="53" t="n"/>
      <c r="J297" s="38">
        <f>IFERROR(MATCH(C297,'Справка'!$A$12:$A$21,0),99)</f>
        <v/>
      </c>
      <c r="K297" s="39">
        <f>HYPERLINK("https://wa.me/"&amp;H297&amp;"?text="&amp;ENCODEURL(T297),"✉ Написать")</f>
        <v/>
      </c>
      <c r="L297" s="39">
        <f>HYPERLINK("https://wa.me/"&amp;H297,"Открыть чат")</f>
        <v/>
      </c>
      <c r="M297" s="38" t="inlineStr">
        <is>
          <t>с. Николаевка</t>
        </is>
      </c>
      <c r="N297" s="38" t="n"/>
      <c r="O297" s="38" t="n"/>
      <c r="P297" s="38" t="n"/>
      <c r="Q297" s="38" t="inlineStr">
        <is>
          <t>без сайта, WhatsApp не подтверждён</t>
        </is>
      </c>
      <c r="R297" s="38" t="n">
        <v>2</v>
      </c>
      <c r="S297" s="38" t="inlineStr">
        <is>
          <t>Ростовская область</t>
        </is>
      </c>
      <c r="T297" s="38" t="inlineStr">
        <is>
          <t>Здравствуйте! Искал в 2ГИС кровельные компании в Ростовской области и наткнулся на вас. Сайта в карточке не увидел.
Могу за вечер собрать для «Архимед» сайт и показать. Платить не нужно, пока не понравится. Собрать?</t>
        </is>
      </c>
      <c r="U297" s="38">
        <f>B297&amp;IF(D297&lt;&gt;""," · "&amp;D297,"")&amp;IF(F297&lt;&gt;"",CHAR(10)&amp;F297,"")</f>
        <v/>
      </c>
      <c r="V297" s="38">
        <f>IF(OR(F297="просрочено",F297="сегодня",F297="укажи дату",LEFT(F297,6)="молчит"),1,0)</f>
        <v/>
      </c>
    </row>
    <row r="298" ht="24" customHeight="1">
      <c r="A298" s="38" t="n">
        <v>297</v>
      </c>
      <c r="B298" s="32" t="inlineStr">
        <is>
          <t>Промкомплектсервис</t>
        </is>
      </c>
      <c r="C298" s="49" t="inlineStr">
        <is>
          <t>Очередь</t>
        </is>
      </c>
      <c r="D298" s="49" t="n"/>
      <c r="E298" s="50" t="n"/>
      <c r="F298" s="51">
        <f>IF(OR(C298="",C298="Очередь",C298="Клиент",C298="Отказ",C298="Не писать"),"",IF(E298="",IF(AND(C298="Отправлено",I298&lt;&gt;"",TODAY()-INT(I298)&gt;=3),"молчит "&amp;(TODAY()-INT(I298))&amp;" дн.",IF(OR(C298="Перезвонить",C298="Созвон"),"укажи дату","")),IF(INT(E298)&lt;TODAY(),"просрочено",IF(INT(E298)=TODAY(),"сегодня",IF(INT(E298)=TODAY()+1,"завтра",TEXT(E298,"dd.mm"))))))</f>
        <v/>
      </c>
      <c r="G298" s="52" t="n"/>
      <c r="H298" s="36" t="inlineStr">
        <is>
          <t>79034615465</t>
        </is>
      </c>
      <c r="I298" s="53" t="n"/>
      <c r="J298" s="38">
        <f>IFERROR(MATCH(C298,'Справка'!$A$12:$A$21,0),99)</f>
        <v/>
      </c>
      <c r="K298" s="39">
        <f>HYPERLINK("https://wa.me/"&amp;H298&amp;"?text="&amp;ENCODEURL(T298),"✉ Написать")</f>
        <v/>
      </c>
      <c r="L298" s="39">
        <f>HYPERLINK("https://wa.me/"&amp;H298,"Открыть чат")</f>
        <v/>
      </c>
      <c r="M298" s="38" t="inlineStr">
        <is>
          <t>Каменск-Шахтинский</t>
        </is>
      </c>
      <c r="N298" s="38" t="n"/>
      <c r="O298" s="38" t="n"/>
      <c r="P298" s="38" t="n"/>
      <c r="Q298" s="38" t="inlineStr">
        <is>
          <t>без сайта, WhatsApp не подтверждён</t>
        </is>
      </c>
      <c r="R298" s="38" t="n">
        <v>2</v>
      </c>
      <c r="S298" s="38" t="inlineStr">
        <is>
          <t>Ростовская область</t>
        </is>
      </c>
      <c r="T298" s="38" t="inlineStr">
        <is>
          <t>Здравствуйте! Смотрел в 2ГИС, кто делает кровлю в Каменске-Шахтинском, и нашёл «Промкомплектсервис». Сайта в карточке нет.
Готов за вечер собрать сайт для «Промкомплектсервис» и показать вам. Денег вперёд не беру. Собрать?</t>
        </is>
      </c>
      <c r="U298" s="38">
        <f>B298&amp;IF(D298&lt;&gt;""," · "&amp;D298,"")&amp;IF(F298&lt;&gt;"",CHAR(10)&amp;F298,"")</f>
        <v/>
      </c>
      <c r="V298" s="38">
        <f>IF(OR(F298="просрочено",F298="сегодня",F298="укажи дату",LEFT(F298,6)="молчит"),1,0)</f>
        <v/>
      </c>
    </row>
    <row r="299" ht="24" customHeight="1">
      <c r="A299" s="38" t="n">
        <v>298</v>
      </c>
      <c r="B299" s="32" t="inlineStr">
        <is>
          <t>Krovla-visota</t>
        </is>
      </c>
      <c r="C299" s="49" t="inlineStr">
        <is>
          <t>Очередь</t>
        </is>
      </c>
      <c r="D299" s="49" t="n"/>
      <c r="E299" s="50" t="n"/>
      <c r="F299" s="51">
        <f>IF(OR(C299="",C299="Очередь",C299="Клиент",C299="Отказ",C299="Не писать"),"",IF(E299="",IF(AND(C299="Отправлено",I299&lt;&gt;"",TODAY()-INT(I299)&gt;=3),"молчит "&amp;(TODAY()-INT(I299))&amp;" дн.",IF(OR(C299="Перезвонить",C299="Созвон"),"укажи дату","")),IF(INT(E299)&lt;TODAY(),"просрочено",IF(INT(E299)=TODAY(),"сегодня",IF(INT(E299)=TODAY()+1,"завтра",TEXT(E299,"dd.mm"))))))</f>
        <v/>
      </c>
      <c r="G299" s="52" t="n"/>
      <c r="H299" s="36" t="inlineStr">
        <is>
          <t>79508626029</t>
        </is>
      </c>
      <c r="I299" s="53" t="n"/>
      <c r="J299" s="38">
        <f>IFERROR(MATCH(C299,'Справка'!$A$12:$A$21,0),99)</f>
        <v/>
      </c>
      <c r="K299" s="39">
        <f>HYPERLINK("https://wa.me/"&amp;H299&amp;"?text="&amp;ENCODEURL(T299),"✉ Написать")</f>
        <v/>
      </c>
      <c r="L299" s="39">
        <f>HYPERLINK("https://wa.me/"&amp;H299,"Открыть чат")</f>
        <v/>
      </c>
      <c r="M299" s="38" t="inlineStr">
        <is>
          <t>Каменск-Шахтинский</t>
        </is>
      </c>
      <c r="N299" s="38" t="n"/>
      <c r="O299" s="38" t="n"/>
      <c r="P299" s="38" t="n"/>
      <c r="Q299" s="38" t="inlineStr">
        <is>
          <t>без сайта, WhatsApp не подтверждён</t>
        </is>
      </c>
      <c r="R299" s="38" t="n">
        <v>2</v>
      </c>
      <c r="S299" s="38" t="inlineStr">
        <is>
          <t>Ростовская область</t>
        </is>
      </c>
      <c r="T299" s="38" t="inlineStr">
        <is>
          <t>Здравствуйте! Нашёл вас в 2ГИС среди кровельных компаний в Каменске-Шахтинском, а сайта в карточке не нашёл.
Могу собрать сайт под «Krovla-visota» за вечер и показать. Не понравится — ничего не должны. Сделать?</t>
        </is>
      </c>
      <c r="U299" s="38">
        <f>B299&amp;IF(D299&lt;&gt;""," · "&amp;D299,"")&amp;IF(F299&lt;&gt;"",CHAR(10)&amp;F299,"")</f>
        <v/>
      </c>
      <c r="V299" s="38">
        <f>IF(OR(F299="просрочено",F299="сегодня",F299="укажи дату",LEFT(F299,6)="молчит"),1,0)</f>
        <v/>
      </c>
    </row>
    <row r="300" ht="24" customHeight="1">
      <c r="A300" s="38" t="n">
        <v>299</v>
      </c>
      <c r="B300" s="32" t="inlineStr">
        <is>
          <t>Объединение кровельщиков г. Сальск</t>
        </is>
      </c>
      <c r="C300" s="49" t="inlineStr">
        <is>
          <t>Очередь</t>
        </is>
      </c>
      <c r="D300" s="49" t="n"/>
      <c r="E300" s="50" t="n"/>
      <c r="F300" s="51">
        <f>IF(OR(C300="",C300="Очередь",C300="Клиент",C300="Отказ",C300="Не писать"),"",IF(E300="",IF(AND(C300="Отправлено",I300&lt;&gt;"",TODAY()-INT(I300)&gt;=3),"молчит "&amp;(TODAY()-INT(I300))&amp;" дн.",IF(OR(C300="Перезвонить",C300="Созвон"),"укажи дату","")),IF(INT(E300)&lt;TODAY(),"просрочено",IF(INT(E300)=TODAY(),"сегодня",IF(INT(E300)=TODAY()+1,"завтра",TEXT(E300,"dd.mm"))))))</f>
        <v/>
      </c>
      <c r="G300" s="52" t="n"/>
      <c r="H300" s="36" t="inlineStr">
        <is>
          <t>79081751504</t>
        </is>
      </c>
      <c r="I300" s="53" t="n"/>
      <c r="J300" s="38">
        <f>IFERROR(MATCH(C300,'Справка'!$A$12:$A$21,0),99)</f>
        <v/>
      </c>
      <c r="K300" s="39">
        <f>HYPERLINK("https://wa.me/"&amp;H300&amp;"?text="&amp;ENCODEURL(T300),"✉ Написать")</f>
        <v/>
      </c>
      <c r="L300" s="39">
        <f>HYPERLINK("https://wa.me/"&amp;H300,"Открыть чат")</f>
        <v/>
      </c>
      <c r="M300" s="38" t="inlineStr">
        <is>
          <t>Сальск</t>
        </is>
      </c>
      <c r="N300" s="38" t="n"/>
      <c r="O300" s="38" t="n"/>
      <c r="P300" s="38" t="n"/>
      <c r="Q300" s="38" t="inlineStr">
        <is>
          <t>без сайта, WhatsApp не подтверждён</t>
        </is>
      </c>
      <c r="R300" s="38" t="n">
        <v>2</v>
      </c>
      <c r="S300" s="38" t="inlineStr">
        <is>
          <t>Ростовская область</t>
        </is>
      </c>
      <c r="T300" s="38" t="inlineStr">
        <is>
          <t>Здравствуйте! Искал в 2ГИС кровельные компании в Сальске и наткнулся на вас. Сайта в карточке не увидел.
Могу за вечер собрать для «Объединение кровельщиков г. Сальск» сайт и показать. Платить не нужно, пока не понравится. Собрать?</t>
        </is>
      </c>
      <c r="U300" s="38">
        <f>B300&amp;IF(D300&lt;&gt;""," · "&amp;D300,"")&amp;IF(F300&lt;&gt;"",CHAR(10)&amp;F300,"")</f>
        <v/>
      </c>
      <c r="V300" s="38">
        <f>IF(OR(F300="просрочено",F300="сегодня",F300="укажи дату",LEFT(F300,6)="молчит"),1,0)</f>
        <v/>
      </c>
    </row>
    <row r="301" ht="24" customHeight="1">
      <c r="A301" s="38" t="n">
        <v>300</v>
      </c>
      <c r="B301" s="32" t="inlineStr">
        <is>
          <t>КупиДом</t>
        </is>
      </c>
      <c r="C301" s="49" t="inlineStr">
        <is>
          <t>Очередь</t>
        </is>
      </c>
      <c r="D301" s="49" t="n"/>
      <c r="E301" s="50" t="n"/>
      <c r="F301" s="51">
        <f>IF(OR(C301="",C301="Очередь",C301="Клиент",C301="Отказ",C301="Не писать"),"",IF(E301="",IF(AND(C301="Отправлено",I301&lt;&gt;"",TODAY()-INT(I301)&gt;=3),"молчит "&amp;(TODAY()-INT(I301))&amp;" дн.",IF(OR(C301="Перезвонить",C301="Созвон"),"укажи дату","")),IF(INT(E301)&lt;TODAY(),"просрочено",IF(INT(E301)=TODAY(),"сегодня",IF(INT(E301)=TODAY()+1,"завтра",TEXT(E301,"dd.mm"))))))</f>
        <v/>
      </c>
      <c r="G301" s="52" t="n"/>
      <c r="H301" s="36" t="inlineStr">
        <is>
          <t>79608145016</t>
        </is>
      </c>
      <c r="I301" s="53" t="n"/>
      <c r="J301" s="38">
        <f>IFERROR(MATCH(C301,'Справка'!$A$12:$A$21,0),99)</f>
        <v/>
      </c>
      <c r="K301" s="39">
        <f>HYPERLINK("https://wa.me/"&amp;H301&amp;"?text="&amp;ENCODEURL(T301),"✉ Написать")</f>
        <v/>
      </c>
      <c r="L301" s="39">
        <f>HYPERLINK("https://wa.me/"&amp;H301,"Открыть чат")</f>
        <v/>
      </c>
      <c r="M301" s="38" t="inlineStr">
        <is>
          <t>Самара</t>
        </is>
      </c>
      <c r="N301" s="38" t="n">
        <v>5</v>
      </c>
      <c r="O301" s="38" t="n">
        <v>2</v>
      </c>
      <c r="P301" s="38" t="n"/>
      <c r="Q301" s="38" t="inlineStr">
        <is>
          <t>без сайта, WhatsApp не подтверждён</t>
        </is>
      </c>
      <c r="R301" s="38" t="n">
        <v>2</v>
      </c>
      <c r="S301" s="38" t="inlineStr">
        <is>
          <t>Самарская область</t>
        </is>
      </c>
      <c r="T301" s="38" t="inlineStr">
        <is>
          <t>Здравствуйте! Смотрел в 2ГИС, кто делает кровлю в Самаре, и нашёл «КупиДом». Сайта в карточке нет.
Готов за вечер собрать сайт для «КупиДом» и показать вам. Денег вперёд не беру. Собрать?</t>
        </is>
      </c>
      <c r="U301" s="38">
        <f>B301&amp;IF(D301&lt;&gt;""," · "&amp;D301,"")&amp;IF(F301&lt;&gt;"",CHAR(10)&amp;F301,"")</f>
        <v/>
      </c>
      <c r="V301" s="38">
        <f>IF(OR(F301="просрочено",F301="сегодня",F301="укажи дату",LEFT(F301,6)="молчит"),1,0)</f>
        <v/>
      </c>
    </row>
    <row r="302" ht="24" customHeight="1">
      <c r="A302" s="38" t="n">
        <v>301</v>
      </c>
      <c r="B302" s="32" t="inlineStr">
        <is>
          <t>Янис</t>
        </is>
      </c>
      <c r="C302" s="49" t="inlineStr">
        <is>
          <t>Очередь</t>
        </is>
      </c>
      <c r="D302" s="49" t="n"/>
      <c r="E302" s="50" t="n"/>
      <c r="F302" s="51">
        <f>IF(OR(C302="",C302="Очередь",C302="Клиент",C302="Отказ",C302="Не писать"),"",IF(E302="",IF(AND(C302="Отправлено",I302&lt;&gt;"",TODAY()-INT(I302)&gt;=3),"молчит "&amp;(TODAY()-INT(I302))&amp;" дн.",IF(OR(C302="Перезвонить",C302="Созвон"),"укажи дату","")),IF(INT(E302)&lt;TODAY(),"просрочено",IF(INT(E302)=TODAY(),"сегодня",IF(INT(E302)=TODAY()+1,"завтра",TEXT(E302,"dd.mm"))))))</f>
        <v/>
      </c>
      <c r="G302" s="52" t="n"/>
      <c r="H302" s="36" t="inlineStr">
        <is>
          <t>79371877816</t>
        </is>
      </c>
      <c r="I302" s="53" t="n"/>
      <c r="J302" s="38">
        <f>IFERROR(MATCH(C302,'Справка'!$A$12:$A$21,0),99)</f>
        <v/>
      </c>
      <c r="K302" s="39">
        <f>HYPERLINK("https://wa.me/"&amp;H302&amp;"?text="&amp;ENCODEURL(T302),"✉ Написать")</f>
        <v/>
      </c>
      <c r="L302" s="39">
        <f>HYPERLINK("https://wa.me/"&amp;H302,"Открыть чат")</f>
        <v/>
      </c>
      <c r="M302" s="38" t="inlineStr">
        <is>
          <t>Самара</t>
        </is>
      </c>
      <c r="N302" s="38" t="n"/>
      <c r="O302" s="38" t="n"/>
      <c r="P302" s="38" t="n"/>
      <c r="Q302" s="38" t="inlineStr">
        <is>
          <t>без сайта, WhatsApp не подтверждён</t>
        </is>
      </c>
      <c r="R302" s="38" t="n">
        <v>2</v>
      </c>
      <c r="S302" s="38" t="inlineStr">
        <is>
          <t>Самарская область</t>
        </is>
      </c>
      <c r="T302" s="38" t="inlineStr">
        <is>
          <t>Здравствуйте! Нашёл вас в 2ГИС среди кровельных компаний в Самаре, а сайта в карточке не нашёл.
Могу собрать сайт под «Янис» за вечер и показать. Не понравится — ничего не должны. Сделать?</t>
        </is>
      </c>
      <c r="U302" s="38">
        <f>B302&amp;IF(D302&lt;&gt;""," · "&amp;D302,"")&amp;IF(F302&lt;&gt;"",CHAR(10)&amp;F302,"")</f>
        <v/>
      </c>
      <c r="V302" s="38">
        <f>IF(OR(F302="просрочено",F302="сегодня",F302="укажи дату",LEFT(F302,6)="молчит"),1,0)</f>
        <v/>
      </c>
    </row>
    <row r="303" ht="24" customHeight="1">
      <c r="A303" s="38" t="n">
        <v>302</v>
      </c>
      <c r="B303" s="32" t="inlineStr">
        <is>
          <t>ФК Строй</t>
        </is>
      </c>
      <c r="C303" s="49" t="inlineStr">
        <is>
          <t>Очередь</t>
        </is>
      </c>
      <c r="D303" s="49" t="n"/>
      <c r="E303" s="50" t="n"/>
      <c r="F303" s="51">
        <f>IF(OR(C303="",C303="Очередь",C303="Клиент",C303="Отказ",C303="Не писать"),"",IF(E303="",IF(AND(C303="Отправлено",I303&lt;&gt;"",TODAY()-INT(I303)&gt;=3),"молчит "&amp;(TODAY()-INT(I303))&amp;" дн.",IF(OR(C303="Перезвонить",C303="Созвон"),"укажи дату","")),IF(INT(E303)&lt;TODAY(),"просрочено",IF(INT(E303)=TODAY(),"сегодня",IF(INT(E303)=TODAY()+1,"завтра",TEXT(E303,"dd.mm"))))))</f>
        <v/>
      </c>
      <c r="G303" s="52" t="n"/>
      <c r="H303" s="36" t="inlineStr">
        <is>
          <t>79276858366</t>
        </is>
      </c>
      <c r="I303" s="53" t="n"/>
      <c r="J303" s="38">
        <f>IFERROR(MATCH(C303,'Справка'!$A$12:$A$21,0),99)</f>
        <v/>
      </c>
      <c r="K303" s="39">
        <f>HYPERLINK("https://wa.me/"&amp;H303&amp;"?text="&amp;ENCODEURL(T303),"✉ Написать")</f>
        <v/>
      </c>
      <c r="L303" s="39">
        <f>HYPERLINK("https://wa.me/"&amp;H303,"Открыть чат")</f>
        <v/>
      </c>
      <c r="M303" s="38" t="inlineStr">
        <is>
          <t>Самара</t>
        </is>
      </c>
      <c r="N303" s="38" t="n"/>
      <c r="O303" s="38" t="n"/>
      <c r="P303" s="38" t="n"/>
      <c r="Q303" s="38" t="inlineStr">
        <is>
          <t>без сайта, WhatsApp не подтверждён</t>
        </is>
      </c>
      <c r="R303" s="38" t="n">
        <v>2</v>
      </c>
      <c r="S303" s="38" t="inlineStr">
        <is>
          <t>Самарская область</t>
        </is>
      </c>
      <c r="T303" s="38" t="inlineStr">
        <is>
          <t>Здравствуйте! Искал в 2ГИС кровельные компании в Самаре и наткнулся на вас. Сайта в карточке не увидел.
Могу за вечер собрать для «ФК Строй» сайт и показать. Платить не нужно, пока не понравится. Собрать?</t>
        </is>
      </c>
      <c r="U303" s="38">
        <f>B303&amp;IF(D303&lt;&gt;""," · "&amp;D303,"")&amp;IF(F303&lt;&gt;"",CHAR(10)&amp;F303,"")</f>
        <v/>
      </c>
      <c r="V303" s="38">
        <f>IF(OR(F303="просрочено",F303="сегодня",F303="укажи дату",LEFT(F303,6)="молчит"),1,0)</f>
        <v/>
      </c>
    </row>
    <row r="304" ht="24" customHeight="1">
      <c r="A304" s="38" t="n">
        <v>303</v>
      </c>
      <c r="B304" s="32" t="inlineStr">
        <is>
          <t>Компания по фасадным и кровельным работам</t>
        </is>
      </c>
      <c r="C304" s="49" t="inlineStr">
        <is>
          <t>Очередь</t>
        </is>
      </c>
      <c r="D304" s="49" t="n"/>
      <c r="E304" s="50" t="n"/>
      <c r="F304" s="51">
        <f>IF(OR(C304="",C304="Очередь",C304="Клиент",C304="Отказ",C304="Не писать"),"",IF(E304="",IF(AND(C304="Отправлено",I304&lt;&gt;"",TODAY()-INT(I304)&gt;=3),"молчит "&amp;(TODAY()-INT(I304))&amp;" дн.",IF(OR(C304="Перезвонить",C304="Созвон"),"укажи дату","")),IF(INT(E304)&lt;TODAY(),"просрочено",IF(INT(E304)=TODAY(),"сегодня",IF(INT(E304)=TODAY()+1,"завтра",TEXT(E304,"dd.mm"))))))</f>
        <v/>
      </c>
      <c r="G304" s="52" t="n"/>
      <c r="H304" s="36" t="inlineStr">
        <is>
          <t>79613813060</t>
        </is>
      </c>
      <c r="I304" s="53" t="n"/>
      <c r="J304" s="38">
        <f>IFERROR(MATCH(C304,'Справка'!$A$12:$A$21,0),99)</f>
        <v/>
      </c>
      <c r="K304" s="39">
        <f>HYPERLINK("https://wa.me/"&amp;H304&amp;"?text="&amp;ENCODEURL(T304),"✉ Написать")</f>
        <v/>
      </c>
      <c r="L304" s="39">
        <f>HYPERLINK("https://wa.me/"&amp;H304,"Открыть чат")</f>
        <v/>
      </c>
      <c r="M304" s="38" t="inlineStr">
        <is>
          <t>Самара</t>
        </is>
      </c>
      <c r="N304" s="38" t="n"/>
      <c r="O304" s="38" t="n"/>
      <c r="P304" s="38" t="n"/>
      <c r="Q304" s="38" t="inlineStr">
        <is>
          <t>без сайта, WhatsApp не подтверждён</t>
        </is>
      </c>
      <c r="R304" s="38" t="n">
        <v>2</v>
      </c>
      <c r="S304" s="38" t="inlineStr">
        <is>
          <t>Самарская область</t>
        </is>
      </c>
      <c r="T304" s="38" t="inlineStr">
        <is>
          <t>Здравствуйте! Смотрел в 2ГИС, кто делает кровлю в Самаре, и нашёл «Компания по фасадным и кровельным работам». Сайта в карточке нет.
Готов за вечер собрать сайт для «Компания по фасадным и кровельным работам» и показать вам. Денег вперёд не беру. Собрать?</t>
        </is>
      </c>
      <c r="U304" s="38">
        <f>B304&amp;IF(D304&lt;&gt;""," · "&amp;D304,"")&amp;IF(F304&lt;&gt;"",CHAR(10)&amp;F304,"")</f>
        <v/>
      </c>
      <c r="V304" s="38">
        <f>IF(OR(F304="просрочено",F304="сегодня",F304="укажи дату",LEFT(F304,6)="молчит"),1,0)</f>
        <v/>
      </c>
    </row>
    <row r="305" ht="24" customHeight="1">
      <c r="A305" s="38" t="n">
        <v>304</v>
      </c>
      <c r="B305" s="32" t="inlineStr">
        <is>
          <t>Стройартм</t>
        </is>
      </c>
      <c r="C305" s="49" t="inlineStr">
        <is>
          <t>Очередь</t>
        </is>
      </c>
      <c r="D305" s="49" t="n"/>
      <c r="E305" s="50" t="n"/>
      <c r="F305" s="51">
        <f>IF(OR(C305="",C305="Очередь",C305="Клиент",C305="Отказ",C305="Не писать"),"",IF(E305="",IF(AND(C305="Отправлено",I305&lt;&gt;"",TODAY()-INT(I305)&gt;=3),"молчит "&amp;(TODAY()-INT(I305))&amp;" дн.",IF(OR(C305="Перезвонить",C305="Созвон"),"укажи дату","")),IF(INT(E305)&lt;TODAY(),"просрочено",IF(INT(E305)=TODAY(),"сегодня",IF(INT(E305)=TODAY()+1,"завтра",TEXT(E305,"dd.mm"))))))</f>
        <v/>
      </c>
      <c r="G305" s="52" t="n"/>
      <c r="H305" s="36" t="inlineStr">
        <is>
          <t>79277053450</t>
        </is>
      </c>
      <c r="I305" s="53" t="n"/>
      <c r="J305" s="38">
        <f>IFERROR(MATCH(C305,'Справка'!$A$12:$A$21,0),99)</f>
        <v/>
      </c>
      <c r="K305" s="39">
        <f>HYPERLINK("https://wa.me/"&amp;H305&amp;"?text="&amp;ENCODEURL(T305),"✉ Написать")</f>
        <v/>
      </c>
      <c r="L305" s="39">
        <f>HYPERLINK("https://wa.me/"&amp;H305,"Открыть чат")</f>
        <v/>
      </c>
      <c r="M305" s="38" t="inlineStr">
        <is>
          <t>Самара</t>
        </is>
      </c>
      <c r="N305" s="38" t="n"/>
      <c r="O305" s="38" t="n"/>
      <c r="P305" s="38" t="n"/>
      <c r="Q305" s="38" t="inlineStr">
        <is>
          <t>без сайта, WhatsApp не подтверждён</t>
        </is>
      </c>
      <c r="R305" s="38" t="n">
        <v>2</v>
      </c>
      <c r="S305" s="38" t="inlineStr">
        <is>
          <t>Самарская область</t>
        </is>
      </c>
      <c r="T305" s="38" t="inlineStr">
        <is>
          <t>Здравствуйте! Нашёл вас в 2ГИС среди кровельных компаний в Самаре, а сайта в карточке не нашёл.
Могу собрать сайт под «Стройартм» за вечер и показать. Не понравится — ничего не должны. Сделать?</t>
        </is>
      </c>
      <c r="U305" s="38">
        <f>B305&amp;IF(D305&lt;&gt;""," · "&amp;D305,"")&amp;IF(F305&lt;&gt;"",CHAR(10)&amp;F305,"")</f>
        <v/>
      </c>
      <c r="V305" s="38">
        <f>IF(OR(F305="просрочено",F305="сегодня",F305="укажи дату",LEFT(F305,6)="молчит"),1,0)</f>
        <v/>
      </c>
    </row>
    <row r="306" ht="24" customHeight="1">
      <c r="A306" s="38" t="n">
        <v>305</v>
      </c>
      <c r="B306" s="32" t="inlineStr">
        <is>
          <t>Ремстрой</t>
        </is>
      </c>
      <c r="C306" s="49" t="inlineStr">
        <is>
          <t>Очередь</t>
        </is>
      </c>
      <c r="D306" s="49" t="n"/>
      <c r="E306" s="50" t="n"/>
      <c r="F306" s="51">
        <f>IF(OR(C306="",C306="Очередь",C306="Клиент",C306="Отказ",C306="Не писать"),"",IF(E306="",IF(AND(C306="Отправлено",I306&lt;&gt;"",TODAY()-INT(I306)&gt;=3),"молчит "&amp;(TODAY()-INT(I306))&amp;" дн.",IF(OR(C306="Перезвонить",C306="Созвон"),"укажи дату","")),IF(INT(E306)&lt;TODAY(),"просрочено",IF(INT(E306)=TODAY(),"сегодня",IF(INT(E306)=TODAY()+1,"завтра",TEXT(E306,"dd.mm"))))))</f>
        <v/>
      </c>
      <c r="G306" s="52" t="n"/>
      <c r="H306" s="36" t="inlineStr">
        <is>
          <t>79272608948</t>
        </is>
      </c>
      <c r="I306" s="53" t="n"/>
      <c r="J306" s="38">
        <f>IFERROR(MATCH(C306,'Справка'!$A$12:$A$21,0),99)</f>
        <v/>
      </c>
      <c r="K306" s="39">
        <f>HYPERLINK("https://wa.me/"&amp;H306&amp;"?text="&amp;ENCODEURL(T306),"✉ Написать")</f>
        <v/>
      </c>
      <c r="L306" s="39">
        <f>HYPERLINK("https://wa.me/"&amp;H306,"Открыть чат")</f>
        <v/>
      </c>
      <c r="M306" s="38" t="inlineStr">
        <is>
          <t>Самара</t>
        </is>
      </c>
      <c r="N306" s="38" t="n"/>
      <c r="O306" s="38" t="n"/>
      <c r="P306" s="38" t="n"/>
      <c r="Q306" s="38" t="inlineStr">
        <is>
          <t>без сайта, WhatsApp не подтверждён</t>
        </is>
      </c>
      <c r="R306" s="38" t="n">
        <v>2</v>
      </c>
      <c r="S306" s="38" t="inlineStr">
        <is>
          <t>Самарская область</t>
        </is>
      </c>
      <c r="T306" s="38" t="inlineStr">
        <is>
          <t>Здравствуйте! Искал в 2ГИС кровельные компании в Самаре и наткнулся на вас. Сайта в карточке не увидел.
Могу за вечер собрать для «Ремстрой» сайт и показать. Платить не нужно, пока не понравится. Собрать?</t>
        </is>
      </c>
      <c r="U306" s="38">
        <f>B306&amp;IF(D306&lt;&gt;""," · "&amp;D306,"")&amp;IF(F306&lt;&gt;"",CHAR(10)&amp;F306,"")</f>
        <v/>
      </c>
      <c r="V306" s="38">
        <f>IF(OR(F306="просрочено",F306="сегодня",F306="укажи дату",LEFT(F306,6)="молчит"),1,0)</f>
        <v/>
      </c>
    </row>
    <row r="307" ht="24" customHeight="1">
      <c r="A307" s="38" t="n">
        <v>306</v>
      </c>
      <c r="B307" s="32" t="inlineStr">
        <is>
          <t>Ск Современник</t>
        </is>
      </c>
      <c r="C307" s="49" t="inlineStr">
        <is>
          <t>Очередь</t>
        </is>
      </c>
      <c r="D307" s="49" t="n"/>
      <c r="E307" s="50" t="n"/>
      <c r="F307" s="51">
        <f>IF(OR(C307="",C307="Очередь",C307="Клиент",C307="Отказ",C307="Не писать"),"",IF(E307="",IF(AND(C307="Отправлено",I307&lt;&gt;"",TODAY()-INT(I307)&gt;=3),"молчит "&amp;(TODAY()-INT(I307))&amp;" дн.",IF(OR(C307="Перезвонить",C307="Созвон"),"укажи дату","")),IF(INT(E307)&lt;TODAY(),"просрочено",IF(INT(E307)=TODAY(),"сегодня",IF(INT(E307)=TODAY()+1,"завтра",TEXT(E307,"dd.mm"))))))</f>
        <v/>
      </c>
      <c r="G307" s="52" t="n"/>
      <c r="H307" s="36" t="inlineStr">
        <is>
          <t>79270068026</t>
        </is>
      </c>
      <c r="I307" s="53" t="n"/>
      <c r="J307" s="38">
        <f>IFERROR(MATCH(C307,'Справка'!$A$12:$A$21,0),99)</f>
        <v/>
      </c>
      <c r="K307" s="39">
        <f>HYPERLINK("https://wa.me/"&amp;H307&amp;"?text="&amp;ENCODEURL(T307),"✉ Написать")</f>
        <v/>
      </c>
      <c r="L307" s="39">
        <f>HYPERLINK("https://wa.me/"&amp;H307,"Открыть чат")</f>
        <v/>
      </c>
      <c r="M307" s="38" t="inlineStr">
        <is>
          <t>Самара</t>
        </is>
      </c>
      <c r="N307" s="38" t="n"/>
      <c r="O307" s="38" t="n"/>
      <c r="P307" s="38" t="n"/>
      <c r="Q307" s="38" t="inlineStr">
        <is>
          <t>без сайта, WhatsApp не подтверждён</t>
        </is>
      </c>
      <c r="R307" s="38" t="n">
        <v>2</v>
      </c>
      <c r="S307" s="38" t="inlineStr">
        <is>
          <t>Самарская область</t>
        </is>
      </c>
      <c r="T307" s="38" t="inlineStr">
        <is>
          <t>Здравствуйте! Смотрел в 2ГИС, кто делает кровлю в Самаре, и нашёл «Ск Современник». Сайта в карточке нет.
Готов за вечер собрать сайт для «Ск Современник» и показать вам. Денег вперёд не беру. Собрать?</t>
        </is>
      </c>
      <c r="U307" s="38">
        <f>B307&amp;IF(D307&lt;&gt;""," · "&amp;D307,"")&amp;IF(F307&lt;&gt;"",CHAR(10)&amp;F307,"")</f>
        <v/>
      </c>
      <c r="V307" s="38">
        <f>IF(OR(F307="просрочено",F307="сегодня",F307="укажи дату",LEFT(F307,6)="молчит"),1,0)</f>
        <v/>
      </c>
    </row>
    <row r="308" ht="24" customHeight="1">
      <c r="A308" s="38" t="n">
        <v>307</v>
      </c>
      <c r="B308" s="32" t="inlineStr">
        <is>
          <t>Компания кровельных работ</t>
        </is>
      </c>
      <c r="C308" s="49" t="inlineStr">
        <is>
          <t>Очередь</t>
        </is>
      </c>
      <c r="D308" s="49" t="n"/>
      <c r="E308" s="50" t="n"/>
      <c r="F308" s="51">
        <f>IF(OR(C308="",C308="Очередь",C308="Клиент",C308="Отказ",C308="Не писать"),"",IF(E308="",IF(AND(C308="Отправлено",I308&lt;&gt;"",TODAY()-INT(I308)&gt;=3),"молчит "&amp;(TODAY()-INT(I308))&amp;" дн.",IF(OR(C308="Перезвонить",C308="Созвон"),"укажи дату","")),IF(INT(E308)&lt;TODAY(),"просрочено",IF(INT(E308)=TODAY(),"сегодня",IF(INT(E308)=TODAY()+1,"завтра",TEXT(E308,"dd.mm"))))))</f>
        <v/>
      </c>
      <c r="G308" s="52" t="n"/>
      <c r="H308" s="36" t="inlineStr">
        <is>
          <t>79171388787</t>
        </is>
      </c>
      <c r="I308" s="53" t="n"/>
      <c r="J308" s="38">
        <f>IFERROR(MATCH(C308,'Справка'!$A$12:$A$21,0),99)</f>
        <v/>
      </c>
      <c r="K308" s="39">
        <f>HYPERLINK("https://wa.me/"&amp;H308&amp;"?text="&amp;ENCODEURL(T308),"✉ Написать")</f>
        <v/>
      </c>
      <c r="L308" s="39">
        <f>HYPERLINK("https://wa.me/"&amp;H308,"Открыть чат")</f>
        <v/>
      </c>
      <c r="M308" s="38" t="inlineStr">
        <is>
          <t>Самара</t>
        </is>
      </c>
      <c r="N308" s="38" t="n"/>
      <c r="O308" s="38" t="n"/>
      <c r="P308" s="38" t="n"/>
      <c r="Q308" s="38" t="inlineStr">
        <is>
          <t>без сайта, WhatsApp не подтверждён</t>
        </is>
      </c>
      <c r="R308" s="38" t="n">
        <v>2</v>
      </c>
      <c r="S308" s="38" t="inlineStr">
        <is>
          <t>Самарская область</t>
        </is>
      </c>
      <c r="T308" s="38" t="inlineStr">
        <is>
          <t>Здравствуйте! Нашёл вас в 2ГИС среди кровельных компаний в Самаре, а сайта в карточке не нашёл.
Могу собрать сайт под «Компания кровельных работ» за вечер и показать. Не понравится — ничего не должны. Сделать?</t>
        </is>
      </c>
      <c r="U308" s="38">
        <f>B308&amp;IF(D308&lt;&gt;""," · "&amp;D308,"")&amp;IF(F308&lt;&gt;"",CHAR(10)&amp;F308,"")</f>
        <v/>
      </c>
      <c r="V308" s="38">
        <f>IF(OR(F308="просрочено",F308="сегодня",F308="укажи дату",LEFT(F308,6)="молчит"),1,0)</f>
        <v/>
      </c>
    </row>
    <row r="309" ht="24" customHeight="1">
      <c r="A309" s="38" t="n">
        <v>308</v>
      </c>
      <c r="B309" s="32" t="inlineStr">
        <is>
          <t>Фортис-строй Технолоджи</t>
        </is>
      </c>
      <c r="C309" s="49" t="inlineStr">
        <is>
          <t>Очередь</t>
        </is>
      </c>
      <c r="D309" s="49" t="n"/>
      <c r="E309" s="50" t="n"/>
      <c r="F309" s="51">
        <f>IF(OR(C309="",C309="Очередь",C309="Клиент",C309="Отказ",C309="Не писать"),"",IF(E309="",IF(AND(C309="Отправлено",I309&lt;&gt;"",TODAY()-INT(I309)&gt;=3),"молчит "&amp;(TODAY()-INT(I309))&amp;" дн.",IF(OR(C309="Перезвонить",C309="Созвон"),"укажи дату","")),IF(INT(E309)&lt;TODAY(),"просрочено",IF(INT(E309)=TODAY(),"сегодня",IF(INT(E309)=TODAY()+1,"завтра",TEXT(E309,"dd.mm"))))))</f>
        <v/>
      </c>
      <c r="G309" s="52" t="n"/>
      <c r="H309" s="36" t="inlineStr">
        <is>
          <t>79277357735</t>
        </is>
      </c>
      <c r="I309" s="53" t="n"/>
      <c r="J309" s="38">
        <f>IFERROR(MATCH(C309,'Справка'!$A$12:$A$21,0),99)</f>
        <v/>
      </c>
      <c r="K309" s="39">
        <f>HYPERLINK("https://wa.me/"&amp;H309&amp;"?text="&amp;ENCODEURL(T309),"✉ Написать")</f>
        <v/>
      </c>
      <c r="L309" s="39">
        <f>HYPERLINK("https://wa.me/"&amp;H309,"Открыть чат")</f>
        <v/>
      </c>
      <c r="M309" s="38" t="inlineStr">
        <is>
          <t>Самара</t>
        </is>
      </c>
      <c r="N309" s="38" t="n"/>
      <c r="O309" s="38" t="n"/>
      <c r="P309" s="38" t="n"/>
      <c r="Q309" s="38" t="inlineStr">
        <is>
          <t>без сайта, WhatsApp не подтверждён</t>
        </is>
      </c>
      <c r="R309" s="38" t="n">
        <v>2</v>
      </c>
      <c r="S309" s="38" t="inlineStr">
        <is>
          <t>Самарская область</t>
        </is>
      </c>
      <c r="T309" s="38" t="inlineStr">
        <is>
          <t>Здравствуйте! Искал в 2ГИС кровельные компании в Самаре и наткнулся на вас. Сайта в карточке не увидел.
Могу за вечер собрать для «Фортис-строй Технолоджи» сайт и показать. Платить не нужно, пока не понравится. Собрать?</t>
        </is>
      </c>
      <c r="U309" s="38">
        <f>B309&amp;IF(D309&lt;&gt;""," · "&amp;D309,"")&amp;IF(F309&lt;&gt;"",CHAR(10)&amp;F309,"")</f>
        <v/>
      </c>
      <c r="V309" s="38">
        <f>IF(OR(F309="просрочено",F309="сегодня",F309="укажи дату",LEFT(F309,6)="молчит"),1,0)</f>
        <v/>
      </c>
    </row>
    <row r="310" ht="24" customHeight="1">
      <c r="A310" s="38" t="n">
        <v>309</v>
      </c>
      <c r="B310" s="32" t="inlineStr">
        <is>
          <t>Компания по услугам высотных работ</t>
        </is>
      </c>
      <c r="C310" s="49" t="inlineStr">
        <is>
          <t>Очередь</t>
        </is>
      </c>
      <c r="D310" s="49" t="n"/>
      <c r="E310" s="50" t="n"/>
      <c r="F310" s="51">
        <f>IF(OR(C310="",C310="Очередь",C310="Клиент",C310="Отказ",C310="Не писать"),"",IF(E310="",IF(AND(C310="Отправлено",I310&lt;&gt;"",TODAY()-INT(I310)&gt;=3),"молчит "&amp;(TODAY()-INT(I310))&amp;" дн.",IF(OR(C310="Перезвонить",C310="Созвон"),"укажи дату","")),IF(INT(E310)&lt;TODAY(),"просрочено",IF(INT(E310)=TODAY(),"сегодня",IF(INT(E310)=TODAY()+1,"завтра",TEXT(E310,"dd.mm"))))))</f>
        <v/>
      </c>
      <c r="G310" s="52" t="n"/>
      <c r="H310" s="36" t="inlineStr">
        <is>
          <t>79063428630</t>
        </is>
      </c>
      <c r="I310" s="53" t="n"/>
      <c r="J310" s="38">
        <f>IFERROR(MATCH(C310,'Справка'!$A$12:$A$21,0),99)</f>
        <v/>
      </c>
      <c r="K310" s="39">
        <f>HYPERLINK("https://wa.me/"&amp;H310&amp;"?text="&amp;ENCODEURL(T310),"✉ Написать")</f>
        <v/>
      </c>
      <c r="L310" s="39">
        <f>HYPERLINK("https://wa.me/"&amp;H310,"Открыть чат")</f>
        <v/>
      </c>
      <c r="M310" s="38" t="inlineStr">
        <is>
          <t>Самара</t>
        </is>
      </c>
      <c r="N310" s="38" t="n"/>
      <c r="O310" s="38" t="n"/>
      <c r="P310" s="38" t="n"/>
      <c r="Q310" s="38" t="inlineStr">
        <is>
          <t>без сайта, WhatsApp не подтверждён</t>
        </is>
      </c>
      <c r="R310" s="38" t="n">
        <v>2</v>
      </c>
      <c r="S310" s="38" t="inlineStr">
        <is>
          <t>Самарская область</t>
        </is>
      </c>
      <c r="T310" s="38" t="inlineStr">
        <is>
          <t>Здравствуйте! Смотрел в 2ГИС, кто делает кровлю в Самаре, и нашёл «Компания по услугам высотных работ». Сайта в карточке нет.
Готов за вечер собрать сайт для «Компания по услугам высотных работ» и показать вам. Денег вперёд не беру. Собрать?</t>
        </is>
      </c>
      <c r="U310" s="38">
        <f>B310&amp;IF(D310&lt;&gt;""," · "&amp;D310,"")&amp;IF(F310&lt;&gt;"",CHAR(10)&amp;F310,"")</f>
        <v/>
      </c>
      <c r="V310" s="38">
        <f>IF(OR(F310="просрочено",F310="сегодня",F310="укажи дату",LEFT(F310,6)="молчит"),1,0)</f>
        <v/>
      </c>
    </row>
    <row r="311" ht="24" customHeight="1">
      <c r="A311" s="38" t="n">
        <v>310</v>
      </c>
      <c r="B311" s="32" t="inlineStr">
        <is>
          <t>Eurofalz</t>
        </is>
      </c>
      <c r="C311" s="49" t="inlineStr">
        <is>
          <t>Очередь</t>
        </is>
      </c>
      <c r="D311" s="49" t="n"/>
      <c r="E311" s="50" t="n"/>
      <c r="F311" s="51">
        <f>IF(OR(C311="",C311="Очередь",C311="Клиент",C311="Отказ",C311="Не писать"),"",IF(E311="",IF(AND(C311="Отправлено",I311&lt;&gt;"",TODAY()-INT(I311)&gt;=3),"молчит "&amp;(TODAY()-INT(I311))&amp;" дн.",IF(OR(C311="Перезвонить",C311="Созвон"),"укажи дату","")),IF(INT(E311)&lt;TODAY(),"просрочено",IF(INT(E311)=TODAY(),"сегодня",IF(INT(E311)=TODAY()+1,"завтра",TEXT(E311,"dd.mm"))))))</f>
        <v/>
      </c>
      <c r="G311" s="52" t="n"/>
      <c r="H311" s="36" t="inlineStr">
        <is>
          <t>79370650302</t>
        </is>
      </c>
      <c r="I311" s="53" t="n"/>
      <c r="J311" s="38">
        <f>IFERROR(MATCH(C311,'Справка'!$A$12:$A$21,0),99)</f>
        <v/>
      </c>
      <c r="K311" s="39">
        <f>HYPERLINK("https://wa.me/"&amp;H311&amp;"?text="&amp;ENCODEURL(T311),"✉ Написать")</f>
        <v/>
      </c>
      <c r="L311" s="39">
        <f>HYPERLINK("https://wa.me/"&amp;H311,"Открыть чат")</f>
        <v/>
      </c>
      <c r="M311" s="38" t="inlineStr">
        <is>
          <t>Самара</t>
        </is>
      </c>
      <c r="N311" s="38" t="n"/>
      <c r="O311" s="38" t="n"/>
      <c r="P311" s="38" t="n"/>
      <c r="Q311" s="38" t="inlineStr">
        <is>
          <t>без сайта, WhatsApp не подтверждён</t>
        </is>
      </c>
      <c r="R311" s="38" t="n">
        <v>2</v>
      </c>
      <c r="S311" s="38" t="inlineStr">
        <is>
          <t>Самарская область</t>
        </is>
      </c>
      <c r="T311" s="38" t="inlineStr">
        <is>
          <t>Здравствуйте! Нашёл вас в 2ГИС среди кровельных компаний в Самаре, а сайта в карточке не нашёл.
Могу собрать сайт под «Eurofalz» за вечер и показать. Не понравится — ничего не должны. Сделать?</t>
        </is>
      </c>
      <c r="U311" s="38">
        <f>B311&amp;IF(D311&lt;&gt;""," · "&amp;D311,"")&amp;IF(F311&lt;&gt;"",CHAR(10)&amp;F311,"")</f>
        <v/>
      </c>
      <c r="V311" s="38">
        <f>IF(OR(F311="просрочено",F311="сегодня",F311="укажи дату",LEFT(F311,6)="молчит"),1,0)</f>
        <v/>
      </c>
    </row>
    <row r="312" ht="24" customHeight="1">
      <c r="A312" s="38" t="n">
        <v>311</v>
      </c>
      <c r="B312" s="32" t="inlineStr">
        <is>
          <t>Дом Кровли</t>
        </is>
      </c>
      <c r="C312" s="49" t="inlineStr">
        <is>
          <t>Очередь</t>
        </is>
      </c>
      <c r="D312" s="49" t="n"/>
      <c r="E312" s="50" t="n"/>
      <c r="F312" s="51">
        <f>IF(OR(C312="",C312="Очередь",C312="Клиент",C312="Отказ",C312="Не писать"),"",IF(E312="",IF(AND(C312="Отправлено",I312&lt;&gt;"",TODAY()-INT(I312)&gt;=3),"молчит "&amp;(TODAY()-INT(I312))&amp;" дн.",IF(OR(C312="Перезвонить",C312="Созвон"),"укажи дату","")),IF(INT(E312)&lt;TODAY(),"просрочено",IF(INT(E312)=TODAY(),"сегодня",IF(INT(E312)=TODAY()+1,"завтра",TEXT(E312,"dd.mm"))))))</f>
        <v/>
      </c>
      <c r="G312" s="52" t="n"/>
      <c r="H312" s="36" t="inlineStr">
        <is>
          <t>79277503212</t>
        </is>
      </c>
      <c r="I312" s="53" t="n"/>
      <c r="J312" s="38">
        <f>IFERROR(MATCH(C312,'Справка'!$A$12:$A$21,0),99)</f>
        <v/>
      </c>
      <c r="K312" s="39">
        <f>HYPERLINK("https://wa.me/"&amp;H312&amp;"?text="&amp;ENCODEURL(T312),"✉ Написать")</f>
        <v/>
      </c>
      <c r="L312" s="39">
        <f>HYPERLINK("https://wa.me/"&amp;H312,"Открыть чат")</f>
        <v/>
      </c>
      <c r="M312" s="38" t="inlineStr">
        <is>
          <t>пгт Алексеевка</t>
        </is>
      </c>
      <c r="N312" s="38" t="n"/>
      <c r="O312" s="38" t="n"/>
      <c r="P312" s="38" t="n"/>
      <c r="Q312" s="38" t="inlineStr">
        <is>
          <t>без сайта, WhatsApp не подтверждён</t>
        </is>
      </c>
      <c r="R312" s="38" t="n">
        <v>2</v>
      </c>
      <c r="S312" s="38" t="inlineStr">
        <is>
          <t>Самарская область</t>
        </is>
      </c>
      <c r="T312" s="38" t="inlineStr">
        <is>
          <t>Здравствуйте! Искал в 2ГИС кровельные компании в Самарской области и наткнулся на вас. Сайта в карточке не увидел.
Могу за вечер собрать для «Дом Кровли» сайт и показать. Платить не нужно, пока не понравится. Собрать?</t>
        </is>
      </c>
      <c r="U312" s="38">
        <f>B312&amp;IF(D312&lt;&gt;""," · "&amp;D312,"")&amp;IF(F312&lt;&gt;"",CHAR(10)&amp;F312,"")</f>
        <v/>
      </c>
      <c r="V312" s="38">
        <f>IF(OR(F312="просрочено",F312="сегодня",F312="укажи дату",LEFT(F312,6)="молчит"),1,0)</f>
        <v/>
      </c>
    </row>
    <row r="313" ht="24" customHeight="1">
      <c r="A313" s="38" t="n">
        <v>312</v>
      </c>
      <c r="B313" s="32" t="inlineStr">
        <is>
          <t>Батрак</t>
        </is>
      </c>
      <c r="C313" s="49" t="inlineStr">
        <is>
          <t>Очередь</t>
        </is>
      </c>
      <c r="D313" s="49" t="n"/>
      <c r="E313" s="50" t="n"/>
      <c r="F313" s="51">
        <f>IF(OR(C313="",C313="Очередь",C313="Клиент",C313="Отказ",C313="Не писать"),"",IF(E313="",IF(AND(C313="Отправлено",I313&lt;&gt;"",TODAY()-INT(I313)&gt;=3),"молчит "&amp;(TODAY()-INT(I313))&amp;" дн.",IF(OR(C313="Перезвонить",C313="Созвон"),"укажи дату","")),IF(INT(E313)&lt;TODAY(),"просрочено",IF(INT(E313)=TODAY(),"сегодня",IF(INT(E313)=TODAY()+1,"завтра",TEXT(E313,"dd.mm"))))))</f>
        <v/>
      </c>
      <c r="G313" s="52" t="n"/>
      <c r="H313" s="36" t="inlineStr">
        <is>
          <t>79179576766</t>
        </is>
      </c>
      <c r="I313" s="53" t="n"/>
      <c r="J313" s="38">
        <f>IFERROR(MATCH(C313,'Справка'!$A$12:$A$21,0),99)</f>
        <v/>
      </c>
      <c r="K313" s="39">
        <f>HYPERLINK("https://wa.me/"&amp;H313&amp;"?text="&amp;ENCODEURL(T313),"✉ Написать")</f>
        <v/>
      </c>
      <c r="L313" s="39">
        <f>HYPERLINK("https://wa.me/"&amp;H313,"Открыть чат")</f>
        <v/>
      </c>
      <c r="M313" s="38" t="inlineStr">
        <is>
          <t>Отрадный</t>
        </is>
      </c>
      <c r="N313" s="38" t="n"/>
      <c r="O313" s="38" t="n"/>
      <c r="P313" s="38" t="n"/>
      <c r="Q313" s="38" t="inlineStr">
        <is>
          <t>без сайта, WhatsApp не подтверждён</t>
        </is>
      </c>
      <c r="R313" s="38" t="n">
        <v>2</v>
      </c>
      <c r="S313" s="38" t="inlineStr">
        <is>
          <t>Самарская область</t>
        </is>
      </c>
      <c r="T313" s="38" t="inlineStr">
        <is>
          <t>Здравствуйте! Смотрел в 2ГИС, кто делает кровлю в Отрадном, и нашёл «Батрак». Сайта в карточке нет.
Готов за вечер собрать сайт для «Батрак» и показать вам. Денег вперёд не беру. Собрать?</t>
        </is>
      </c>
      <c r="U313" s="38">
        <f>B313&amp;IF(D313&lt;&gt;""," · "&amp;D313,"")&amp;IF(F313&lt;&gt;"",CHAR(10)&amp;F313,"")</f>
        <v/>
      </c>
      <c r="V313" s="38">
        <f>IF(OR(F313="просрочено",F313="сегодня",F313="укажи дату",LEFT(F313,6)="молчит"),1,0)</f>
        <v/>
      </c>
    </row>
    <row r="314" ht="24" customHeight="1">
      <c r="A314" s="38" t="n">
        <v>313</v>
      </c>
      <c r="B314" s="32" t="inlineStr">
        <is>
          <t>СтройДвор</t>
        </is>
      </c>
      <c r="C314" s="49" t="inlineStr">
        <is>
          <t>Очередь</t>
        </is>
      </c>
      <c r="D314" s="49" t="n"/>
      <c r="E314" s="50" t="n"/>
      <c r="F314" s="51">
        <f>IF(OR(C314="",C314="Очередь",C314="Клиент",C314="Отказ",C314="Не писать"),"",IF(E314="",IF(AND(C314="Отправлено",I314&lt;&gt;"",TODAY()-INT(I314)&gt;=3),"молчит "&amp;(TODAY()-INT(I314))&amp;" дн.",IF(OR(C314="Перезвонить",C314="Созвон"),"укажи дату","")),IF(INT(E314)&lt;TODAY(),"просрочено",IF(INT(E314)=TODAY(),"сегодня",IF(INT(E314)=TODAY()+1,"завтра",TEXT(E314,"dd.mm"))))))</f>
        <v/>
      </c>
      <c r="G314" s="52" t="n"/>
      <c r="H314" s="36" t="inlineStr">
        <is>
          <t>79283186151</t>
        </is>
      </c>
      <c r="I314" s="53" t="n"/>
      <c r="J314" s="38">
        <f>IFERROR(MATCH(C314,'Справка'!$A$12:$A$21,0),99)</f>
        <v/>
      </c>
      <c r="K314" s="39">
        <f>HYPERLINK("https://wa.me/"&amp;H314&amp;"?text="&amp;ENCODEURL(T314),"✉ Написать")</f>
        <v/>
      </c>
      <c r="L314" s="39">
        <f>HYPERLINK("https://wa.me/"&amp;H314,"Открыть чат")</f>
        <v/>
      </c>
      <c r="M314" s="38" t="inlineStr">
        <is>
          <t>с. Курсавка</t>
        </is>
      </c>
      <c r="N314" s="38" t="n">
        <v>5</v>
      </c>
      <c r="O314" s="38" t="n">
        <v>2</v>
      </c>
      <c r="P314" s="38" t="n"/>
      <c r="Q314" s="38" t="inlineStr">
        <is>
          <t>без сайта, WhatsApp не подтверждён</t>
        </is>
      </c>
      <c r="R314" s="38" t="n">
        <v>2</v>
      </c>
      <c r="S314" s="38" t="inlineStr">
        <is>
          <t>Ставропольский край</t>
        </is>
      </c>
      <c r="T314" s="38" t="inlineStr">
        <is>
          <t>Здравствуйте! Нашёл вас в 2ГИС среди кровельных компаний в Ставропольском крае, а сайта в карточке не нашёл.
Могу собрать сайт под «СтройДвор» за вечер и показать. Не понравится — ничего не должны. Сделать?</t>
        </is>
      </c>
      <c r="U314" s="38">
        <f>B314&amp;IF(D314&lt;&gt;""," · "&amp;D314,"")&amp;IF(F314&lt;&gt;"",CHAR(10)&amp;F314,"")</f>
        <v/>
      </c>
      <c r="V314" s="38">
        <f>IF(OR(F314="просрочено",F314="сегодня",F314="укажи дату",LEFT(F314,6)="молчит"),1,0)</f>
        <v/>
      </c>
    </row>
    <row r="315" ht="24" customHeight="1">
      <c r="A315" s="38" t="n">
        <v>314</v>
      </c>
      <c r="B315" s="32" t="inlineStr">
        <is>
          <t>Прохладная крыша 26</t>
        </is>
      </c>
      <c r="C315" s="49" t="inlineStr">
        <is>
          <t>Очередь</t>
        </is>
      </c>
      <c r="D315" s="49" t="n"/>
      <c r="E315" s="50" t="n"/>
      <c r="F315" s="51">
        <f>IF(OR(C315="",C315="Очередь",C315="Клиент",C315="Отказ",C315="Не писать"),"",IF(E315="",IF(AND(C315="Отправлено",I315&lt;&gt;"",TODAY()-INT(I315)&gt;=3),"молчит "&amp;(TODAY()-INT(I315))&amp;" дн.",IF(OR(C315="Перезвонить",C315="Созвон"),"укажи дату","")),IF(INT(E315)&lt;TODAY(),"просрочено",IF(INT(E315)=TODAY(),"сегодня",IF(INT(E315)=TODAY()+1,"завтра",TEXT(E315,"dd.mm"))))))</f>
        <v/>
      </c>
      <c r="G315" s="52" t="n"/>
      <c r="H315" s="36" t="inlineStr">
        <is>
          <t>79188653689</t>
        </is>
      </c>
      <c r="I315" s="53" t="n"/>
      <c r="J315" s="38">
        <f>IFERROR(MATCH(C315,'Справка'!$A$12:$A$21,0),99)</f>
        <v/>
      </c>
      <c r="K315" s="39">
        <f>HYPERLINK("https://wa.me/"&amp;H315&amp;"?text="&amp;ENCODEURL(T315),"✉ Написать")</f>
        <v/>
      </c>
      <c r="L315" s="39">
        <f>HYPERLINK("https://wa.me/"&amp;H315,"Открыть чат")</f>
        <v/>
      </c>
      <c r="M315" s="38" t="inlineStr">
        <is>
          <t>Ставрополь</t>
        </is>
      </c>
      <c r="N315" s="38" t="n">
        <v>5</v>
      </c>
      <c r="O315" s="38" t="n">
        <v>1</v>
      </c>
      <c r="P315" s="38" t="n"/>
      <c r="Q315" s="38" t="inlineStr">
        <is>
          <t>без сайта, WhatsApp не подтверждён</t>
        </is>
      </c>
      <c r="R315" s="38" t="n">
        <v>2</v>
      </c>
      <c r="S315" s="38" t="inlineStr">
        <is>
          <t>Ставропольский край</t>
        </is>
      </c>
      <c r="T315" s="38" t="inlineStr">
        <is>
          <t>Здравствуйте! Искал в 2ГИС кровельные компании в Ставрополе и наткнулся на вас. Сайта в карточке не увидел.
Могу за вечер собрать для «Прохладная крыша 26» сайт и показать. Платить не нужно, пока не понравится. Собрать?</t>
        </is>
      </c>
      <c r="U315" s="38">
        <f>B315&amp;IF(D315&lt;&gt;""," · "&amp;D315,"")&amp;IF(F315&lt;&gt;"",CHAR(10)&amp;F315,"")</f>
        <v/>
      </c>
      <c r="V315" s="38">
        <f>IF(OR(F315="просрочено",F315="сегодня",F315="укажи дату",LEFT(F315,6)="молчит"),1,0)</f>
        <v/>
      </c>
    </row>
    <row r="316" ht="24" customHeight="1">
      <c r="A316" s="38" t="n">
        <v>315</v>
      </c>
      <c r="B316" s="32" t="inlineStr">
        <is>
          <t>Госткровля</t>
        </is>
      </c>
      <c r="C316" s="49" t="inlineStr">
        <is>
          <t>Очередь</t>
        </is>
      </c>
      <c r="D316" s="49" t="n"/>
      <c r="E316" s="50" t="n"/>
      <c r="F316" s="51">
        <f>IF(OR(C316="",C316="Очередь",C316="Клиент",C316="Отказ",C316="Не писать"),"",IF(E316="",IF(AND(C316="Отправлено",I316&lt;&gt;"",TODAY()-INT(I316)&gt;=3),"молчит "&amp;(TODAY()-INT(I316))&amp;" дн.",IF(OR(C316="Перезвонить",C316="Созвон"),"укажи дату","")),IF(INT(E316)&lt;TODAY(),"просрочено",IF(INT(E316)=TODAY(),"сегодня",IF(INT(E316)=TODAY()+1,"завтра",TEXT(E316,"dd.mm"))))))</f>
        <v/>
      </c>
      <c r="G316" s="52" t="n"/>
      <c r="H316" s="36" t="inlineStr">
        <is>
          <t>79888660300</t>
        </is>
      </c>
      <c r="I316" s="53" t="n"/>
      <c r="J316" s="38">
        <f>IFERROR(MATCH(C316,'Справка'!$A$12:$A$21,0),99)</f>
        <v/>
      </c>
      <c r="K316" s="39">
        <f>HYPERLINK("https://wa.me/"&amp;H316&amp;"?text="&amp;ENCODEURL(T316),"✉ Написать")</f>
        <v/>
      </c>
      <c r="L316" s="39">
        <f>HYPERLINK("https://wa.me/"&amp;H316,"Открыть чат")</f>
        <v/>
      </c>
      <c r="M316" s="38" t="inlineStr">
        <is>
          <t>Зеленокумск</t>
        </is>
      </c>
      <c r="N316" s="38" t="n">
        <v>1</v>
      </c>
      <c r="O316" s="38" t="n">
        <v>1</v>
      </c>
      <c r="P316" s="38" t="n"/>
      <c r="Q316" s="38" t="inlineStr">
        <is>
          <t>без сайта, WhatsApp не подтверждён</t>
        </is>
      </c>
      <c r="R316" s="38" t="n">
        <v>2</v>
      </c>
      <c r="S316" s="38" t="inlineStr">
        <is>
          <t>Ставропольский край</t>
        </is>
      </c>
      <c r="T316" s="38" t="inlineStr">
        <is>
          <t>Здравствуйте! Смотрел в 2ГИС, кто делает кровлю в Зеленокумске, и нашёл «Госткровля». Сайта в карточке нет.
Готов за вечер собрать сайт для «Госткровля» и показать вам. Денег вперёд не беру. Собрать?</t>
        </is>
      </c>
      <c r="U316" s="38">
        <f>B316&amp;IF(D316&lt;&gt;""," · "&amp;D316,"")&amp;IF(F316&lt;&gt;"",CHAR(10)&amp;F316,"")</f>
        <v/>
      </c>
      <c r="V316" s="38">
        <f>IF(OR(F316="просрочено",F316="сегодня",F316="укажи дату",LEFT(F316,6)="молчит"),1,0)</f>
        <v/>
      </c>
    </row>
    <row r="317" ht="24" customHeight="1">
      <c r="A317" s="38" t="n">
        <v>316</v>
      </c>
      <c r="B317" s="32" t="inlineStr">
        <is>
          <t>Гранд</t>
        </is>
      </c>
      <c r="C317" s="49" t="inlineStr">
        <is>
          <t>Очередь</t>
        </is>
      </c>
      <c r="D317" s="49" t="n"/>
      <c r="E317" s="50" t="n"/>
      <c r="F317" s="51">
        <f>IF(OR(C317="",C317="Очередь",C317="Клиент",C317="Отказ",C317="Не писать"),"",IF(E317="",IF(AND(C317="Отправлено",I317&lt;&gt;"",TODAY()-INT(I317)&gt;=3),"молчит "&amp;(TODAY()-INT(I317))&amp;" дн.",IF(OR(C317="Перезвонить",C317="Созвон"),"укажи дату","")),IF(INT(E317)&lt;TODAY(),"просрочено",IF(INT(E317)=TODAY(),"сегодня",IF(INT(E317)=TODAY()+1,"завтра",TEXT(E317,"dd.mm"))))))</f>
        <v/>
      </c>
      <c r="G317" s="52" t="n"/>
      <c r="H317" s="36" t="inlineStr">
        <is>
          <t>79283156315</t>
        </is>
      </c>
      <c r="I317" s="53" t="n"/>
      <c r="J317" s="38">
        <f>IFERROR(MATCH(C317,'Справка'!$A$12:$A$21,0),99)</f>
        <v/>
      </c>
      <c r="K317" s="39">
        <f>HYPERLINK("https://wa.me/"&amp;H317&amp;"?text="&amp;ENCODEURL(T317),"✉ Написать")</f>
        <v/>
      </c>
      <c r="L317" s="39">
        <f>HYPERLINK("https://wa.me/"&amp;H317,"Открыть чат")</f>
        <v/>
      </c>
      <c r="M317" s="38" t="inlineStr">
        <is>
          <t>Ставрополь</t>
        </is>
      </c>
      <c r="N317" s="38" t="n"/>
      <c r="O317" s="38" t="n"/>
      <c r="P317" s="38" t="n"/>
      <c r="Q317" s="38" t="inlineStr">
        <is>
          <t>без сайта, WhatsApp не подтверждён</t>
        </is>
      </c>
      <c r="R317" s="38" t="n">
        <v>2</v>
      </c>
      <c r="S317" s="38" t="inlineStr">
        <is>
          <t>Ставропольский край</t>
        </is>
      </c>
      <c r="T317" s="38" t="inlineStr">
        <is>
          <t>Здравствуйте! Нашёл вас в 2ГИС среди кровельных компаний в Ставрополе, а сайта в карточке не нашёл.
Могу собрать сайт под «Гранд» за вечер и показать. Не понравится — ничего не должны. Сделать?</t>
        </is>
      </c>
      <c r="U317" s="38">
        <f>B317&amp;IF(D317&lt;&gt;""," · "&amp;D317,"")&amp;IF(F317&lt;&gt;"",CHAR(10)&amp;F317,"")</f>
        <v/>
      </c>
      <c r="V317" s="38">
        <f>IF(OR(F317="просрочено",F317="сегодня",F317="укажи дату",LEFT(F317,6)="молчит"),1,0)</f>
        <v/>
      </c>
    </row>
    <row r="318" ht="24" customHeight="1">
      <c r="A318" s="38" t="n">
        <v>317</v>
      </c>
      <c r="B318" s="32" t="inlineStr">
        <is>
          <t>Грандстрой-1</t>
        </is>
      </c>
      <c r="C318" s="49" t="inlineStr">
        <is>
          <t>Очередь</t>
        </is>
      </c>
      <c r="D318" s="49" t="n"/>
      <c r="E318" s="50" t="n"/>
      <c r="F318" s="51">
        <f>IF(OR(C318="",C318="Очередь",C318="Клиент",C318="Отказ",C318="Не писать"),"",IF(E318="",IF(AND(C318="Отправлено",I318&lt;&gt;"",TODAY()-INT(I318)&gt;=3),"молчит "&amp;(TODAY()-INT(I318))&amp;" дн.",IF(OR(C318="Перезвонить",C318="Созвон"),"укажи дату","")),IF(INT(E318)&lt;TODAY(),"просрочено",IF(INT(E318)=TODAY(),"сегодня",IF(INT(E318)=TODAY()+1,"завтра",TEXT(E318,"dd.mm"))))))</f>
        <v/>
      </c>
      <c r="G318" s="52" t="n"/>
      <c r="H318" s="36" t="inlineStr">
        <is>
          <t>79887673474</t>
        </is>
      </c>
      <c r="I318" s="53" t="n"/>
      <c r="J318" s="38">
        <f>IFERROR(MATCH(C318,'Справка'!$A$12:$A$21,0),99)</f>
        <v/>
      </c>
      <c r="K318" s="39">
        <f>HYPERLINK("https://wa.me/"&amp;H318&amp;"?text="&amp;ENCODEURL(T318),"✉ Написать")</f>
        <v/>
      </c>
      <c r="L318" s="39">
        <f>HYPERLINK("https://wa.me/"&amp;H318,"Открыть чат")</f>
        <v/>
      </c>
      <c r="M318" s="38" t="inlineStr">
        <is>
          <t>Ставрополь</t>
        </is>
      </c>
      <c r="N318" s="38" t="n"/>
      <c r="O318" s="38" t="n"/>
      <c r="P318" s="38" t="n"/>
      <c r="Q318" s="38" t="inlineStr">
        <is>
          <t>без сайта, WhatsApp не подтверждён</t>
        </is>
      </c>
      <c r="R318" s="38" t="n">
        <v>2</v>
      </c>
      <c r="S318" s="38" t="inlineStr">
        <is>
          <t>Ставропольский край</t>
        </is>
      </c>
      <c r="T318" s="38" t="inlineStr">
        <is>
          <t>Здравствуйте! Искал в 2ГИС кровельные компании в Ставрополе и наткнулся на вас. Сайта в карточке не увидел.
Могу за вечер собрать для «Грандстрой-1» сайт и показать. Платить не нужно, пока не понравится. Собрать?</t>
        </is>
      </c>
      <c r="U318" s="38">
        <f>B318&amp;IF(D318&lt;&gt;""," · "&amp;D318,"")&amp;IF(F318&lt;&gt;"",CHAR(10)&amp;F318,"")</f>
        <v/>
      </c>
      <c r="V318" s="38">
        <f>IF(OR(F318="просрочено",F318="сегодня",F318="укажи дату",LEFT(F318,6)="молчит"),1,0)</f>
        <v/>
      </c>
    </row>
    <row r="319" ht="24" customHeight="1">
      <c r="A319" s="38" t="n">
        <v>318</v>
      </c>
      <c r="B319" s="32" t="inlineStr">
        <is>
          <t>КровляДело</t>
        </is>
      </c>
      <c r="C319" s="49" t="inlineStr">
        <is>
          <t>Очередь</t>
        </is>
      </c>
      <c r="D319" s="49" t="n"/>
      <c r="E319" s="50" t="n"/>
      <c r="F319" s="51">
        <f>IF(OR(C319="",C319="Очередь",C319="Клиент",C319="Отказ",C319="Не писать"),"",IF(E319="",IF(AND(C319="Отправлено",I319&lt;&gt;"",TODAY()-INT(I319)&gt;=3),"молчит "&amp;(TODAY()-INT(I319))&amp;" дн.",IF(OR(C319="Перезвонить",C319="Созвон"),"укажи дату","")),IF(INT(E319)&lt;TODAY(),"просрочено",IF(INT(E319)=TODAY(),"сегодня",IF(INT(E319)=TODAY()+1,"завтра",TEXT(E319,"dd.mm"))))))</f>
        <v/>
      </c>
      <c r="G319" s="52" t="n"/>
      <c r="H319" s="36" t="inlineStr">
        <is>
          <t>79283000862</t>
        </is>
      </c>
      <c r="I319" s="53" t="n"/>
      <c r="J319" s="38">
        <f>IFERROR(MATCH(C319,'Справка'!$A$12:$A$21,0),99)</f>
        <v/>
      </c>
      <c r="K319" s="39">
        <f>HYPERLINK("https://wa.me/"&amp;H319&amp;"?text="&amp;ENCODEURL(T319),"✉ Написать")</f>
        <v/>
      </c>
      <c r="L319" s="39">
        <f>HYPERLINK("https://wa.me/"&amp;H319,"Открыть чат")</f>
        <v/>
      </c>
      <c r="M319" s="38" t="inlineStr">
        <is>
          <t>Ставрополь</t>
        </is>
      </c>
      <c r="N319" s="38" t="n"/>
      <c r="O319" s="38" t="n"/>
      <c r="P319" s="38" t="n"/>
      <c r="Q319" s="38" t="inlineStr">
        <is>
          <t>без сайта, WhatsApp не подтверждён</t>
        </is>
      </c>
      <c r="R319" s="38" t="n">
        <v>2</v>
      </c>
      <c r="S319" s="38" t="inlineStr">
        <is>
          <t>Ставропольский край</t>
        </is>
      </c>
      <c r="T319" s="38" t="inlineStr">
        <is>
          <t>Здравствуйте! Смотрел в 2ГИС, кто делает кровлю в Ставрополе, и нашёл «КровляДело». Сайта в карточке нет.
Готов за вечер собрать сайт для «КровляДело» и показать вам. Денег вперёд не беру. Собрать?</t>
        </is>
      </c>
      <c r="U319" s="38">
        <f>B319&amp;IF(D319&lt;&gt;""," · "&amp;D319,"")&amp;IF(F319&lt;&gt;"",CHAR(10)&amp;F319,"")</f>
        <v/>
      </c>
      <c r="V319" s="38">
        <f>IF(OR(F319="просрочено",F319="сегодня",F319="укажи дату",LEFT(F319,6)="молчит"),1,0)</f>
        <v/>
      </c>
    </row>
    <row r="320" ht="24" customHeight="1">
      <c r="A320" s="38" t="n">
        <v>319</v>
      </c>
      <c r="B320" s="32" t="inlineStr">
        <is>
          <t>Sts Grup, студия ландшафтного дизайна</t>
        </is>
      </c>
      <c r="C320" s="49" t="inlineStr">
        <is>
          <t>Очередь</t>
        </is>
      </c>
      <c r="D320" s="49" t="n"/>
      <c r="E320" s="50" t="n"/>
      <c r="F320" s="51">
        <f>IF(OR(C320="",C320="Очередь",C320="Клиент",C320="Отказ",C320="Не писать"),"",IF(E320="",IF(AND(C320="Отправлено",I320&lt;&gt;"",TODAY()-INT(I320)&gt;=3),"молчит "&amp;(TODAY()-INT(I320))&amp;" дн.",IF(OR(C320="Перезвонить",C320="Созвон"),"укажи дату","")),IF(INT(E320)&lt;TODAY(),"просрочено",IF(INT(E320)=TODAY(),"сегодня",IF(INT(E320)=TODAY()+1,"завтра",TEXT(E320,"dd.mm"))))))</f>
        <v/>
      </c>
      <c r="G320" s="52" t="n"/>
      <c r="H320" s="36" t="inlineStr">
        <is>
          <t>79097557274</t>
        </is>
      </c>
      <c r="I320" s="53" t="n"/>
      <c r="J320" s="38">
        <f>IFERROR(MATCH(C320,'Справка'!$A$12:$A$21,0),99)</f>
        <v/>
      </c>
      <c r="K320" s="39">
        <f>HYPERLINK("https://wa.me/"&amp;H320&amp;"?text="&amp;ENCODEURL(T320),"✉ Написать")</f>
        <v/>
      </c>
      <c r="L320" s="39">
        <f>HYPERLINK("https://wa.me/"&amp;H320,"Открыть чат")</f>
        <v/>
      </c>
      <c r="M320" s="38" t="inlineStr">
        <is>
          <t>Буденновск</t>
        </is>
      </c>
      <c r="N320" s="38" t="n"/>
      <c r="O320" s="38" t="n"/>
      <c r="P320" s="38" t="n"/>
      <c r="Q320" s="38" t="inlineStr">
        <is>
          <t>без сайта, WhatsApp не подтверждён</t>
        </is>
      </c>
      <c r="R320" s="38" t="n">
        <v>2</v>
      </c>
      <c r="S320" s="38" t="inlineStr">
        <is>
          <t>Ставропольский край</t>
        </is>
      </c>
      <c r="T320" s="38" t="inlineStr">
        <is>
          <t>Здравствуйте! Нашёл вас в 2ГИС среди кровельных компаний в Будённовске, а сайта в карточке не нашёл.
Могу собрать сайт под «Sts Grup, студия ландшафтного дизайна» за вечер и показать. Не понравится — ничего не должны. Сделать?</t>
        </is>
      </c>
      <c r="U320" s="38">
        <f>B320&amp;IF(D320&lt;&gt;""," · "&amp;D320,"")&amp;IF(F320&lt;&gt;"",CHAR(10)&amp;F320,"")</f>
        <v/>
      </c>
      <c r="V320" s="38">
        <f>IF(OR(F320="просрочено",F320="сегодня",F320="укажи дату",LEFT(F320,6)="молчит"),1,0)</f>
        <v/>
      </c>
    </row>
    <row r="321" ht="24" customHeight="1">
      <c r="A321" s="38" t="n">
        <v>320</v>
      </c>
      <c r="B321" s="32" t="inlineStr">
        <is>
          <t>Альфа-металл, центр металлоизделий</t>
        </is>
      </c>
      <c r="C321" s="49" t="inlineStr">
        <is>
          <t>Очередь</t>
        </is>
      </c>
      <c r="D321" s="49" t="n"/>
      <c r="E321" s="50" t="n"/>
      <c r="F321" s="51">
        <f>IF(OR(C321="",C321="Очередь",C321="Клиент",C321="Отказ",C321="Не писать"),"",IF(E321="",IF(AND(C321="Отправлено",I321&lt;&gt;"",TODAY()-INT(I321)&gt;=3),"молчит "&amp;(TODAY()-INT(I321))&amp;" дн.",IF(OR(C321="Перезвонить",C321="Созвон"),"укажи дату","")),IF(INT(E321)&lt;TODAY(),"просрочено",IF(INT(E321)=TODAY(),"сегодня",IF(INT(E321)=TODAY()+1,"завтра",TEXT(E321,"dd.mm"))))))</f>
        <v/>
      </c>
      <c r="G321" s="52" t="n"/>
      <c r="H321" s="36" t="inlineStr">
        <is>
          <t>79187502932</t>
        </is>
      </c>
      <c r="I321" s="53" t="n"/>
      <c r="J321" s="38">
        <f>IFERROR(MATCH(C321,'Справка'!$A$12:$A$21,0),99)</f>
        <v/>
      </c>
      <c r="K321" s="39">
        <f>HYPERLINK("https://wa.me/"&amp;H321&amp;"?text="&amp;ENCODEURL(T321),"✉ Написать")</f>
        <v/>
      </c>
      <c r="L321" s="39">
        <f>HYPERLINK("https://wa.me/"&amp;H321,"Открыть чат")</f>
        <v/>
      </c>
      <c r="M321" s="38" t="inlineStr">
        <is>
          <t>Буденновск</t>
        </is>
      </c>
      <c r="N321" s="38" t="n"/>
      <c r="O321" s="38" t="n"/>
      <c r="P321" s="38" t="n"/>
      <c r="Q321" s="38" t="inlineStr">
        <is>
          <t>без сайта, WhatsApp не подтверждён</t>
        </is>
      </c>
      <c r="R321" s="38" t="n">
        <v>2</v>
      </c>
      <c r="S321" s="38" t="inlineStr">
        <is>
          <t>Ставропольский край</t>
        </is>
      </c>
      <c r="T321" s="38" t="inlineStr">
        <is>
          <t>Здравствуйте! Искал в 2ГИС кровельные компании в Будённовске и наткнулся на вас. Сайта в карточке не увидел.
Могу за вечер собрать для «Альфа-металл, центр металлоизделий» сайт и показать. Платить не нужно, пока не понравится. Собрать?</t>
        </is>
      </c>
      <c r="U321" s="38">
        <f>B321&amp;IF(D321&lt;&gt;""," · "&amp;D321,"")&amp;IF(F321&lt;&gt;"",CHAR(10)&amp;F321,"")</f>
        <v/>
      </c>
      <c r="V321" s="38">
        <f>IF(OR(F321="просрочено",F321="сегодня",F321="укажи дату",LEFT(F321,6)="молчит"),1,0)</f>
        <v/>
      </c>
    </row>
    <row r="322" ht="24" customHeight="1">
      <c r="A322" s="38" t="n">
        <v>321</v>
      </c>
      <c r="B322" s="32" t="inlineStr">
        <is>
          <t>Крышмастер</t>
        </is>
      </c>
      <c r="C322" s="49" t="inlineStr">
        <is>
          <t>Очередь</t>
        </is>
      </c>
      <c r="D322" s="49" t="n"/>
      <c r="E322" s="50" t="n"/>
      <c r="F322" s="51">
        <f>IF(OR(C322="",C322="Очередь",C322="Клиент",C322="Отказ",C322="Не писать"),"",IF(E322="",IF(AND(C322="Отправлено",I322&lt;&gt;"",TODAY()-INT(I322)&gt;=3),"молчит "&amp;(TODAY()-INT(I322))&amp;" дн.",IF(OR(C322="Перезвонить",C322="Созвон"),"укажи дату","")),IF(INT(E322)&lt;TODAY(),"просрочено",IF(INT(E322)=TODAY(),"сегодня",IF(INT(E322)=TODAY()+1,"завтра",TEXT(E322,"dd.mm"))))))</f>
        <v/>
      </c>
      <c r="G322" s="52" t="n"/>
      <c r="H322" s="36" t="inlineStr">
        <is>
          <t>79034468884</t>
        </is>
      </c>
      <c r="I322" s="53" t="n"/>
      <c r="J322" s="38">
        <f>IFERROR(MATCH(C322,'Справка'!$A$12:$A$21,0),99)</f>
        <v/>
      </c>
      <c r="K322" s="39">
        <f>HYPERLINK("https://wa.me/"&amp;H322&amp;"?text="&amp;ENCODEURL(T322),"✉ Написать")</f>
        <v/>
      </c>
      <c r="L322" s="39">
        <f>HYPERLINK("https://wa.me/"&amp;H322,"Открыть чат")</f>
        <v/>
      </c>
      <c r="M322" s="38" t="inlineStr">
        <is>
          <t>Буденновск</t>
        </is>
      </c>
      <c r="N322" s="38" t="n"/>
      <c r="O322" s="38" t="n"/>
      <c r="P322" s="38" t="n"/>
      <c r="Q322" s="38" t="inlineStr">
        <is>
          <t>без сайта, WhatsApp не подтверждён</t>
        </is>
      </c>
      <c r="R322" s="38" t="n">
        <v>2</v>
      </c>
      <c r="S322" s="38" t="inlineStr">
        <is>
          <t>Ставропольский край</t>
        </is>
      </c>
      <c r="T322" s="38" t="inlineStr">
        <is>
          <t>Здравствуйте! Смотрел в 2ГИС, кто делает кровлю в Будённовске, и нашёл «Крышмастер». Сайта в карточке нет.
Готов за вечер собрать сайт для «Крышмастер» и показать вам. Денег вперёд не беру. Собрать?</t>
        </is>
      </c>
      <c r="U322" s="38">
        <f>B322&amp;IF(D322&lt;&gt;""," · "&amp;D322,"")&amp;IF(F322&lt;&gt;"",CHAR(10)&amp;F322,"")</f>
        <v/>
      </c>
      <c r="V322" s="38">
        <f>IF(OR(F322="просрочено",F322="сегодня",F322="укажи дату",LEFT(F322,6)="молчит"),1,0)</f>
        <v/>
      </c>
    </row>
    <row r="323" ht="24" customHeight="1">
      <c r="A323" s="38" t="n">
        <v>322</v>
      </c>
      <c r="B323" s="32" t="inlineStr">
        <is>
          <t>Стройэкогарант</t>
        </is>
      </c>
      <c r="C323" s="49" t="inlineStr">
        <is>
          <t>Очередь</t>
        </is>
      </c>
      <c r="D323" s="49" t="n"/>
      <c r="E323" s="50" t="n"/>
      <c r="F323" s="51">
        <f>IF(OR(C323="",C323="Очередь",C323="Клиент",C323="Отказ",C323="Не писать"),"",IF(E323="",IF(AND(C323="Отправлено",I323&lt;&gt;"",TODAY()-INT(I323)&gt;=3),"молчит "&amp;(TODAY()-INT(I323))&amp;" дн.",IF(OR(C323="Перезвонить",C323="Созвон"),"укажи дату","")),IF(INT(E323)&lt;TODAY(),"просрочено",IF(INT(E323)=TODAY(),"сегодня",IF(INT(E323)=TODAY()+1,"завтра",TEXT(E323,"dd.mm"))))))</f>
        <v/>
      </c>
      <c r="G323" s="52" t="n"/>
      <c r="H323" s="36" t="inlineStr">
        <is>
          <t>79610813000</t>
        </is>
      </c>
      <c r="I323" s="53" t="n"/>
      <c r="J323" s="38">
        <f>IFERROR(MATCH(C323,'Справка'!$A$12:$A$21,0),99)</f>
        <v/>
      </c>
      <c r="K323" s="39">
        <f>HYPERLINK("https://wa.me/"&amp;H323&amp;"?text="&amp;ENCODEURL(T323),"✉ Написать")</f>
        <v/>
      </c>
      <c r="L323" s="39">
        <f>HYPERLINK("https://wa.me/"&amp;H323,"Открыть чат")</f>
        <v/>
      </c>
      <c r="M323" s="38" t="inlineStr">
        <is>
          <t>Волгоград</t>
        </is>
      </c>
      <c r="N323" s="38" t="n">
        <v>5</v>
      </c>
      <c r="O323" s="38" t="n">
        <v>16</v>
      </c>
      <c r="P323" s="38" t="inlineStr">
        <is>
          <t>Stroimdoma34.ru</t>
        </is>
      </c>
      <c r="Q323" s="38" t="inlineStr">
        <is>
          <t>есть сайт: сначала впиши в текст, что на нём не так</t>
        </is>
      </c>
      <c r="R323" s="38" t="n">
        <v>2</v>
      </c>
      <c r="S323" s="38" t="inlineStr">
        <is>
          <t>Волгоградская область</t>
        </is>
      </c>
      <c r="T323" s="38" t="inlineStr">
        <is>
          <t>Здравствуйте! Смотрел в 2ГИС кровельные компании в Волгограде, зашёл на ваш сайт с телефона: [ЧТО НЕ ТАК НА САЙТЕ].
Могу за вечер собрать вариант под «Стройэкогарант», где это исправлено, и показать. Собрать?</t>
        </is>
      </c>
      <c r="U323" s="38">
        <f>B323&amp;IF(D323&lt;&gt;""," · "&amp;D323,"")&amp;IF(F323&lt;&gt;"",CHAR(10)&amp;F323,"")</f>
        <v/>
      </c>
      <c r="V323" s="38">
        <f>IF(OR(F323="просрочено",F323="сегодня",F323="укажи дату",LEFT(F323,6)="молчит"),1,0)</f>
        <v/>
      </c>
    </row>
    <row r="324" ht="24" customHeight="1">
      <c r="A324" s="38" t="n">
        <v>323</v>
      </c>
      <c r="B324" s="32" t="inlineStr">
        <is>
          <t>Волжский забор</t>
        </is>
      </c>
      <c r="C324" s="49" t="inlineStr">
        <is>
          <t>Очередь</t>
        </is>
      </c>
      <c r="D324" s="49" t="n"/>
      <c r="E324" s="50" t="n"/>
      <c r="F324" s="51">
        <f>IF(OR(C324="",C324="Очередь",C324="Клиент",C324="Отказ",C324="Не писать"),"",IF(E324="",IF(AND(C324="Отправлено",I324&lt;&gt;"",TODAY()-INT(I324)&gt;=3),"молчит "&amp;(TODAY()-INT(I324))&amp;" дн.",IF(OR(C324="Перезвонить",C324="Созвон"),"укажи дату","")),IF(INT(E324)&lt;TODAY(),"просрочено",IF(INT(E324)=TODAY(),"сегодня",IF(INT(E324)=TODAY()+1,"завтра",TEXT(E324,"dd.mm"))))))</f>
        <v/>
      </c>
      <c r="G324" s="52" t="n"/>
      <c r="H324" s="36" t="inlineStr">
        <is>
          <t>79033157331</t>
        </is>
      </c>
      <c r="I324" s="53" t="n"/>
      <c r="J324" s="38">
        <f>IFERROR(MATCH(C324,'Справка'!$A$12:$A$21,0),99)</f>
        <v/>
      </c>
      <c r="K324" s="39">
        <f>HYPERLINK("https://wa.me/"&amp;H324&amp;"?text="&amp;ENCODEURL(T324),"✉ Написать")</f>
        <v/>
      </c>
      <c r="L324" s="39">
        <f>HYPERLINK("https://wa.me/"&amp;H324,"Открыть чат")</f>
        <v/>
      </c>
      <c r="M324" s="38" t="inlineStr">
        <is>
          <t>Волжский</t>
        </is>
      </c>
      <c r="N324" s="38" t="n">
        <v>4.3</v>
      </c>
      <c r="O324" s="38" t="n">
        <v>6</v>
      </c>
      <c r="P324" s="38" t="inlineStr">
        <is>
          <t>volzhsky-zabor.ru</t>
        </is>
      </c>
      <c r="Q324" s="38" t="inlineStr">
        <is>
          <t>есть сайт: сначала впиши в текст, что на нём не так</t>
        </is>
      </c>
      <c r="R324" s="38" t="n">
        <v>2</v>
      </c>
      <c r="S324" s="38" t="inlineStr">
        <is>
          <t>Волгоградская область</t>
        </is>
      </c>
      <c r="T324" s="38" t="inlineStr">
        <is>
          <t>Здравствуйте! Смотрел в 2ГИС кровельные компании в Волжском, зашёл на ваш сайт с телефона: [ЧТО НЕ ТАК НА САЙТЕ].
Могу за вечер собрать вариант под «Волжский забор», где это исправлено, и показать. Собрать?</t>
        </is>
      </c>
      <c r="U324" s="38">
        <f>B324&amp;IF(D324&lt;&gt;""," · "&amp;D324,"")&amp;IF(F324&lt;&gt;"",CHAR(10)&amp;F324,"")</f>
        <v/>
      </c>
      <c r="V324" s="38">
        <f>IF(OR(F324="просрочено",F324="сегодня",F324="укажи дату",LEFT(F324,6)="молчит"),1,0)</f>
        <v/>
      </c>
    </row>
    <row r="325" ht="24" customHeight="1">
      <c r="A325" s="38" t="n">
        <v>324</v>
      </c>
      <c r="B325" s="32" t="inlineStr">
        <is>
          <t>Скифф</t>
        </is>
      </c>
      <c r="C325" s="49" t="inlineStr">
        <is>
          <t>Очередь</t>
        </is>
      </c>
      <c r="D325" s="49" t="n"/>
      <c r="E325" s="50" t="n"/>
      <c r="F325" s="51">
        <f>IF(OR(C325="",C325="Очередь",C325="Клиент",C325="Отказ",C325="Не писать"),"",IF(E325="",IF(AND(C325="Отправлено",I325&lt;&gt;"",TODAY()-INT(I325)&gt;=3),"молчит "&amp;(TODAY()-INT(I325))&amp;" дн.",IF(OR(C325="Перезвонить",C325="Созвон"),"укажи дату","")),IF(INT(E325)&lt;TODAY(),"просрочено",IF(INT(E325)=TODAY(),"сегодня",IF(INT(E325)=TODAY()+1,"завтра",TEXT(E325,"dd.mm"))))))</f>
        <v/>
      </c>
      <c r="G325" s="52" t="n"/>
      <c r="H325" s="36" t="inlineStr">
        <is>
          <t>79616817511</t>
        </is>
      </c>
      <c r="I325" s="53" t="n"/>
      <c r="J325" s="38">
        <f>IFERROR(MATCH(C325,'Справка'!$A$12:$A$21,0),99)</f>
        <v/>
      </c>
      <c r="K325" s="39">
        <f>HYPERLINK("https://wa.me/"&amp;H325&amp;"?text="&amp;ENCODEURL(T325),"✉ Написать")</f>
        <v/>
      </c>
      <c r="L325" s="39">
        <f>HYPERLINK("https://wa.me/"&amp;H325,"Открыть чат")</f>
        <v/>
      </c>
      <c r="M325" s="38" t="inlineStr">
        <is>
          <t>Волгоград</t>
        </is>
      </c>
      <c r="N325" s="38" t="n">
        <v>5</v>
      </c>
      <c r="O325" s="38" t="n">
        <v>5</v>
      </c>
      <c r="P325" s="38" t="inlineStr">
        <is>
          <t>tc-ug.ru</t>
        </is>
      </c>
      <c r="Q325" s="38" t="inlineStr">
        <is>
          <t>есть сайт: сначала впиши в текст, что на нём не так</t>
        </is>
      </c>
      <c r="R325" s="38" t="n">
        <v>2</v>
      </c>
      <c r="S325" s="38" t="inlineStr">
        <is>
          <t>Волгоградская область</t>
        </is>
      </c>
      <c r="T325" s="38" t="inlineStr">
        <is>
          <t>Здравствуйте! Смотрел в 2ГИС кровельные компании в Волгограде, зашёл на ваш сайт с телефона: [ЧТО НЕ ТАК НА САЙТЕ].
Могу за вечер собрать вариант под «Скифф», где это исправлено, и показать. Собрать?</t>
        </is>
      </c>
      <c r="U325" s="38">
        <f>B325&amp;IF(D325&lt;&gt;""," · "&amp;D325,"")&amp;IF(F325&lt;&gt;"",CHAR(10)&amp;F325,"")</f>
        <v/>
      </c>
      <c r="V325" s="38">
        <f>IF(OR(F325="просрочено",F325="сегодня",F325="укажи дату",LEFT(F325,6)="молчит"),1,0)</f>
        <v/>
      </c>
    </row>
    <row r="326" ht="24" customHeight="1">
      <c r="A326" s="38" t="n">
        <v>325</v>
      </c>
      <c r="B326" s="32" t="inlineStr">
        <is>
          <t>Кирпичный центр</t>
        </is>
      </c>
      <c r="C326" s="49" t="inlineStr">
        <is>
          <t>Очередь</t>
        </is>
      </c>
      <c r="D326" s="49" t="n"/>
      <c r="E326" s="50" t="n"/>
      <c r="F326" s="51">
        <f>IF(OR(C326="",C326="Очередь",C326="Клиент",C326="Отказ",C326="Не писать"),"",IF(E326="",IF(AND(C326="Отправлено",I326&lt;&gt;"",TODAY()-INT(I326)&gt;=3),"молчит "&amp;(TODAY()-INT(I326))&amp;" дн.",IF(OR(C326="Перезвонить",C326="Созвон"),"укажи дату","")),IF(INT(E326)&lt;TODAY(),"просрочено",IF(INT(E326)=TODAY(),"сегодня",IF(INT(E326)=TODAY()+1,"завтра",TEXT(E326,"dd.mm"))))))</f>
        <v/>
      </c>
      <c r="G326" s="52" t="n"/>
      <c r="H326" s="36" t="inlineStr">
        <is>
          <t>79197967994</t>
        </is>
      </c>
      <c r="I326" s="53" t="n"/>
      <c r="J326" s="38">
        <f>IFERROR(MATCH(C326,'Справка'!$A$12:$A$21,0),99)</f>
        <v/>
      </c>
      <c r="K326" s="39">
        <f>HYPERLINK("https://wa.me/"&amp;H326&amp;"?text="&amp;ENCODEURL(T326),"✉ Написать")</f>
        <v/>
      </c>
      <c r="L326" s="39">
        <f>HYPERLINK("https://wa.me/"&amp;H326,"Открыть чат")</f>
        <v/>
      </c>
      <c r="M326" s="38" t="inlineStr">
        <is>
          <t>Волгоград</t>
        </is>
      </c>
      <c r="N326" s="38" t="n">
        <v>4</v>
      </c>
      <c r="O326" s="38" t="n">
        <v>4</v>
      </c>
      <c r="P326" s="38" t="inlineStr">
        <is>
          <t>kirpcentr.ru</t>
        </is>
      </c>
      <c r="Q326" s="38" t="inlineStr">
        <is>
          <t>есть сайт: сначала впиши в текст, что на нём не так</t>
        </is>
      </c>
      <c r="R326" s="38" t="n">
        <v>2</v>
      </c>
      <c r="S326" s="38" t="inlineStr">
        <is>
          <t>Волгоградская область</t>
        </is>
      </c>
      <c r="T326" s="38" t="inlineStr">
        <is>
          <t>Здравствуйте! Смотрел в 2ГИС кровельные компании в Волгограде, зашёл на ваш сайт с телефона: [ЧТО НЕ ТАК НА САЙТЕ].
Могу за вечер собрать вариант под «Кирпичный центр», где это исправлено, и показать. Собрать?</t>
        </is>
      </c>
      <c r="U326" s="38">
        <f>B326&amp;IF(D326&lt;&gt;""," · "&amp;D326,"")&amp;IF(F326&lt;&gt;"",CHAR(10)&amp;F326,"")</f>
        <v/>
      </c>
      <c r="V326" s="38">
        <f>IF(OR(F326="просрочено",F326="сегодня",F326="укажи дату",LEFT(F326,6)="молчит"),1,0)</f>
        <v/>
      </c>
    </row>
    <row r="327" ht="24" customHeight="1">
      <c r="A327" s="38" t="n">
        <v>326</v>
      </c>
      <c r="B327" s="32" t="inlineStr">
        <is>
          <t>Прораб 34</t>
        </is>
      </c>
      <c r="C327" s="49" t="inlineStr">
        <is>
          <t>Очередь</t>
        </is>
      </c>
      <c r="D327" s="49" t="n"/>
      <c r="E327" s="50" t="n"/>
      <c r="F327" s="51">
        <f>IF(OR(C327="",C327="Очередь",C327="Клиент",C327="Отказ",C327="Не писать"),"",IF(E327="",IF(AND(C327="Отправлено",I327&lt;&gt;"",TODAY()-INT(I327)&gt;=3),"молчит "&amp;(TODAY()-INT(I327))&amp;" дн.",IF(OR(C327="Перезвонить",C327="Созвон"),"укажи дату","")),IF(INT(E327)&lt;TODAY(),"просрочено",IF(INT(E327)=TODAY(),"сегодня",IF(INT(E327)=TODAY()+1,"завтра",TEXT(E327,"dd.mm"))))))</f>
        <v/>
      </c>
      <c r="G327" s="52" t="n"/>
      <c r="H327" s="36" t="inlineStr">
        <is>
          <t>79375393050</t>
        </is>
      </c>
      <c r="I327" s="53" t="n"/>
      <c r="J327" s="38">
        <f>IFERROR(MATCH(C327,'Справка'!$A$12:$A$21,0),99)</f>
        <v/>
      </c>
      <c r="K327" s="39">
        <f>HYPERLINK("https://wa.me/"&amp;H327&amp;"?text="&amp;ENCODEURL(T327),"✉ Написать")</f>
        <v/>
      </c>
      <c r="L327" s="39">
        <f>HYPERLINK("https://wa.me/"&amp;H327,"Открыть чат")</f>
        <v/>
      </c>
      <c r="M327" s="38" t="inlineStr">
        <is>
          <t>Волжский</t>
        </is>
      </c>
      <c r="N327" s="38" t="n">
        <v>5</v>
      </c>
      <c r="O327" s="38" t="n">
        <v>4</v>
      </c>
      <c r="P327" s="38" t="inlineStr">
        <is>
          <t>prorab34.ru</t>
        </is>
      </c>
      <c r="Q327" s="38" t="inlineStr">
        <is>
          <t>есть сайт: сначала впиши в текст, что на нём не так</t>
        </is>
      </c>
      <c r="R327" s="38" t="n">
        <v>2</v>
      </c>
      <c r="S327" s="38" t="inlineStr">
        <is>
          <t>Волгоградская область</t>
        </is>
      </c>
      <c r="T327" s="38" t="inlineStr">
        <is>
          <t>Здравствуйте! Смотрел в 2ГИС кровельные компании в Волжском, зашёл на ваш сайт с телефона: [ЧТО НЕ ТАК НА САЙТЕ].
Могу за вечер собрать вариант под «Прораб 34», где это исправлено, и показать. Собрать?</t>
        </is>
      </c>
      <c r="U327" s="38">
        <f>B327&amp;IF(D327&lt;&gt;""," · "&amp;D327,"")&amp;IF(F327&lt;&gt;"",CHAR(10)&amp;F327,"")</f>
        <v/>
      </c>
      <c r="V327" s="38">
        <f>IF(OR(F327="просрочено",F327="сегодня",F327="укажи дату",LEFT(F327,6)="молчит"),1,0)</f>
        <v/>
      </c>
    </row>
    <row r="328" ht="24" customHeight="1">
      <c r="A328" s="38" t="n">
        <v>327</v>
      </c>
      <c r="B328" s="32" t="inlineStr">
        <is>
          <t>Выездная служба по ремонту кровли</t>
        </is>
      </c>
      <c r="C328" s="49" t="inlineStr">
        <is>
          <t>Очередь</t>
        </is>
      </c>
      <c r="D328" s="49" t="n"/>
      <c r="E328" s="50" t="n"/>
      <c r="F328" s="51">
        <f>IF(OR(C328="",C328="Очередь",C328="Клиент",C328="Отказ",C328="Не писать"),"",IF(E328="",IF(AND(C328="Отправлено",I328&lt;&gt;"",TODAY()-INT(I328)&gt;=3),"молчит "&amp;(TODAY()-INT(I328))&amp;" дн.",IF(OR(C328="Перезвонить",C328="Созвон"),"укажи дату","")),IF(INT(E328)&lt;TODAY(),"просрочено",IF(INT(E328)=TODAY(),"сегодня",IF(INT(E328)=TODAY()+1,"завтра",TEXT(E328,"dd.mm"))))))</f>
        <v/>
      </c>
      <c r="G328" s="52" t="n"/>
      <c r="H328" s="36" t="inlineStr">
        <is>
          <t>79370973761</t>
        </is>
      </c>
      <c r="I328" s="53" t="n"/>
      <c r="J328" s="38">
        <f>IFERROR(MATCH(C328,'Справка'!$A$12:$A$21,0),99)</f>
        <v/>
      </c>
      <c r="K328" s="39">
        <f>HYPERLINK("https://wa.me/"&amp;H328&amp;"?text="&amp;ENCODEURL(T328),"✉ Написать")</f>
        <v/>
      </c>
      <c r="L328" s="39">
        <f>HYPERLINK("https://wa.me/"&amp;H328,"Открыть чат")</f>
        <v/>
      </c>
      <c r="M328" s="38" t="inlineStr">
        <is>
          <t>Волгоград</t>
        </is>
      </c>
      <c r="N328" s="38" t="n">
        <v>5</v>
      </c>
      <c r="O328" s="38" t="n">
        <v>3</v>
      </c>
      <c r="P328" s="38" t="inlineStr">
        <is>
          <t>Перейти в Telegram-канал</t>
        </is>
      </c>
      <c r="Q328" s="38" t="inlineStr">
        <is>
          <t>есть сайт: сначала впиши в текст, что на нём не так</t>
        </is>
      </c>
      <c r="R328" s="38" t="n">
        <v>2</v>
      </c>
      <c r="S328" s="38" t="inlineStr">
        <is>
          <t>Волгоградская область</t>
        </is>
      </c>
      <c r="T328" s="38" t="inlineStr">
        <is>
          <t>Здравствуйте! Смотрел в 2ГИС кровельные компании в Волгограде, зашёл на ваш сайт с телефона: [ЧТО НЕ ТАК НА САЙТЕ].
Могу за вечер собрать вариант под «Выездная служба по ремонту кровли», где это исправлено, и показать. Собрать?</t>
        </is>
      </c>
      <c r="U328" s="38">
        <f>B328&amp;IF(D328&lt;&gt;""," · "&amp;D328,"")&amp;IF(F328&lt;&gt;"",CHAR(10)&amp;F328,"")</f>
        <v/>
      </c>
      <c r="V328" s="38">
        <f>IF(OR(F328="просрочено",F328="сегодня",F328="укажи дату",LEFT(F328,6)="молчит"),1,0)</f>
        <v/>
      </c>
    </row>
    <row r="329" ht="24" customHeight="1">
      <c r="A329" s="38" t="n">
        <v>328</v>
      </c>
      <c r="B329" s="32" t="inlineStr">
        <is>
          <t>Бабкина Дача</t>
        </is>
      </c>
      <c r="C329" s="49" t="inlineStr">
        <is>
          <t>Очередь</t>
        </is>
      </c>
      <c r="D329" s="49" t="n"/>
      <c r="E329" s="50" t="n"/>
      <c r="F329" s="51">
        <f>IF(OR(C329="",C329="Очередь",C329="Клиент",C329="Отказ",C329="Не писать"),"",IF(E329="",IF(AND(C329="Отправлено",I329&lt;&gt;"",TODAY()-INT(I329)&gt;=3),"молчит "&amp;(TODAY()-INT(I329))&amp;" дн.",IF(OR(C329="Перезвонить",C329="Созвон"),"укажи дату","")),IF(INT(E329)&lt;TODAY(),"просрочено",IF(INT(E329)=TODAY(),"сегодня",IF(INT(E329)=TODAY()+1,"завтра",TEXT(E329,"dd.mm"))))))</f>
        <v/>
      </c>
      <c r="G329" s="52" t="n"/>
      <c r="H329" s="36" t="inlineStr">
        <is>
          <t>79173387600</t>
        </is>
      </c>
      <c r="I329" s="53" t="n"/>
      <c r="J329" s="38">
        <f>IFERROR(MATCH(C329,'Справка'!$A$12:$A$21,0),99)</f>
        <v/>
      </c>
      <c r="K329" s="39">
        <f>HYPERLINK("https://wa.me/"&amp;H329&amp;"?text="&amp;ENCODEURL(T329),"✉ Написать")</f>
        <v/>
      </c>
      <c r="L329" s="39">
        <f>HYPERLINK("https://wa.me/"&amp;H329,"Открыть чат")</f>
        <v/>
      </c>
      <c r="M329" s="38" t="inlineStr">
        <is>
          <t>Волгоград</t>
        </is>
      </c>
      <c r="N329" s="38" t="n">
        <v>5</v>
      </c>
      <c r="O329" s="38" t="n">
        <v>1</v>
      </c>
      <c r="P329" s="38" t="inlineStr">
        <is>
          <t>бабкинадача.рф</t>
        </is>
      </c>
      <c r="Q329" s="38" t="inlineStr">
        <is>
          <t>есть сайт: сначала впиши в текст, что на нём не так</t>
        </is>
      </c>
      <c r="R329" s="38" t="n">
        <v>2</v>
      </c>
      <c r="S329" s="38" t="inlineStr">
        <is>
          <t>Волгоградская область</t>
        </is>
      </c>
      <c r="T329" s="38" t="inlineStr">
        <is>
          <t>Здравствуйте! Смотрел в 2ГИС кровельные компании в Волгограде, зашёл на ваш сайт с телефона: [ЧТО НЕ ТАК НА САЙТЕ].
Могу за вечер собрать вариант под «Бабкина Дача», где это исправлено, и показать. Собрать?</t>
        </is>
      </c>
      <c r="U329" s="38">
        <f>B329&amp;IF(D329&lt;&gt;""," · "&amp;D329,"")&amp;IF(F329&lt;&gt;"",CHAR(10)&amp;F329,"")</f>
        <v/>
      </c>
      <c r="V329" s="38">
        <f>IF(OR(F329="просрочено",F329="сегодня",F329="укажи дату",LEFT(F329,6)="молчит"),1,0)</f>
        <v/>
      </c>
    </row>
    <row r="330" ht="24" customHeight="1">
      <c r="A330" s="38" t="n">
        <v>329</v>
      </c>
      <c r="B330" s="32" t="inlineStr">
        <is>
          <t>Юг Мастер</t>
        </is>
      </c>
      <c r="C330" s="49" t="inlineStr">
        <is>
          <t>Очередь</t>
        </is>
      </c>
      <c r="D330" s="49" t="n"/>
      <c r="E330" s="50" t="n"/>
      <c r="F330" s="51">
        <f>IF(OR(C330="",C330="Очередь",C330="Клиент",C330="Отказ",C330="Не писать"),"",IF(E330="",IF(AND(C330="Отправлено",I330&lt;&gt;"",TODAY()-INT(I330)&gt;=3),"молчит "&amp;(TODAY()-INT(I330))&amp;" дн.",IF(OR(C330="Перезвонить",C330="Созвон"),"укажи дату","")),IF(INT(E330)&lt;TODAY(),"просрочено",IF(INT(E330)=TODAY(),"сегодня",IF(INT(E330)=TODAY()+1,"завтра",TEXT(E330,"dd.mm"))))))</f>
        <v/>
      </c>
      <c r="G330" s="52" t="n"/>
      <c r="H330" s="36" t="inlineStr">
        <is>
          <t>79686600999</t>
        </is>
      </c>
      <c r="I330" s="53" t="n"/>
      <c r="J330" s="38">
        <f>IFERROR(MATCH(C330,'Справка'!$A$12:$A$21,0),99)</f>
        <v/>
      </c>
      <c r="K330" s="39">
        <f>HYPERLINK("https://wa.me/"&amp;H330&amp;"?text="&amp;ENCODEURL(T330),"✉ Написать")</f>
        <v/>
      </c>
      <c r="L330" s="39">
        <f>HYPERLINK("https://wa.me/"&amp;H330,"Открыть чат")</f>
        <v/>
      </c>
      <c r="M330" s="38" t="inlineStr">
        <is>
          <t>Волгоград</t>
        </is>
      </c>
      <c r="N330" s="38" t="n"/>
      <c r="O330" s="38" t="n"/>
      <c r="P330" s="38" t="inlineStr">
        <is>
          <t>stroimasterug.ru</t>
        </is>
      </c>
      <c r="Q330" s="38" t="inlineStr">
        <is>
          <t>есть сайт: сначала впиши в текст, что на нём не так</t>
        </is>
      </c>
      <c r="R330" s="38" t="n">
        <v>2</v>
      </c>
      <c r="S330" s="38" t="inlineStr">
        <is>
          <t>Волгоградская область</t>
        </is>
      </c>
      <c r="T330" s="38" t="inlineStr">
        <is>
          <t>Здравствуйте! Смотрел в 2ГИС кровельные компании в Волгограде, зашёл на ваш сайт с телефона: [ЧТО НЕ ТАК НА САЙТЕ].
Могу за вечер собрать вариант под «Юг Мастер», где это исправлено, и показать. Собрать?</t>
        </is>
      </c>
      <c r="U330" s="38">
        <f>B330&amp;IF(D330&lt;&gt;""," · "&amp;D330,"")&amp;IF(F330&lt;&gt;"",CHAR(10)&amp;F330,"")</f>
        <v/>
      </c>
      <c r="V330" s="38">
        <f>IF(OR(F330="просрочено",F330="сегодня",F330="укажи дату",LEFT(F330,6)="молчит"),1,0)</f>
        <v/>
      </c>
    </row>
    <row r="331" ht="24" customHeight="1">
      <c r="A331" s="38" t="n">
        <v>330</v>
      </c>
      <c r="B331" s="32" t="inlineStr">
        <is>
          <t>Ремкровля</t>
        </is>
      </c>
      <c r="C331" s="49" t="inlineStr">
        <is>
          <t>Очередь</t>
        </is>
      </c>
      <c r="D331" s="49" t="n"/>
      <c r="E331" s="50" t="n"/>
      <c r="F331" s="51">
        <f>IF(OR(C331="",C331="Очередь",C331="Клиент",C331="Отказ",C331="Не писать"),"",IF(E331="",IF(AND(C331="Отправлено",I331&lt;&gt;"",TODAY()-INT(I331)&gt;=3),"молчит "&amp;(TODAY()-INT(I331))&amp;" дн.",IF(OR(C331="Перезвонить",C331="Созвон"),"укажи дату","")),IF(INT(E331)&lt;TODAY(),"просрочено",IF(INT(E331)=TODAY(),"сегодня",IF(INT(E331)=TODAY()+1,"завтра",TEXT(E331,"dd.mm"))))))</f>
        <v/>
      </c>
      <c r="G331" s="52" t="n"/>
      <c r="H331" s="36" t="inlineStr">
        <is>
          <t>79023632889</t>
        </is>
      </c>
      <c r="I331" s="53" t="n"/>
      <c r="J331" s="38">
        <f>IFERROR(MATCH(C331,'Справка'!$A$12:$A$21,0),99)</f>
        <v/>
      </c>
      <c r="K331" s="39">
        <f>HYPERLINK("https://wa.me/"&amp;H331&amp;"?text="&amp;ENCODEURL(T331),"✉ Написать")</f>
        <v/>
      </c>
      <c r="L331" s="39">
        <f>HYPERLINK("https://wa.me/"&amp;H331,"Открыть чат")</f>
        <v/>
      </c>
      <c r="M331" s="38" t="inlineStr">
        <is>
          <t>Волгоград</t>
        </is>
      </c>
      <c r="N331" s="38" t="n"/>
      <c r="O331" s="38" t="n"/>
      <c r="P331" s="38" t="inlineStr">
        <is>
          <t>remkrovla.ru</t>
        </is>
      </c>
      <c r="Q331" s="38" t="inlineStr">
        <is>
          <t>есть сайт: сначала впиши в текст, что на нём не так</t>
        </is>
      </c>
      <c r="R331" s="38" t="n">
        <v>2</v>
      </c>
      <c r="S331" s="38" t="inlineStr">
        <is>
          <t>Волгоградская область</t>
        </is>
      </c>
      <c r="T331" s="38" t="inlineStr">
        <is>
          <t>Здравствуйте! Смотрел в 2ГИС кровельные компании в Волгограде, зашёл на ваш сайт с телефона: [ЧТО НЕ ТАК НА САЙТЕ].
Могу за вечер собрать вариант под «Ремкровля», где это исправлено, и показать. Собрать?</t>
        </is>
      </c>
      <c r="U331" s="38">
        <f>B331&amp;IF(D331&lt;&gt;""," · "&amp;D331,"")&amp;IF(F331&lt;&gt;"",CHAR(10)&amp;F331,"")</f>
        <v/>
      </c>
      <c r="V331" s="38">
        <f>IF(OR(F331="просрочено",F331="сегодня",F331="укажи дату",LEFT(F331,6)="молчит"),1,0)</f>
        <v/>
      </c>
    </row>
    <row r="332" ht="24" customHeight="1">
      <c r="A332" s="38" t="n">
        <v>331</v>
      </c>
      <c r="B332" s="32" t="inlineStr">
        <is>
          <t>Строй Монтаж Комплект</t>
        </is>
      </c>
      <c r="C332" s="49" t="inlineStr">
        <is>
          <t>Очередь</t>
        </is>
      </c>
      <c r="D332" s="49" t="n"/>
      <c r="E332" s="50" t="n"/>
      <c r="F332" s="51">
        <f>IF(OR(C332="",C332="Очередь",C332="Клиент",C332="Отказ",C332="Не писать"),"",IF(E332="",IF(AND(C332="Отправлено",I332&lt;&gt;"",TODAY()-INT(I332)&gt;=3),"молчит "&amp;(TODAY()-INT(I332))&amp;" дн.",IF(OR(C332="Перезвонить",C332="Созвон"),"укажи дату","")),IF(INT(E332)&lt;TODAY(),"просрочено",IF(INT(E332)=TODAY(),"сегодня",IF(INT(E332)=TODAY()+1,"завтра",TEXT(E332,"dd.mm"))))))</f>
        <v/>
      </c>
      <c r="G332" s="52" t="n"/>
      <c r="H332" s="36" t="inlineStr">
        <is>
          <t>79275077525</t>
        </is>
      </c>
      <c r="I332" s="53" t="n"/>
      <c r="J332" s="38">
        <f>IFERROR(MATCH(C332,'Справка'!$A$12:$A$21,0),99)</f>
        <v/>
      </c>
      <c r="K332" s="39">
        <f>HYPERLINK("https://wa.me/"&amp;H332&amp;"?text="&amp;ENCODEURL(T332),"✉ Написать")</f>
        <v/>
      </c>
      <c r="L332" s="39">
        <f>HYPERLINK("https://wa.me/"&amp;H332,"Открыть чат")</f>
        <v/>
      </c>
      <c r="M332" s="38" t="inlineStr">
        <is>
          <t>Волгоград</t>
        </is>
      </c>
      <c r="N332" s="38" t="n"/>
      <c r="O332" s="38" t="n"/>
      <c r="P332" s="38" t="inlineStr">
        <is>
          <t>smk-volga.ru</t>
        </is>
      </c>
      <c r="Q332" s="38" t="inlineStr">
        <is>
          <t>есть сайт: сначала впиши в текст, что на нём не так</t>
        </is>
      </c>
      <c r="R332" s="38" t="n">
        <v>2</v>
      </c>
      <c r="S332" s="38" t="inlineStr">
        <is>
          <t>Волгоградская область</t>
        </is>
      </c>
      <c r="T332" s="38" t="inlineStr">
        <is>
          <t>Здравствуйте! Смотрел в 2ГИС кровельные компании в Волгограде, зашёл на ваш сайт с телефона: [ЧТО НЕ ТАК НА САЙТЕ].
Могу за вечер собрать вариант под «Строй Монтаж Комплект», где это исправлено, и показать. Собрать?</t>
        </is>
      </c>
      <c r="U332" s="38">
        <f>B332&amp;IF(D332&lt;&gt;""," · "&amp;D332,"")&amp;IF(F332&lt;&gt;"",CHAR(10)&amp;F332,"")</f>
        <v/>
      </c>
      <c r="V332" s="38">
        <f>IF(OR(F332="просрочено",F332="сегодня",F332="укажи дату",LEFT(F332,6)="молчит"),1,0)</f>
        <v/>
      </c>
    </row>
    <row r="333" ht="24" customHeight="1">
      <c r="A333" s="38" t="n">
        <v>332</v>
      </c>
      <c r="B333" s="32" t="inlineStr">
        <is>
          <t>АртБилд</t>
        </is>
      </c>
      <c r="C333" s="49" t="inlineStr">
        <is>
          <t>Очередь</t>
        </is>
      </c>
      <c r="D333" s="49" t="n"/>
      <c r="E333" s="50" t="n"/>
      <c r="F333" s="51">
        <f>IF(OR(C333="",C333="Очередь",C333="Клиент",C333="Отказ",C333="Не писать"),"",IF(E333="",IF(AND(C333="Отправлено",I333&lt;&gt;"",TODAY()-INT(I333)&gt;=3),"молчит "&amp;(TODAY()-INT(I333))&amp;" дн.",IF(OR(C333="Перезвонить",C333="Созвон"),"укажи дату","")),IF(INT(E333)&lt;TODAY(),"просрочено",IF(INT(E333)=TODAY(),"сегодня",IF(INT(E333)=TODAY()+1,"завтра",TEXT(E333,"dd.mm"))))))</f>
        <v/>
      </c>
      <c r="G333" s="52" t="n"/>
      <c r="H333" s="36" t="inlineStr">
        <is>
          <t>79061661361</t>
        </is>
      </c>
      <c r="I333" s="53" t="n"/>
      <c r="J333" s="38">
        <f>IFERROR(MATCH(C333,'Справка'!$A$12:$A$21,0),99)</f>
        <v/>
      </c>
      <c r="K333" s="39">
        <f>HYPERLINK("https://wa.me/"&amp;H333&amp;"?text="&amp;ENCODEURL(T333),"✉ Написать")</f>
        <v/>
      </c>
      <c r="L333" s="39">
        <f>HYPERLINK("https://wa.me/"&amp;H333,"Открыть чат")</f>
        <v/>
      </c>
      <c r="M333" s="38" t="inlineStr">
        <is>
          <t>Волгоград</t>
        </is>
      </c>
      <c r="N333" s="38" t="n"/>
      <c r="O333" s="38" t="n"/>
      <c r="P333" s="38" t="inlineStr">
        <is>
          <t>artbild2025.ru</t>
        </is>
      </c>
      <c r="Q333" s="38" t="inlineStr">
        <is>
          <t>есть сайт: сначала впиши в текст, что на нём не так</t>
        </is>
      </c>
      <c r="R333" s="38" t="n">
        <v>2</v>
      </c>
      <c r="S333" s="38" t="inlineStr">
        <is>
          <t>Волгоградская область</t>
        </is>
      </c>
      <c r="T333" s="38" t="inlineStr">
        <is>
          <t>Здравствуйте! Смотрел в 2ГИС кровельные компании в Волгограде, зашёл на ваш сайт с телефона: [ЧТО НЕ ТАК НА САЙТЕ].
Могу за вечер собрать вариант под «АртБилд», где это исправлено, и показать. Собрать?</t>
        </is>
      </c>
      <c r="U333" s="38">
        <f>B333&amp;IF(D333&lt;&gt;""," · "&amp;D333,"")&amp;IF(F333&lt;&gt;"",CHAR(10)&amp;F333,"")</f>
        <v/>
      </c>
      <c r="V333" s="38">
        <f>IF(OR(F333="просрочено",F333="сегодня",F333="укажи дату",LEFT(F333,6)="молчит"),1,0)</f>
        <v/>
      </c>
    </row>
    <row r="334" ht="24" customHeight="1">
      <c r="A334" s="38" t="n">
        <v>333</v>
      </c>
      <c r="B334" s="32" t="inlineStr">
        <is>
          <t>Норма</t>
        </is>
      </c>
      <c r="C334" s="49" t="inlineStr">
        <is>
          <t>Очередь</t>
        </is>
      </c>
      <c r="D334" s="49" t="n"/>
      <c r="E334" s="50" t="n"/>
      <c r="F334" s="51">
        <f>IF(OR(C334="",C334="Очередь",C334="Клиент",C334="Отказ",C334="Не писать"),"",IF(E334="",IF(AND(C334="Отправлено",I334&lt;&gt;"",TODAY()-INT(I334)&gt;=3),"молчит "&amp;(TODAY()-INT(I334))&amp;" дн.",IF(OR(C334="Перезвонить",C334="Созвон"),"укажи дату","")),IF(INT(E334)&lt;TODAY(),"просрочено",IF(INT(E334)=TODAY(),"сегодня",IF(INT(E334)=TODAY()+1,"завтра",TEXT(E334,"dd.mm"))))))</f>
        <v/>
      </c>
      <c r="G334" s="52" t="n"/>
      <c r="H334" s="36" t="inlineStr">
        <is>
          <t>79023138632</t>
        </is>
      </c>
      <c r="I334" s="53" t="n"/>
      <c r="J334" s="38">
        <f>IFERROR(MATCH(C334,'Справка'!$A$12:$A$21,0),99)</f>
        <v/>
      </c>
      <c r="K334" s="39">
        <f>HYPERLINK("https://wa.me/"&amp;H334&amp;"?text="&amp;ENCODEURL(T334),"✉ Написать")</f>
        <v/>
      </c>
      <c r="L334" s="39">
        <f>HYPERLINK("https://wa.me/"&amp;H334,"Открыть чат")</f>
        <v/>
      </c>
      <c r="M334" s="38" t="inlineStr">
        <is>
          <t>Волгоград</t>
        </is>
      </c>
      <c r="N334" s="38" t="n"/>
      <c r="O334" s="38" t="n"/>
      <c r="P334" s="38" t="inlineStr">
        <is>
          <t>t-krovlya.ru</t>
        </is>
      </c>
      <c r="Q334" s="38" t="inlineStr">
        <is>
          <t>есть сайт: сначала впиши в текст, что на нём не так</t>
        </is>
      </c>
      <c r="R334" s="38" t="n">
        <v>2</v>
      </c>
      <c r="S334" s="38" t="inlineStr">
        <is>
          <t>Волгоградская область</t>
        </is>
      </c>
      <c r="T334" s="38" t="inlineStr">
        <is>
          <t>Здравствуйте! Смотрел в 2ГИС кровельные компании в Волгограде, зашёл на ваш сайт с телефона: [ЧТО НЕ ТАК НА САЙТЕ].
Могу за вечер собрать вариант под «Норма», где это исправлено, и показать. Собрать?</t>
        </is>
      </c>
      <c r="U334" s="38">
        <f>B334&amp;IF(D334&lt;&gt;""," · "&amp;D334,"")&amp;IF(F334&lt;&gt;"",CHAR(10)&amp;F334,"")</f>
        <v/>
      </c>
      <c r="V334" s="38">
        <f>IF(OR(F334="просрочено",F334="сегодня",F334="укажи дату",LEFT(F334,6)="молчит"),1,0)</f>
        <v/>
      </c>
    </row>
    <row r="335" ht="24" customHeight="1">
      <c r="A335" s="38" t="n">
        <v>334</v>
      </c>
      <c r="B335" s="32" t="inlineStr">
        <is>
          <t>ЭкоСтрой</t>
        </is>
      </c>
      <c r="C335" s="49" t="inlineStr">
        <is>
          <t>Очередь</t>
        </is>
      </c>
      <c r="D335" s="49" t="n"/>
      <c r="E335" s="50" t="n"/>
      <c r="F335" s="51">
        <f>IF(OR(C335="",C335="Очередь",C335="Клиент",C335="Отказ",C335="Не писать"),"",IF(E335="",IF(AND(C335="Отправлено",I335&lt;&gt;"",TODAY()-INT(I335)&gt;=3),"молчит "&amp;(TODAY()-INT(I335))&amp;" дн.",IF(OR(C335="Перезвонить",C335="Созвон"),"укажи дату","")),IF(INT(E335)&lt;TODAY(),"просрочено",IF(INT(E335)=TODAY(),"сегодня",IF(INT(E335)=TODAY()+1,"завтра",TEXT(E335,"dd.mm"))))))</f>
        <v/>
      </c>
      <c r="G335" s="52" t="n"/>
      <c r="H335" s="36" t="inlineStr">
        <is>
          <t>79880100007</t>
        </is>
      </c>
      <c r="I335" s="53" t="n"/>
      <c r="J335" s="38">
        <f>IFERROR(MATCH(C335,'Справка'!$A$12:$A$21,0),99)</f>
        <v/>
      </c>
      <c r="K335" s="39">
        <f>HYPERLINK("https://wa.me/"&amp;H335&amp;"?text="&amp;ENCODEURL(T335),"✉ Написать")</f>
        <v/>
      </c>
      <c r="L335" s="39">
        <f>HYPERLINK("https://wa.me/"&amp;H335,"Открыть чат")</f>
        <v/>
      </c>
      <c r="M335" s="38" t="inlineStr">
        <is>
          <t>х. Госпитомник</t>
        </is>
      </c>
      <c r="N335" s="38" t="n"/>
      <c r="O335" s="38" t="n"/>
      <c r="P335" s="38" t="inlineStr">
        <is>
          <t>экострой34.рф</t>
        </is>
      </c>
      <c r="Q335" s="38" t="inlineStr">
        <is>
          <t>есть сайт: сначала впиши в текст, что на нём не так</t>
        </is>
      </c>
      <c r="R335" s="38" t="n">
        <v>2</v>
      </c>
      <c r="S335" s="38" t="inlineStr">
        <is>
          <t>Волгоградская область</t>
        </is>
      </c>
      <c r="T335" s="38" t="inlineStr">
        <is>
          <t>Здравствуйте! Смотрел в 2ГИС кровельные компании в Волгоградской области, зашёл на ваш сайт с телефона: [ЧТО НЕ ТАК НА САЙТЕ].
Могу за вечер собрать вариант под «ЭкоСтрой», где это исправлено, и показать. Собрать?</t>
        </is>
      </c>
      <c r="U335" s="38">
        <f>B335&amp;IF(D335&lt;&gt;""," · "&amp;D335,"")&amp;IF(F335&lt;&gt;"",CHAR(10)&amp;F335,"")</f>
        <v/>
      </c>
      <c r="V335" s="38">
        <f>IF(OR(F335="просрочено",F335="сегодня",F335="укажи дату",LEFT(F335,6)="молчит"),1,0)</f>
        <v/>
      </c>
    </row>
    <row r="336" ht="24" customHeight="1">
      <c r="A336" s="38" t="n">
        <v>335</v>
      </c>
      <c r="B336" s="32" t="inlineStr">
        <is>
          <t>Матрица</t>
        </is>
      </c>
      <c r="C336" s="49" t="inlineStr">
        <is>
          <t>Очередь</t>
        </is>
      </c>
      <c r="D336" s="49" t="n"/>
      <c r="E336" s="50" t="n"/>
      <c r="F336" s="51">
        <f>IF(OR(C336="",C336="Очередь",C336="Клиент",C336="Отказ",C336="Не писать"),"",IF(E336="",IF(AND(C336="Отправлено",I336&lt;&gt;"",TODAY()-INT(I336)&gt;=3),"молчит "&amp;(TODAY()-INT(I336))&amp;" дн.",IF(OR(C336="Перезвонить",C336="Созвон"),"укажи дату","")),IF(INT(E336)&lt;TODAY(),"просрочено",IF(INT(E336)=TODAY(),"сегодня",IF(INT(E336)=TODAY()+1,"завтра",TEXT(E336,"dd.mm"))))))</f>
        <v/>
      </c>
      <c r="G336" s="52" t="n"/>
      <c r="H336" s="36" t="inlineStr">
        <is>
          <t>79275080787</t>
        </is>
      </c>
      <c r="I336" s="53" t="n"/>
      <c r="J336" s="38">
        <f>IFERROR(MATCH(C336,'Справка'!$A$12:$A$21,0),99)</f>
        <v/>
      </c>
      <c r="K336" s="39">
        <f>HYPERLINK("https://wa.me/"&amp;H336&amp;"?text="&amp;ENCODEURL(T336),"✉ Написать")</f>
        <v/>
      </c>
      <c r="L336" s="39">
        <f>HYPERLINK("https://wa.me/"&amp;H336,"Открыть чат")</f>
        <v/>
      </c>
      <c r="M336" s="38" t="inlineStr">
        <is>
          <t>Волгоград</t>
        </is>
      </c>
      <c r="N336" s="38" t="n"/>
      <c r="O336" s="38" t="n"/>
      <c r="P336" s="38" t="inlineStr">
        <is>
          <t>gold-kupol.ru</t>
        </is>
      </c>
      <c r="Q336" s="38" t="inlineStr">
        <is>
          <t>есть сайт: сначала впиши в текст, что на нём не так</t>
        </is>
      </c>
      <c r="R336" s="38" t="n">
        <v>2</v>
      </c>
      <c r="S336" s="38" t="inlineStr">
        <is>
          <t>Волгоградская область</t>
        </is>
      </c>
      <c r="T336" s="38" t="inlineStr">
        <is>
          <t>Здравствуйте! Смотрел в 2ГИС кровельные компании в Волгограде, зашёл на ваш сайт с телефона: [ЧТО НЕ ТАК НА САЙТЕ].
Могу за вечер собрать вариант под «Матрица», где это исправлено, и показать. Собрать?</t>
        </is>
      </c>
      <c r="U336" s="38">
        <f>B336&amp;IF(D336&lt;&gt;""," · "&amp;D336,"")&amp;IF(F336&lt;&gt;"",CHAR(10)&amp;F336,"")</f>
        <v/>
      </c>
      <c r="V336" s="38">
        <f>IF(OR(F336="просрочено",F336="сегодня",F336="укажи дату",LEFT(F336,6)="молчит"),1,0)</f>
        <v/>
      </c>
    </row>
    <row r="337" ht="24" customHeight="1">
      <c r="A337" s="38" t="n">
        <v>336</v>
      </c>
      <c r="B337" s="32" t="inlineStr">
        <is>
          <t>Волжский забор строй монтаж</t>
        </is>
      </c>
      <c r="C337" s="49" t="inlineStr">
        <is>
          <t>Очередь</t>
        </is>
      </c>
      <c r="D337" s="49" t="n"/>
      <c r="E337" s="50" t="n"/>
      <c r="F337" s="51">
        <f>IF(OR(C337="",C337="Очередь",C337="Клиент",C337="Отказ",C337="Не писать"),"",IF(E337="",IF(AND(C337="Отправлено",I337&lt;&gt;"",TODAY()-INT(I337)&gt;=3),"молчит "&amp;(TODAY()-INT(I337))&amp;" дн.",IF(OR(C337="Перезвонить",C337="Созвон"),"укажи дату","")),IF(INT(E337)&lt;TODAY(),"просрочено",IF(INT(E337)=TODAY(),"сегодня",IF(INT(E337)=TODAY()+1,"завтра",TEXT(E337,"dd.mm"))))))</f>
        <v/>
      </c>
      <c r="G337" s="52" t="n"/>
      <c r="H337" s="36" t="inlineStr">
        <is>
          <t>79610909077</t>
        </is>
      </c>
      <c r="I337" s="53" t="n"/>
      <c r="J337" s="38">
        <f>IFERROR(MATCH(C337,'Справка'!$A$12:$A$21,0),99)</f>
        <v/>
      </c>
      <c r="K337" s="39">
        <f>HYPERLINK("https://wa.me/"&amp;H337&amp;"?text="&amp;ENCODEURL(T337),"✉ Написать")</f>
        <v/>
      </c>
      <c r="L337" s="39">
        <f>HYPERLINK("https://wa.me/"&amp;H337,"Открыть чат")</f>
        <v/>
      </c>
      <c r="M337" s="38" t="inlineStr">
        <is>
          <t>Волжский</t>
        </is>
      </c>
      <c r="N337" s="38" t="n"/>
      <c r="O337" s="38" t="n"/>
      <c r="P337" s="38" t="inlineStr">
        <is>
          <t>zabor-vlz.ru</t>
        </is>
      </c>
      <c r="Q337" s="38" t="inlineStr">
        <is>
          <t>есть сайт: сначала впиши в текст, что на нём не так</t>
        </is>
      </c>
      <c r="R337" s="38" t="n">
        <v>2</v>
      </c>
      <c r="S337" s="38" t="inlineStr">
        <is>
          <t>Волгоградская область</t>
        </is>
      </c>
      <c r="T337" s="38" t="inlineStr">
        <is>
          <t>Здравствуйте! Смотрел в 2ГИС кровельные компании в Волжском, зашёл на ваш сайт с телефона: [ЧТО НЕ ТАК НА САЙТЕ].
Могу за вечер собрать вариант под «Волжский забор строй монтаж», где это исправлено, и показать. Собрать?</t>
        </is>
      </c>
      <c r="U337" s="38">
        <f>B337&amp;IF(D337&lt;&gt;""," · "&amp;D337,"")&amp;IF(F337&lt;&gt;"",CHAR(10)&amp;F337,"")</f>
        <v/>
      </c>
      <c r="V337" s="38">
        <f>IF(OR(F337="просрочено",F337="сегодня",F337="укажи дату",LEFT(F337,6)="молчит"),1,0)</f>
        <v/>
      </c>
    </row>
    <row r="338" ht="24" customHeight="1">
      <c r="A338" s="38" t="n">
        <v>337</v>
      </c>
      <c r="B338" s="32" t="inlineStr">
        <is>
          <t>ММУС</t>
        </is>
      </c>
      <c r="C338" s="49" t="inlineStr">
        <is>
          <t>Очередь</t>
        </is>
      </c>
      <c r="D338" s="49" t="n"/>
      <c r="E338" s="50" t="n"/>
      <c r="F338" s="51">
        <f>IF(OR(C338="",C338="Очередь",C338="Клиент",C338="Отказ",C338="Не писать"),"",IF(E338="",IF(AND(C338="Отправлено",I338&lt;&gt;"",TODAY()-INT(I338)&gt;=3),"молчит "&amp;(TODAY()-INT(I338))&amp;" дн.",IF(OR(C338="Перезвонить",C338="Созвон"),"укажи дату","")),IF(INT(E338)&lt;TODAY(),"просрочено",IF(INT(E338)=TODAY(),"сегодня",IF(INT(E338)=TODAY()+1,"завтра",TEXT(E338,"dd.mm"))))))</f>
        <v/>
      </c>
      <c r="G338" s="52" t="n"/>
      <c r="H338" s="36" t="inlineStr">
        <is>
          <t>79375680900</t>
        </is>
      </c>
      <c r="I338" s="53" t="n"/>
      <c r="J338" s="38">
        <f>IFERROR(MATCH(C338,'Справка'!$A$12:$A$21,0),99)</f>
        <v/>
      </c>
      <c r="K338" s="39">
        <f>HYPERLINK("https://wa.me/"&amp;H338&amp;"?text="&amp;ENCODEURL(T338),"✉ Написать")</f>
        <v/>
      </c>
      <c r="L338" s="39">
        <f>HYPERLINK("https://wa.me/"&amp;H338,"Открыть чат")</f>
        <v/>
      </c>
      <c r="M338" s="38" t="inlineStr">
        <is>
          <t>Волгоград</t>
        </is>
      </c>
      <c r="N338" s="38" t="n"/>
      <c r="O338" s="38" t="n"/>
      <c r="P338" s="38" t="inlineStr">
        <is>
          <t>mmus.ru</t>
        </is>
      </c>
      <c r="Q338" s="38" t="inlineStr">
        <is>
          <t>есть сайт: сначала впиши в текст, что на нём не так</t>
        </is>
      </c>
      <c r="R338" s="38" t="n">
        <v>2</v>
      </c>
      <c r="S338" s="38" t="inlineStr">
        <is>
          <t>Волгоградская область</t>
        </is>
      </c>
      <c r="T338" s="38" t="inlineStr">
        <is>
          <t>Здравствуйте! Смотрел в 2ГИС кровельные компании в Волгограде, зашёл на ваш сайт с телефона: [ЧТО НЕ ТАК НА САЙТЕ].
Могу за вечер собрать вариант под «ММУС», где это исправлено, и показать. Собрать?</t>
        </is>
      </c>
      <c r="U338" s="38">
        <f>B338&amp;IF(D338&lt;&gt;""," · "&amp;D338,"")&amp;IF(F338&lt;&gt;"",CHAR(10)&amp;F338,"")</f>
        <v/>
      </c>
      <c r="V338" s="38">
        <f>IF(OR(F338="просрочено",F338="сегодня",F338="укажи дату",LEFT(F338,6)="молчит"),1,0)</f>
        <v/>
      </c>
    </row>
    <row r="339" ht="24" customHeight="1">
      <c r="A339" s="38" t="n">
        <v>338</v>
      </c>
      <c r="B339" s="32" t="inlineStr">
        <is>
          <t>Дома сип под ключ</t>
        </is>
      </c>
      <c r="C339" s="49" t="inlineStr">
        <is>
          <t>Очередь</t>
        </is>
      </c>
      <c r="D339" s="49" t="n"/>
      <c r="E339" s="50" t="n"/>
      <c r="F339" s="51">
        <f>IF(OR(C339="",C339="Очередь",C339="Клиент",C339="Отказ",C339="Не писать"),"",IF(E339="",IF(AND(C339="Отправлено",I339&lt;&gt;"",TODAY()-INT(I339)&gt;=3),"молчит "&amp;(TODAY()-INT(I339))&amp;" дн.",IF(OR(C339="Перезвонить",C339="Созвон"),"укажи дату","")),IF(INT(E339)&lt;TODAY(),"просрочено",IF(INT(E339)=TODAY(),"сегодня",IF(INT(E339)=TODAY()+1,"завтра",TEXT(E339,"dd.mm"))))))</f>
        <v/>
      </c>
      <c r="G339" s="52" t="n"/>
      <c r="H339" s="36" t="inlineStr">
        <is>
          <t>79304290090</t>
        </is>
      </c>
      <c r="I339" s="53" t="n"/>
      <c r="J339" s="38">
        <f>IFERROR(MATCH(C339,'Справка'!$A$12:$A$21,0),99)</f>
        <v/>
      </c>
      <c r="K339" s="39">
        <f>HYPERLINK("https://wa.me/"&amp;H339&amp;"?text="&amp;ENCODEURL(T339),"✉ Написать")</f>
        <v/>
      </c>
      <c r="L339" s="39">
        <f>HYPERLINK("https://wa.me/"&amp;H339,"Открыть чат")</f>
        <v/>
      </c>
      <c r="M339" s="38" t="inlineStr">
        <is>
          <t>Воронеж</t>
        </is>
      </c>
      <c r="N339" s="38" t="n">
        <v>5</v>
      </c>
      <c r="O339" s="38" t="n">
        <v>21</v>
      </c>
      <c r="P339" s="38" t="inlineStr">
        <is>
          <t>dspkdom.ru</t>
        </is>
      </c>
      <c r="Q339" s="38" t="inlineStr">
        <is>
          <t>есть сайт: сначала впиши в текст, что на нём не так</t>
        </is>
      </c>
      <c r="R339" s="38" t="n">
        <v>2</v>
      </c>
      <c r="S339" s="38" t="inlineStr">
        <is>
          <t>Воронежская область</t>
        </is>
      </c>
      <c r="T339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«Дома сип под ключ», где это исправлено, и показать. Собрать?</t>
        </is>
      </c>
      <c r="U339" s="38">
        <f>B339&amp;IF(D339&lt;&gt;""," · "&amp;D339,"")&amp;IF(F339&lt;&gt;"",CHAR(10)&amp;F339,"")</f>
        <v/>
      </c>
      <c r="V339" s="38">
        <f>IF(OR(F339="просрочено",F339="сегодня",F339="укажи дату",LEFT(F339,6)="молчит"),1,0)</f>
        <v/>
      </c>
    </row>
    <row r="340" ht="24" customHeight="1">
      <c r="A340" s="38" t="n">
        <v>339</v>
      </c>
      <c r="B340" s="32" t="inlineStr">
        <is>
          <t>ТехноПрофиль</t>
        </is>
      </c>
      <c r="C340" s="49" t="inlineStr">
        <is>
          <t>Очередь</t>
        </is>
      </c>
      <c r="D340" s="49" t="n"/>
      <c r="E340" s="50" t="n"/>
      <c r="F340" s="51">
        <f>IF(OR(C340="",C340="Очередь",C340="Клиент",C340="Отказ",C340="Не писать"),"",IF(E340="",IF(AND(C340="Отправлено",I340&lt;&gt;"",TODAY()-INT(I340)&gt;=3),"молчит "&amp;(TODAY()-INT(I340))&amp;" дн.",IF(OR(C340="Перезвонить",C340="Созвон"),"укажи дату","")),IF(INT(E340)&lt;TODAY(),"просрочено",IF(INT(E340)=TODAY(),"сегодня",IF(INT(E340)=TODAY()+1,"завтра",TEXT(E340,"dd.mm"))))))</f>
        <v/>
      </c>
      <c r="G340" s="52" t="n"/>
      <c r="H340" s="36" t="inlineStr">
        <is>
          <t>79066716690</t>
        </is>
      </c>
      <c r="I340" s="53" t="n"/>
      <c r="J340" s="38">
        <f>IFERROR(MATCH(C340,'Справка'!$A$12:$A$21,0),99)</f>
        <v/>
      </c>
      <c r="K340" s="39">
        <f>HYPERLINK("https://wa.me/"&amp;H340&amp;"?text="&amp;ENCODEURL(T340),"✉ Написать")</f>
        <v/>
      </c>
      <c r="L340" s="39">
        <f>HYPERLINK("https://wa.me/"&amp;H340,"Открыть чат")</f>
        <v/>
      </c>
      <c r="M340" s="38" t="inlineStr">
        <is>
          <t>Воронеж</t>
        </is>
      </c>
      <c r="N340" s="38" t="n">
        <v>4.4</v>
      </c>
      <c r="O340" s="38" t="n">
        <v>7</v>
      </c>
      <c r="P340" s="38" t="inlineStr">
        <is>
          <t>tehnoprofill.ru</t>
        </is>
      </c>
      <c r="Q340" s="38" t="inlineStr">
        <is>
          <t>есть сайт: сначала впиши в текст, что на нём не так</t>
        </is>
      </c>
      <c r="R340" s="38" t="n">
        <v>2</v>
      </c>
      <c r="S340" s="38" t="inlineStr">
        <is>
          <t>Воронежская область</t>
        </is>
      </c>
      <c r="T340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«ТехноПрофиль», где это исправлено, и показать. Собрать?</t>
        </is>
      </c>
      <c r="U340" s="38">
        <f>B340&amp;IF(D340&lt;&gt;""," · "&amp;D340,"")&amp;IF(F340&lt;&gt;"",CHAR(10)&amp;F340,"")</f>
        <v/>
      </c>
      <c r="V340" s="38">
        <f>IF(OR(F340="просрочено",F340="сегодня",F340="укажи дату",LEFT(F340,6)="молчит"),1,0)</f>
        <v/>
      </c>
    </row>
    <row r="341" ht="24" customHeight="1">
      <c r="A341" s="38" t="n">
        <v>340</v>
      </c>
      <c r="B341" s="32" t="inlineStr">
        <is>
          <t>БизАтмо</t>
        </is>
      </c>
      <c r="C341" s="49" t="inlineStr">
        <is>
          <t>Очередь</t>
        </is>
      </c>
      <c r="D341" s="49" t="n"/>
      <c r="E341" s="50" t="n"/>
      <c r="F341" s="51">
        <f>IF(OR(C341="",C341="Очередь",C341="Клиент",C341="Отказ",C341="Не писать"),"",IF(E341="",IF(AND(C341="Отправлено",I341&lt;&gt;"",TODAY()-INT(I341)&gt;=3),"молчит "&amp;(TODAY()-INT(I341))&amp;" дн.",IF(OR(C341="Перезвонить",C341="Созвон"),"укажи дату","")),IF(INT(E341)&lt;TODAY(),"просрочено",IF(INT(E341)=TODAY(),"сегодня",IF(INT(E341)=TODAY()+1,"завтра",TEXT(E341,"dd.mm"))))))</f>
        <v/>
      </c>
      <c r="G341" s="52" t="n"/>
      <c r="H341" s="36" t="inlineStr">
        <is>
          <t>79009627982</t>
        </is>
      </c>
      <c r="I341" s="53" t="n"/>
      <c r="J341" s="38">
        <f>IFERROR(MATCH(C341,'Справка'!$A$12:$A$21,0),99)</f>
        <v/>
      </c>
      <c r="K341" s="39">
        <f>HYPERLINK("https://wa.me/"&amp;H341&amp;"?text="&amp;ENCODEURL(T341),"✉ Написать")</f>
        <v/>
      </c>
      <c r="L341" s="39">
        <f>HYPERLINK("https://wa.me/"&amp;H341,"Открыть чат")</f>
        <v/>
      </c>
      <c r="M341" s="38" t="inlineStr">
        <is>
          <t>Воронеж</t>
        </is>
      </c>
      <c r="N341" s="38" t="n">
        <v>5</v>
      </c>
      <c r="O341" s="38" t="n">
        <v>5</v>
      </c>
      <c r="P341" s="38" t="inlineStr">
        <is>
          <t>bizatmo36.ru</t>
        </is>
      </c>
      <c r="Q341" s="38" t="inlineStr">
        <is>
          <t>есть сайт: сначала впиши в текст, что на нём не так</t>
        </is>
      </c>
      <c r="R341" s="38" t="n">
        <v>2</v>
      </c>
      <c r="S341" s="38" t="inlineStr">
        <is>
          <t>Воронежская область</t>
        </is>
      </c>
      <c r="T341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«БизАтмо», где это исправлено, и показать. Собрать?</t>
        </is>
      </c>
      <c r="U341" s="38">
        <f>B341&amp;IF(D341&lt;&gt;""," · "&amp;D341,"")&amp;IF(F341&lt;&gt;"",CHAR(10)&amp;F341,"")</f>
        <v/>
      </c>
      <c r="V341" s="38">
        <f>IF(OR(F341="просрочено",F341="сегодня",F341="укажи дату",LEFT(F341,6)="молчит"),1,0)</f>
        <v/>
      </c>
    </row>
    <row r="342" ht="24" customHeight="1">
      <c r="A342" s="38" t="n">
        <v>341</v>
      </c>
      <c r="B342" s="32" t="inlineStr">
        <is>
          <t>ПГС Недвижимость</t>
        </is>
      </c>
      <c r="C342" s="49" t="inlineStr">
        <is>
          <t>Очередь</t>
        </is>
      </c>
      <c r="D342" s="49" t="n"/>
      <c r="E342" s="50" t="n"/>
      <c r="F342" s="51">
        <f>IF(OR(C342="",C342="Очередь",C342="Клиент",C342="Отказ",C342="Не писать"),"",IF(E342="",IF(AND(C342="Отправлено",I342&lt;&gt;"",TODAY()-INT(I342)&gt;=3),"молчит "&amp;(TODAY()-INT(I342))&amp;" дн.",IF(OR(C342="Перезвонить",C342="Созвон"),"укажи дату","")),IF(INT(E342)&lt;TODAY(),"просрочено",IF(INT(E342)=TODAY(),"сегодня",IF(INT(E342)=TODAY()+1,"завтра",TEXT(E342,"dd.mm"))))))</f>
        <v/>
      </c>
      <c r="G342" s="52" t="n"/>
      <c r="H342" s="36" t="inlineStr">
        <is>
          <t>79107498989</t>
        </is>
      </c>
      <c r="I342" s="53" t="n"/>
      <c r="J342" s="38">
        <f>IFERROR(MATCH(C342,'Справка'!$A$12:$A$21,0),99)</f>
        <v/>
      </c>
      <c r="K342" s="39">
        <f>HYPERLINK("https://wa.me/"&amp;H342&amp;"?text="&amp;ENCODEURL(T342),"✉ Написать")</f>
        <v/>
      </c>
      <c r="L342" s="39">
        <f>HYPERLINK("https://wa.me/"&amp;H342,"Открыть чат")</f>
        <v/>
      </c>
      <c r="M342" s="38" t="inlineStr">
        <is>
          <t>Воронеж</t>
        </is>
      </c>
      <c r="N342" s="38" t="n">
        <v>5</v>
      </c>
      <c r="O342" s="38" t="n">
        <v>4</v>
      </c>
      <c r="P342" s="38" t="inlineStr">
        <is>
          <t>realtypgsco.ru</t>
        </is>
      </c>
      <c r="Q342" s="38" t="inlineStr">
        <is>
          <t>есть сайт: сначала впиши в текст, что на нём не так</t>
        </is>
      </c>
      <c r="R342" s="38" t="n">
        <v>2</v>
      </c>
      <c r="S342" s="38" t="inlineStr">
        <is>
          <t>Воронежская область</t>
        </is>
      </c>
      <c r="T342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«ПГС Недвижимость», где это исправлено, и показать. Собрать?</t>
        </is>
      </c>
      <c r="U342" s="38">
        <f>B342&amp;IF(D342&lt;&gt;""," · "&amp;D342,"")&amp;IF(F342&lt;&gt;"",CHAR(10)&amp;F342,"")</f>
        <v/>
      </c>
      <c r="V342" s="38">
        <f>IF(OR(F342="просрочено",F342="сегодня",F342="укажи дату",LEFT(F342,6)="молчит"),1,0)</f>
        <v/>
      </c>
    </row>
    <row r="343" ht="24" customHeight="1">
      <c r="A343" s="38" t="n">
        <v>342</v>
      </c>
      <c r="B343" s="32" t="inlineStr">
        <is>
          <t>Эверест</t>
        </is>
      </c>
      <c r="C343" s="49" t="inlineStr">
        <is>
          <t>Очередь</t>
        </is>
      </c>
      <c r="D343" s="49" t="n"/>
      <c r="E343" s="50" t="n"/>
      <c r="F343" s="51">
        <f>IF(OR(C343="",C343="Очередь",C343="Клиент",C343="Отказ",C343="Не писать"),"",IF(E343="",IF(AND(C343="Отправлено",I343&lt;&gt;"",TODAY()-INT(I343)&gt;=3),"молчит "&amp;(TODAY()-INT(I343))&amp;" дн.",IF(OR(C343="Перезвонить",C343="Созвон"),"укажи дату","")),IF(INT(E343)&lt;TODAY(),"просрочено",IF(INT(E343)=TODAY(),"сегодня",IF(INT(E343)=TODAY()+1,"завтра",TEXT(E343,"dd.mm"))))))</f>
        <v/>
      </c>
      <c r="G343" s="52" t="n"/>
      <c r="H343" s="36" t="inlineStr">
        <is>
          <t>79803466030</t>
        </is>
      </c>
      <c r="I343" s="53" t="n"/>
      <c r="J343" s="38">
        <f>IFERROR(MATCH(C343,'Справка'!$A$12:$A$21,0),99)</f>
        <v/>
      </c>
      <c r="K343" s="39">
        <f>HYPERLINK("https://wa.me/"&amp;H343&amp;"?text="&amp;ENCODEURL(T343),"✉ Написать")</f>
        <v/>
      </c>
      <c r="L343" s="39">
        <f>HYPERLINK("https://wa.me/"&amp;H343,"Открыть чат")</f>
        <v/>
      </c>
      <c r="M343" s="38" t="inlineStr">
        <is>
          <t>Воронеж</t>
        </is>
      </c>
      <c r="N343" s="38" t="n">
        <v>5</v>
      </c>
      <c r="O343" s="38" t="n">
        <v>2</v>
      </c>
      <c r="P343" s="38" t="inlineStr">
        <is>
          <t>everestkrov.ru</t>
        </is>
      </c>
      <c r="Q343" s="38" t="inlineStr">
        <is>
          <t>есть сайт: сначала впиши в текст, что на нём не так</t>
        </is>
      </c>
      <c r="R343" s="38" t="n">
        <v>2</v>
      </c>
      <c r="S343" s="38" t="inlineStr">
        <is>
          <t>Воронежская область</t>
        </is>
      </c>
      <c r="T343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«Эверест», где это исправлено, и показать. Собрать?</t>
        </is>
      </c>
      <c r="U343" s="38">
        <f>B343&amp;IF(D343&lt;&gt;""," · "&amp;D343,"")&amp;IF(F343&lt;&gt;"",CHAR(10)&amp;F343,"")</f>
        <v/>
      </c>
      <c r="V343" s="38">
        <f>IF(OR(F343="просрочено",F343="сегодня",F343="укажи дату",LEFT(F343,6)="молчит"),1,0)</f>
        <v/>
      </c>
    </row>
    <row r="344" ht="24" customHeight="1">
      <c r="A344" s="38" t="n">
        <v>343</v>
      </c>
      <c r="B344" s="32" t="inlineStr">
        <is>
          <t>Альфа Кровля</t>
        </is>
      </c>
      <c r="C344" s="49" t="inlineStr">
        <is>
          <t>Очередь</t>
        </is>
      </c>
      <c r="D344" s="49" t="n"/>
      <c r="E344" s="50" t="n"/>
      <c r="F344" s="51">
        <f>IF(OR(C344="",C344="Очередь",C344="Клиент",C344="Отказ",C344="Не писать"),"",IF(E344="",IF(AND(C344="Отправлено",I344&lt;&gt;"",TODAY()-INT(I344)&gt;=3),"молчит "&amp;(TODAY()-INT(I344))&amp;" дн.",IF(OR(C344="Перезвонить",C344="Созвон"),"укажи дату","")),IF(INT(E344)&lt;TODAY(),"просрочено",IF(INT(E344)=TODAY(),"сегодня",IF(INT(E344)=TODAY()+1,"завтра",TEXT(E344,"dd.mm"))))))</f>
        <v/>
      </c>
      <c r="G344" s="52" t="n"/>
      <c r="H344" s="36" t="inlineStr">
        <is>
          <t>79529594358</t>
        </is>
      </c>
      <c r="I344" s="53" t="n"/>
      <c r="J344" s="38">
        <f>IFERROR(MATCH(C344,'Справка'!$A$12:$A$21,0),99)</f>
        <v/>
      </c>
      <c r="K344" s="39">
        <f>HYPERLINK("https://wa.me/"&amp;H344&amp;"?text="&amp;ENCODEURL(T344),"✉ Написать")</f>
        <v/>
      </c>
      <c r="L344" s="39">
        <f>HYPERLINK("https://wa.me/"&amp;H344,"Открыть чат")</f>
        <v/>
      </c>
      <c r="M344" s="38" t="inlineStr">
        <is>
          <t>Воронеж</t>
        </is>
      </c>
      <c r="N344" s="38" t="n">
        <v>5</v>
      </c>
      <c r="O344" s="38" t="n">
        <v>2</v>
      </c>
      <c r="P344" s="38" t="inlineStr">
        <is>
          <t>alfaroof.ru</t>
        </is>
      </c>
      <c r="Q344" s="38" t="inlineStr">
        <is>
          <t>есть сайт: сначала впиши в текст, что на нём не так</t>
        </is>
      </c>
      <c r="R344" s="38" t="n">
        <v>2</v>
      </c>
      <c r="S344" s="38" t="inlineStr">
        <is>
          <t>Воронежская область</t>
        </is>
      </c>
      <c r="T344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«Альфа Кровля», где это исправлено, и показать. Собрать?</t>
        </is>
      </c>
      <c r="U344" s="38">
        <f>B344&amp;IF(D344&lt;&gt;""," · "&amp;D344,"")&amp;IF(F344&lt;&gt;"",CHAR(10)&amp;F344,"")</f>
        <v/>
      </c>
      <c r="V344" s="38">
        <f>IF(OR(F344="просрочено",F344="сегодня",F344="укажи дату",LEFT(F344,6)="молчит"),1,0)</f>
        <v/>
      </c>
    </row>
    <row r="345" ht="24" customHeight="1">
      <c r="A345" s="38" t="n">
        <v>344</v>
      </c>
      <c r="B345" s="32" t="inlineStr">
        <is>
          <t>Фасадно-кровельный центр</t>
        </is>
      </c>
      <c r="C345" s="49" t="inlineStr">
        <is>
          <t>Очередь</t>
        </is>
      </c>
      <c r="D345" s="49" t="n"/>
      <c r="E345" s="50" t="n"/>
      <c r="F345" s="51">
        <f>IF(OR(C345="",C345="Очередь",C345="Клиент",C345="Отказ",C345="Не писать"),"",IF(E345="",IF(AND(C345="Отправлено",I345&lt;&gt;"",TODAY()-INT(I345)&gt;=3),"молчит "&amp;(TODAY()-INT(I345))&amp;" дн.",IF(OR(C345="Перезвонить",C345="Созвон"),"укажи дату","")),IF(INT(E345)&lt;TODAY(),"просрочено",IF(INT(E345)=TODAY(),"сегодня",IF(INT(E345)=TODAY()+1,"завтра",TEXT(E345,"dd.mm"))))))</f>
        <v/>
      </c>
      <c r="G345" s="52" t="n"/>
      <c r="H345" s="36" t="inlineStr">
        <is>
          <t>79202299258</t>
        </is>
      </c>
      <c r="I345" s="53" t="n"/>
      <c r="J345" s="38">
        <f>IFERROR(MATCH(C345,'Справка'!$A$12:$A$21,0),99)</f>
        <v/>
      </c>
      <c r="K345" s="39">
        <f>HYPERLINK("https://wa.me/"&amp;H345&amp;"?text="&amp;ENCODEURL(T345),"✉ Написать")</f>
        <v/>
      </c>
      <c r="L345" s="39">
        <f>HYPERLINK("https://wa.me/"&amp;H345,"Открыть чат")</f>
        <v/>
      </c>
      <c r="M345" s="38" t="inlineStr">
        <is>
          <t>Воронеж</t>
        </is>
      </c>
      <c r="N345" s="38" t="n">
        <v>5</v>
      </c>
      <c r="O345" s="38" t="n">
        <v>1</v>
      </c>
      <c r="P345" s="38" t="inlineStr">
        <is>
          <t>f-kc.ru</t>
        </is>
      </c>
      <c r="Q345" s="38" t="inlineStr">
        <is>
          <t>есть сайт: сначала впиши в текст, что на нём не так</t>
        </is>
      </c>
      <c r="R345" s="38" t="n">
        <v>2</v>
      </c>
      <c r="S345" s="38" t="inlineStr">
        <is>
          <t>Воронежская область</t>
        </is>
      </c>
      <c r="T345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«Фасадно-кровельный центр», где это исправлено, и показать. Собрать?</t>
        </is>
      </c>
      <c r="U345" s="38">
        <f>B345&amp;IF(D345&lt;&gt;""," · "&amp;D345,"")&amp;IF(F345&lt;&gt;"",CHAR(10)&amp;F345,"")</f>
        <v/>
      </c>
      <c r="V345" s="38">
        <f>IF(OR(F345="просрочено",F345="сегодня",F345="укажи дату",LEFT(F345,6)="молчит"),1,0)</f>
        <v/>
      </c>
    </row>
    <row r="346" ht="24" customHeight="1">
      <c r="A346" s="38" t="n">
        <v>345</v>
      </c>
      <c r="B346" s="32" t="inlineStr">
        <is>
          <t>Сипгрупп</t>
        </is>
      </c>
      <c r="C346" s="49" t="inlineStr">
        <is>
          <t>Очередь</t>
        </is>
      </c>
      <c r="D346" s="49" t="n"/>
      <c r="E346" s="50" t="n"/>
      <c r="F346" s="51">
        <f>IF(OR(C346="",C346="Очередь",C346="Клиент",C346="Отказ",C346="Не писать"),"",IF(E346="",IF(AND(C346="Отправлено",I346&lt;&gt;"",TODAY()-INT(I346)&gt;=3),"молчит "&amp;(TODAY()-INT(I346))&amp;" дн.",IF(OR(C346="Перезвонить",C346="Созвон"),"укажи дату","")),IF(INT(E346)&lt;TODAY(),"просрочено",IF(INT(E346)=TODAY(),"сегодня",IF(INT(E346)=TODAY()+1,"завтра",TEXT(E346,"dd.mm"))))))</f>
        <v/>
      </c>
      <c r="G346" s="52" t="n"/>
      <c r="H346" s="36" t="inlineStr">
        <is>
          <t>79202017700</t>
        </is>
      </c>
      <c r="I346" s="53" t="n"/>
      <c r="J346" s="38">
        <f>IFERROR(MATCH(C346,'Справка'!$A$12:$A$21,0),99)</f>
        <v/>
      </c>
      <c r="K346" s="39">
        <f>HYPERLINK("https://wa.me/"&amp;H346&amp;"?text="&amp;ENCODEURL(T346),"✉ Написать")</f>
        <v/>
      </c>
      <c r="L346" s="39">
        <f>HYPERLINK("https://wa.me/"&amp;H346,"Открыть чат")</f>
        <v/>
      </c>
      <c r="M346" s="38" t="inlineStr">
        <is>
          <t>Воронеж</t>
        </is>
      </c>
      <c r="N346" s="38" t="n"/>
      <c r="O346" s="38" t="n"/>
      <c r="P346" s="38" t="inlineStr">
        <is>
          <t>sksipgroup.ru/</t>
        </is>
      </c>
      <c r="Q346" s="38" t="inlineStr">
        <is>
          <t>есть сайт: сначала впиши в текст, что на нём не так</t>
        </is>
      </c>
      <c r="R346" s="38" t="n">
        <v>2</v>
      </c>
      <c r="S346" s="38" t="inlineStr">
        <is>
          <t>Воронежская область</t>
        </is>
      </c>
      <c r="T346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«Сипгрупп», где это исправлено, и показать. Собрать?</t>
        </is>
      </c>
      <c r="U346" s="38">
        <f>B346&amp;IF(D346&lt;&gt;""," · "&amp;D346,"")&amp;IF(F346&lt;&gt;"",CHAR(10)&amp;F346,"")</f>
        <v/>
      </c>
      <c r="V346" s="38">
        <f>IF(OR(F346="просрочено",F346="сегодня",F346="укажи дату",LEFT(F346,6)="молчит"),1,0)</f>
        <v/>
      </c>
    </row>
    <row r="347" ht="24" customHeight="1">
      <c r="A347" s="38" t="n">
        <v>346</v>
      </c>
      <c r="B347" s="32" t="inlineStr">
        <is>
          <t>СтройМонтаж</t>
        </is>
      </c>
      <c r="C347" s="49" t="inlineStr">
        <is>
          <t>Очередь</t>
        </is>
      </c>
      <c r="D347" s="49" t="n"/>
      <c r="E347" s="50" t="n"/>
      <c r="F347" s="51">
        <f>IF(OR(C347="",C347="Очередь",C347="Клиент",C347="Отказ",C347="Не писать"),"",IF(E347="",IF(AND(C347="Отправлено",I347&lt;&gt;"",TODAY()-INT(I347)&gt;=3),"молчит "&amp;(TODAY()-INT(I347))&amp;" дн.",IF(OR(C347="Перезвонить",C347="Созвон"),"укажи дату","")),IF(INT(E347)&lt;TODAY(),"просрочено",IF(INT(E347)=TODAY(),"сегодня",IF(INT(E347)=TODAY()+1,"завтра",TEXT(E347,"dd.mm"))))))</f>
        <v/>
      </c>
      <c r="G347" s="52" t="n"/>
      <c r="H347" s="36" t="inlineStr">
        <is>
          <t>79100416142</t>
        </is>
      </c>
      <c r="I347" s="53" t="n"/>
      <c r="J347" s="38">
        <f>IFERROR(MATCH(C347,'Справка'!$A$12:$A$21,0),99)</f>
        <v/>
      </c>
      <c r="K347" s="39">
        <f>HYPERLINK("https://wa.me/"&amp;H347&amp;"?text="&amp;ENCODEURL(T347),"✉ Написать")</f>
        <v/>
      </c>
      <c r="L347" s="39">
        <f>HYPERLINK("https://wa.me/"&amp;H347,"Открыть чат")</f>
        <v/>
      </c>
      <c r="M347" s="38" t="inlineStr">
        <is>
          <t>Воронеж</t>
        </is>
      </c>
      <c r="N347" s="38" t="n"/>
      <c r="O347" s="38" t="n"/>
      <c r="P347" s="38" t="inlineStr">
        <is>
          <t>avsdom.ru</t>
        </is>
      </c>
      <c r="Q347" s="38" t="inlineStr">
        <is>
          <t>есть сайт: сначала впиши в текст, что на нём не так</t>
        </is>
      </c>
      <c r="R347" s="38" t="n">
        <v>2</v>
      </c>
      <c r="S347" s="38" t="inlineStr">
        <is>
          <t>Воронежская область</t>
        </is>
      </c>
      <c r="T347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«СтройМонтаж», где это исправлено, и показать. Собрать?</t>
        </is>
      </c>
      <c r="U347" s="38">
        <f>B347&amp;IF(D347&lt;&gt;""," · "&amp;D347,"")&amp;IF(F347&lt;&gt;"",CHAR(10)&amp;F347,"")</f>
        <v/>
      </c>
      <c r="V347" s="38">
        <f>IF(OR(F347="просрочено",F347="сегодня",F347="укажи дату",LEFT(F347,6)="молчит"),1,0)</f>
        <v/>
      </c>
    </row>
    <row r="348" ht="24" customHeight="1">
      <c r="A348" s="38" t="n">
        <v>347</v>
      </c>
      <c r="B348" s="32" t="inlineStr">
        <is>
          <t>Профэкспертсервис</t>
        </is>
      </c>
      <c r="C348" s="49" t="inlineStr">
        <is>
          <t>Очередь</t>
        </is>
      </c>
      <c r="D348" s="49" t="n"/>
      <c r="E348" s="50" t="n"/>
      <c r="F348" s="51">
        <f>IF(OR(C348="",C348="Очередь",C348="Клиент",C348="Отказ",C348="Не писать"),"",IF(E348="",IF(AND(C348="Отправлено",I348&lt;&gt;"",TODAY()-INT(I348)&gt;=3),"молчит "&amp;(TODAY()-INT(I348))&amp;" дн.",IF(OR(C348="Перезвонить",C348="Созвон"),"укажи дату","")),IF(INT(E348)&lt;TODAY(),"просрочено",IF(INT(E348)=TODAY(),"сегодня",IF(INT(E348)=TODAY()+1,"завтра",TEXT(E348,"dd.mm"))))))</f>
        <v/>
      </c>
      <c r="G348" s="52" t="n"/>
      <c r="H348" s="36" t="inlineStr">
        <is>
          <t>79204444575</t>
        </is>
      </c>
      <c r="I348" s="53" t="n"/>
      <c r="J348" s="38">
        <f>IFERROR(MATCH(C348,'Справка'!$A$12:$A$21,0),99)</f>
        <v/>
      </c>
      <c r="K348" s="39">
        <f>HYPERLINK("https://wa.me/"&amp;H348&amp;"?text="&amp;ENCODEURL(T348),"✉ Написать")</f>
        <v/>
      </c>
      <c r="L348" s="39">
        <f>HYPERLINK("https://wa.me/"&amp;H348,"Открыть чат")</f>
        <v/>
      </c>
      <c r="M348" s="38" t="inlineStr">
        <is>
          <t>Воронеж</t>
        </is>
      </c>
      <c r="N348" s="38" t="n"/>
      <c r="O348" s="38" t="n"/>
      <c r="P348" s="38" t="inlineStr">
        <is>
          <t>profexp-vrn.ru</t>
        </is>
      </c>
      <c r="Q348" s="38" t="inlineStr">
        <is>
          <t>есть сайт: сначала впиши в текст, что на нём не так</t>
        </is>
      </c>
      <c r="R348" s="38" t="n">
        <v>2</v>
      </c>
      <c r="S348" s="38" t="inlineStr">
        <is>
          <t>Воронежская область</t>
        </is>
      </c>
      <c r="T348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«Профэкспертсервис», где это исправлено, и показать. Собрать?</t>
        </is>
      </c>
      <c r="U348" s="38">
        <f>B348&amp;IF(D348&lt;&gt;""," · "&amp;D348,"")&amp;IF(F348&lt;&gt;"",CHAR(10)&amp;F348,"")</f>
        <v/>
      </c>
      <c r="V348" s="38">
        <f>IF(OR(F348="просрочено",F348="сегодня",F348="укажи дату",LEFT(F348,6)="молчит"),1,0)</f>
        <v/>
      </c>
    </row>
    <row r="349" ht="24" customHeight="1">
      <c r="A349" s="38" t="n">
        <v>348</v>
      </c>
      <c r="B349" s="32" t="inlineStr">
        <is>
          <t>Регион</t>
        </is>
      </c>
      <c r="C349" s="49" t="inlineStr">
        <is>
          <t>Очередь</t>
        </is>
      </c>
      <c r="D349" s="49" t="n"/>
      <c r="E349" s="50" t="n"/>
      <c r="F349" s="51">
        <f>IF(OR(C349="",C349="Очередь",C349="Клиент",C349="Отказ",C349="Не писать"),"",IF(E349="",IF(AND(C349="Отправлено",I349&lt;&gt;"",TODAY()-INT(I349)&gt;=3),"молчит "&amp;(TODAY()-INT(I349))&amp;" дн.",IF(OR(C349="Перезвонить",C349="Созвон"),"укажи дату","")),IF(INT(E349)&lt;TODAY(),"просрочено",IF(INT(E349)=TODAY(),"сегодня",IF(INT(E349)=TODAY()+1,"завтра",TEXT(E349,"dd.mm"))))))</f>
        <v/>
      </c>
      <c r="G349" s="52" t="n"/>
      <c r="H349" s="36" t="inlineStr">
        <is>
          <t>79805539085</t>
        </is>
      </c>
      <c r="I349" s="53" t="n"/>
      <c r="J349" s="38">
        <f>IFERROR(MATCH(C349,'Справка'!$A$12:$A$21,0),99)</f>
        <v/>
      </c>
      <c r="K349" s="39">
        <f>HYPERLINK("https://wa.me/"&amp;H349&amp;"?text="&amp;ENCODEURL(T349),"✉ Написать")</f>
        <v/>
      </c>
      <c r="L349" s="39">
        <f>HYPERLINK("https://wa.me/"&amp;H349,"Открыть чат")</f>
        <v/>
      </c>
      <c r="M349" s="38" t="inlineStr">
        <is>
          <t>Воронеж</t>
        </is>
      </c>
      <c r="N349" s="38" t="n"/>
      <c r="O349" s="38" t="n"/>
      <c r="P349" s="38" t="inlineStr">
        <is>
          <t>skrvrn.ru</t>
        </is>
      </c>
      <c r="Q349" s="38" t="inlineStr">
        <is>
          <t>есть сайт: сначала впиши в текст, что на нём не так</t>
        </is>
      </c>
      <c r="R349" s="38" t="n">
        <v>2</v>
      </c>
      <c r="S349" s="38" t="inlineStr">
        <is>
          <t>Воронежская область</t>
        </is>
      </c>
      <c r="T349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«Регион», где это исправлено, и показать. Собрать?</t>
        </is>
      </c>
      <c r="U349" s="38">
        <f>B349&amp;IF(D349&lt;&gt;""," · "&amp;D349,"")&amp;IF(F349&lt;&gt;"",CHAR(10)&amp;F349,"")</f>
        <v/>
      </c>
      <c r="V349" s="38">
        <f>IF(OR(F349="просрочено",F349="сегодня",F349="укажи дату",LEFT(F349,6)="молчит"),1,0)</f>
        <v/>
      </c>
    </row>
    <row r="350" ht="24" customHeight="1">
      <c r="A350" s="38" t="n">
        <v>349</v>
      </c>
      <c r="B350" s="32" t="inlineStr">
        <is>
          <t>Прайм Ппу</t>
        </is>
      </c>
      <c r="C350" s="49" t="inlineStr">
        <is>
          <t>Очередь</t>
        </is>
      </c>
      <c r="D350" s="49" t="n"/>
      <c r="E350" s="50" t="n"/>
      <c r="F350" s="51">
        <f>IF(OR(C350="",C350="Очередь",C350="Клиент",C350="Отказ",C350="Не писать"),"",IF(E350="",IF(AND(C350="Отправлено",I350&lt;&gt;"",TODAY()-INT(I350)&gt;=3),"молчит "&amp;(TODAY()-INT(I350))&amp;" дн.",IF(OR(C350="Перезвонить",C350="Созвон"),"укажи дату","")),IF(INT(E350)&lt;TODAY(),"просрочено",IF(INT(E350)=TODAY(),"сегодня",IF(INT(E350)=TODAY()+1,"завтра",TEXT(E350,"dd.mm"))))))</f>
        <v/>
      </c>
      <c r="G350" s="52" t="n"/>
      <c r="H350" s="36" t="inlineStr">
        <is>
          <t>79152180163</t>
        </is>
      </c>
      <c r="I350" s="53" t="n"/>
      <c r="J350" s="38">
        <f>IFERROR(MATCH(C350,'Справка'!$A$12:$A$21,0),99)</f>
        <v/>
      </c>
      <c r="K350" s="39">
        <f>HYPERLINK("https://wa.me/"&amp;H350&amp;"?text="&amp;ENCODEURL(T350),"✉ Написать")</f>
        <v/>
      </c>
      <c r="L350" s="39">
        <f>HYPERLINK("https://wa.me/"&amp;H350,"Открыть чат")</f>
        <v/>
      </c>
      <c r="M350" s="38" t="inlineStr">
        <is>
          <t>Воронеж</t>
        </is>
      </c>
      <c r="N350" s="38" t="n"/>
      <c r="O350" s="38" t="n"/>
      <c r="P350" s="38" t="inlineStr">
        <is>
          <t>voronezh.poliuretan-ppu.ru</t>
        </is>
      </c>
      <c r="Q350" s="38" t="inlineStr">
        <is>
          <t>есть сайт: сначала впиши в текст, что на нём не так</t>
        </is>
      </c>
      <c r="R350" s="38" t="n">
        <v>2</v>
      </c>
      <c r="S350" s="38" t="inlineStr">
        <is>
          <t>Воронежская область</t>
        </is>
      </c>
      <c r="T350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«Прайм Ппу», где это исправлено, и показать. Собрать?</t>
        </is>
      </c>
      <c r="U350" s="38">
        <f>B350&amp;IF(D350&lt;&gt;""," · "&amp;D350,"")&amp;IF(F350&lt;&gt;"",CHAR(10)&amp;F350,"")</f>
        <v/>
      </c>
      <c r="V350" s="38">
        <f>IF(OR(F350="просрочено",F350="сегодня",F350="укажи дату",LEFT(F350,6)="молчит"),1,0)</f>
        <v/>
      </c>
    </row>
    <row r="351" ht="24" customHeight="1">
      <c r="A351" s="38" t="n">
        <v>350</v>
      </c>
      <c r="B351" s="32" t="inlineStr">
        <is>
          <t>Атларус</t>
        </is>
      </c>
      <c r="C351" s="49" t="inlineStr">
        <is>
          <t>Очередь</t>
        </is>
      </c>
      <c r="D351" s="49" t="n"/>
      <c r="E351" s="50" t="n"/>
      <c r="F351" s="51">
        <f>IF(OR(C351="",C351="Очередь",C351="Клиент",C351="Отказ",C351="Не писать"),"",IF(E351="",IF(AND(C351="Отправлено",I351&lt;&gt;"",TODAY()-INT(I351)&gt;=3),"молчит "&amp;(TODAY()-INT(I351))&amp;" дн.",IF(OR(C351="Перезвонить",C351="Созвон"),"укажи дату","")),IF(INT(E351)&lt;TODAY(),"просрочено",IF(INT(E351)=TODAY(),"сегодня",IF(INT(E351)=TODAY()+1,"завтра",TEXT(E351,"dd.mm"))))))</f>
        <v/>
      </c>
      <c r="G351" s="52" t="n"/>
      <c r="H351" s="36" t="inlineStr">
        <is>
          <t>79507621294</t>
        </is>
      </c>
      <c r="I351" s="53" t="n"/>
      <c r="J351" s="38">
        <f>IFERROR(MATCH(C351,'Справка'!$A$12:$A$21,0),99)</f>
        <v/>
      </c>
      <c r="K351" s="39">
        <f>HYPERLINK("https://wa.me/"&amp;H351&amp;"?text="&amp;ENCODEURL(T351),"✉ Написать")</f>
        <v/>
      </c>
      <c r="L351" s="39">
        <f>HYPERLINK("https://wa.me/"&amp;H351,"Открыть чат")</f>
        <v/>
      </c>
      <c r="M351" s="38" t="inlineStr">
        <is>
          <t>Воронеж</t>
        </is>
      </c>
      <c r="N351" s="38" t="n"/>
      <c r="O351" s="38" t="n"/>
      <c r="P351" s="38" t="inlineStr">
        <is>
          <t>atlarus.ru</t>
        </is>
      </c>
      <c r="Q351" s="38" t="inlineStr">
        <is>
          <t>есть сайт: сначала впиши в текст, что на нём не так</t>
        </is>
      </c>
      <c r="R351" s="38" t="n">
        <v>2</v>
      </c>
      <c r="S351" s="38" t="inlineStr">
        <is>
          <t>Воронежская область</t>
        </is>
      </c>
      <c r="T351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«Атларус», где это исправлено, и показать. Собрать?</t>
        </is>
      </c>
      <c r="U351" s="38">
        <f>B351&amp;IF(D351&lt;&gt;""," · "&amp;D351,"")&amp;IF(F351&lt;&gt;"",CHAR(10)&amp;F351,"")</f>
        <v/>
      </c>
      <c r="V351" s="38">
        <f>IF(OR(F351="просрочено",F351="сегодня",F351="укажи дату",LEFT(F351,6)="молчит"),1,0)</f>
        <v/>
      </c>
    </row>
    <row r="352" ht="24" customHeight="1">
      <c r="A352" s="38" t="n">
        <v>351</v>
      </c>
      <c r="B352" s="32" t="inlineStr">
        <is>
          <t>Мирас-строй</t>
        </is>
      </c>
      <c r="C352" s="49" t="inlineStr">
        <is>
          <t>Очередь</t>
        </is>
      </c>
      <c r="D352" s="49" t="n"/>
      <c r="E352" s="50" t="n"/>
      <c r="F352" s="51">
        <f>IF(OR(C352="",C352="Очередь",C352="Клиент",C352="Отказ",C352="Не писать"),"",IF(E352="",IF(AND(C352="Отправлено",I352&lt;&gt;"",TODAY()-INT(I352)&gt;=3),"молчит "&amp;(TODAY()-INT(I352))&amp;" дн.",IF(OR(C352="Перезвонить",C352="Созвон"),"укажи дату","")),IF(INT(E352)&lt;TODAY(),"просрочено",IF(INT(E352)=TODAY(),"сегодня",IF(INT(E352)=TODAY()+1,"завтра",TEXT(E352,"dd.mm"))))))</f>
        <v/>
      </c>
      <c r="G352" s="52" t="n"/>
      <c r="H352" s="36" t="inlineStr">
        <is>
          <t>79507504596</t>
        </is>
      </c>
      <c r="I352" s="53" t="n"/>
      <c r="J352" s="38">
        <f>IFERROR(MATCH(C352,'Справка'!$A$12:$A$21,0),99)</f>
        <v/>
      </c>
      <c r="K352" s="39">
        <f>HYPERLINK("https://wa.me/"&amp;H352&amp;"?text="&amp;ENCODEURL(T352),"✉ Написать")</f>
        <v/>
      </c>
      <c r="L352" s="39">
        <f>HYPERLINK("https://wa.me/"&amp;H352,"Открыть чат")</f>
        <v/>
      </c>
      <c r="M352" s="38" t="inlineStr">
        <is>
          <t>Воронеж</t>
        </is>
      </c>
      <c r="N352" s="38" t="n"/>
      <c r="O352" s="38" t="n"/>
      <c r="P352" s="38" t="inlineStr">
        <is>
          <t>vezem-36.ru</t>
        </is>
      </c>
      <c r="Q352" s="38" t="inlineStr">
        <is>
          <t>есть сайт: сначала впиши в текст, что на нём не так</t>
        </is>
      </c>
      <c r="R352" s="38" t="n">
        <v>2</v>
      </c>
      <c r="S352" s="38" t="inlineStr">
        <is>
          <t>Воронежская область</t>
        </is>
      </c>
      <c r="T352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«Мирас-строй», где это исправлено, и показать. Собрать?</t>
        </is>
      </c>
      <c r="U352" s="38">
        <f>B352&amp;IF(D352&lt;&gt;""," · "&amp;D352,"")&amp;IF(F352&lt;&gt;"",CHAR(10)&amp;F352,"")</f>
        <v/>
      </c>
      <c r="V352" s="38">
        <f>IF(OR(F352="просрочено",F352="сегодня",F352="укажи дату",LEFT(F352,6)="молчит"),1,0)</f>
        <v/>
      </c>
    </row>
    <row r="353" ht="24" customHeight="1">
      <c r="A353" s="38" t="n">
        <v>352</v>
      </c>
      <c r="B353" s="32" t="inlineStr">
        <is>
          <t>Stelldom</t>
        </is>
      </c>
      <c r="C353" s="49" t="inlineStr">
        <is>
          <t>Очередь</t>
        </is>
      </c>
      <c r="D353" s="49" t="n"/>
      <c r="E353" s="50" t="n"/>
      <c r="F353" s="51">
        <f>IF(OR(C353="",C353="Очередь",C353="Клиент",C353="Отказ",C353="Не писать"),"",IF(E353="",IF(AND(C353="Отправлено",I353&lt;&gt;"",TODAY()-INT(I353)&gt;=3),"молчит "&amp;(TODAY()-INT(I353))&amp;" дн.",IF(OR(C353="Перезвонить",C353="Созвон"),"укажи дату","")),IF(INT(E353)&lt;TODAY(),"просрочено",IF(INT(E353)=TODAY(),"сегодня",IF(INT(E353)=TODAY()+1,"завтра",TEXT(E353,"dd.mm"))))))</f>
        <v/>
      </c>
      <c r="G353" s="52" t="n"/>
      <c r="H353" s="36" t="inlineStr">
        <is>
          <t>79300110026</t>
        </is>
      </c>
      <c r="I353" s="53" t="n"/>
      <c r="J353" s="38">
        <f>IFERROR(MATCH(C353,'Справка'!$A$12:$A$21,0),99)</f>
        <v/>
      </c>
      <c r="K353" s="39">
        <f>HYPERLINK("https://wa.me/"&amp;H353&amp;"?text="&amp;ENCODEURL(T353),"✉ Написать")</f>
        <v/>
      </c>
      <c r="L353" s="39">
        <f>HYPERLINK("https://wa.me/"&amp;H353,"Открыть чат")</f>
        <v/>
      </c>
      <c r="M353" s="38" t="inlineStr">
        <is>
          <t>пос. Отрадное</t>
        </is>
      </c>
      <c r="N353" s="38" t="n"/>
      <c r="O353" s="38" t="n"/>
      <c r="P353" s="38" t="inlineStr">
        <is>
          <t>stelldom.ru</t>
        </is>
      </c>
      <c r="Q353" s="38" t="inlineStr">
        <is>
          <t>есть сайт: сначала впиши в текст, что на нём не так</t>
        </is>
      </c>
      <c r="R353" s="38" t="n">
        <v>2</v>
      </c>
      <c r="S353" s="38" t="inlineStr">
        <is>
          <t>Воронежская область</t>
        </is>
      </c>
      <c r="T353" s="38" t="inlineStr">
        <is>
          <t>Здравствуйте! Смотрел в 2ГИС кровельные компании в Воронежской области, зашёл на ваш сайт с телефона: [ЧТО НЕ ТАК НА САЙТЕ].
Могу за вечер собрать вариант под «Stelldom», где это исправлено, и показать. Собрать?</t>
        </is>
      </c>
      <c r="U353" s="38">
        <f>B353&amp;IF(D353&lt;&gt;""," · "&amp;D353,"")&amp;IF(F353&lt;&gt;"",CHAR(10)&amp;F353,"")</f>
        <v/>
      </c>
      <c r="V353" s="38">
        <f>IF(OR(F353="просрочено",F353="сегодня",F353="укажи дату",LEFT(F353,6)="молчит"),1,0)</f>
        <v/>
      </c>
    </row>
    <row r="354" ht="24" customHeight="1">
      <c r="A354" s="38" t="n">
        <v>353</v>
      </c>
      <c r="B354" s="32" t="inlineStr">
        <is>
          <t>Гидро36</t>
        </is>
      </c>
      <c r="C354" s="49" t="inlineStr">
        <is>
          <t>Очередь</t>
        </is>
      </c>
      <c r="D354" s="49" t="n"/>
      <c r="E354" s="50" t="n"/>
      <c r="F354" s="51">
        <f>IF(OR(C354="",C354="Очередь",C354="Клиент",C354="Отказ",C354="Не писать"),"",IF(E354="",IF(AND(C354="Отправлено",I354&lt;&gt;"",TODAY()-INT(I354)&gt;=3),"молчит "&amp;(TODAY()-INT(I354))&amp;" дн.",IF(OR(C354="Перезвонить",C354="Созвон"),"укажи дату","")),IF(INT(E354)&lt;TODAY(),"просрочено",IF(INT(E354)=TODAY(),"сегодня",IF(INT(E354)=TODAY()+1,"завтра",TEXT(E354,"dd.mm"))))))</f>
        <v/>
      </c>
      <c r="G354" s="52" t="n"/>
      <c r="H354" s="36" t="inlineStr">
        <is>
          <t>79515412741</t>
        </is>
      </c>
      <c r="I354" s="53" t="n"/>
      <c r="J354" s="38">
        <f>IFERROR(MATCH(C354,'Справка'!$A$12:$A$21,0),99)</f>
        <v/>
      </c>
      <c r="K354" s="39">
        <f>HYPERLINK("https://wa.me/"&amp;H354&amp;"?text="&amp;ENCODEURL(T354),"✉ Написать")</f>
        <v/>
      </c>
      <c r="L354" s="39">
        <f>HYPERLINK("https://wa.me/"&amp;H354,"Открыть чат")</f>
        <v/>
      </c>
      <c r="M354" s="38" t="inlineStr">
        <is>
          <t>Воронеж</t>
        </is>
      </c>
      <c r="N354" s="38" t="n"/>
      <c r="O354" s="38" t="n"/>
      <c r="P354" s="38" t="inlineStr">
        <is>
          <t>gidro36.ru</t>
        </is>
      </c>
      <c r="Q354" s="38" t="inlineStr">
        <is>
          <t>есть сайт: сначала впиши в текст, что на нём не так</t>
        </is>
      </c>
      <c r="R354" s="38" t="n">
        <v>2</v>
      </c>
      <c r="S354" s="38" t="inlineStr">
        <is>
          <t>Воронежская область</t>
        </is>
      </c>
      <c r="T354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«Гидро36», где это исправлено, и показать. Собрать?</t>
        </is>
      </c>
      <c r="U354" s="38">
        <f>B354&amp;IF(D354&lt;&gt;""," · "&amp;D354,"")&amp;IF(F354&lt;&gt;"",CHAR(10)&amp;F354,"")</f>
        <v/>
      </c>
      <c r="V354" s="38">
        <f>IF(OR(F354="просрочено",F354="сегодня",F354="укажи дату",LEFT(F354,6)="молчит"),1,0)</f>
        <v/>
      </c>
    </row>
    <row r="355" ht="24" customHeight="1">
      <c r="A355" s="38" t="n">
        <v>354</v>
      </c>
      <c r="B355" s="32" t="inlineStr">
        <is>
          <t>Кровцентр</t>
        </is>
      </c>
      <c r="C355" s="49" t="inlineStr">
        <is>
          <t>Очередь</t>
        </is>
      </c>
      <c r="D355" s="49" t="n"/>
      <c r="E355" s="50" t="n"/>
      <c r="F355" s="51">
        <f>IF(OR(C355="",C355="Очередь",C355="Клиент",C355="Отказ",C355="Не писать"),"",IF(E355="",IF(AND(C355="Отправлено",I355&lt;&gt;"",TODAY()-INT(I355)&gt;=3),"молчит "&amp;(TODAY()-INT(I355))&amp;" дн.",IF(OR(C355="Перезвонить",C355="Созвон"),"укажи дату","")),IF(INT(E355)&lt;TODAY(),"просрочено",IF(INT(E355)=TODAY(),"сегодня",IF(INT(E355)=TODAY()+1,"завтра",TEXT(E355,"dd.mm"))))))</f>
        <v/>
      </c>
      <c r="G355" s="52" t="n"/>
      <c r="H355" s="36" t="inlineStr">
        <is>
          <t>79204273156</t>
        </is>
      </c>
      <c r="I355" s="53" t="n"/>
      <c r="J355" s="38">
        <f>IFERROR(MATCH(C355,'Справка'!$A$12:$A$21,0),99)</f>
        <v/>
      </c>
      <c r="K355" s="39">
        <f>HYPERLINK("https://wa.me/"&amp;H355&amp;"?text="&amp;ENCODEURL(T355),"✉ Написать")</f>
        <v/>
      </c>
      <c r="L355" s="39">
        <f>HYPERLINK("https://wa.me/"&amp;H355,"Открыть чат")</f>
        <v/>
      </c>
      <c r="M355" s="38" t="inlineStr">
        <is>
          <t>рп. Рамонь</t>
        </is>
      </c>
      <c r="N355" s="38" t="n"/>
      <c r="O355" s="38" t="n"/>
      <c r="P355" s="38" t="inlineStr">
        <is>
          <t>центр-кров.рф</t>
        </is>
      </c>
      <c r="Q355" s="38" t="inlineStr">
        <is>
          <t>есть сайт: сначала впиши в текст, что на нём не так</t>
        </is>
      </c>
      <c r="R355" s="38" t="n">
        <v>2</v>
      </c>
      <c r="S355" s="38" t="inlineStr">
        <is>
          <t>Воронежская область</t>
        </is>
      </c>
      <c r="T355" s="38" t="inlineStr">
        <is>
          <t>Здравствуйте! Смотрел в 2ГИС кровельные компании в Воронежской области, зашёл на ваш сайт с телефона: [ЧТО НЕ ТАК НА САЙТЕ].
Могу за вечер собрать вариант под «Кровцентр», где это исправлено, и показать. Собрать?</t>
        </is>
      </c>
      <c r="U355" s="38">
        <f>B355&amp;IF(D355&lt;&gt;""," · "&amp;D355,"")&amp;IF(F355&lt;&gt;"",CHAR(10)&amp;F355,"")</f>
        <v/>
      </c>
      <c r="V355" s="38">
        <f>IF(OR(F355="просрочено",F355="сегодня",F355="укажи дату",LEFT(F355,6)="молчит"),1,0)</f>
        <v/>
      </c>
    </row>
    <row r="356" ht="24" customHeight="1">
      <c r="A356" s="38" t="n">
        <v>355</v>
      </c>
      <c r="B356" s="32" t="inlineStr">
        <is>
          <t>ТвойЭкоДом</t>
        </is>
      </c>
      <c r="C356" s="49" t="inlineStr">
        <is>
          <t>Очередь</t>
        </is>
      </c>
      <c r="D356" s="49" t="n"/>
      <c r="E356" s="50" t="n"/>
      <c r="F356" s="51">
        <f>IF(OR(C356="",C356="Очередь",C356="Клиент",C356="Отказ",C356="Не писать"),"",IF(E356="",IF(AND(C356="Отправлено",I356&lt;&gt;"",TODAY()-INT(I356)&gt;=3),"молчит "&amp;(TODAY()-INT(I356))&amp;" дн.",IF(OR(C356="Перезвонить",C356="Созвон"),"укажи дату","")),IF(INT(E356)&lt;TODAY(),"просрочено",IF(INT(E356)=TODAY(),"сегодня",IF(INT(E356)=TODAY()+1,"завтра",TEXT(E356,"dd.mm"))))))</f>
        <v/>
      </c>
      <c r="G356" s="52" t="n"/>
      <c r="H356" s="36" t="inlineStr">
        <is>
          <t>79882351260</t>
        </is>
      </c>
      <c r="I356" s="53" t="n"/>
      <c r="J356" s="38">
        <f>IFERROR(MATCH(C356,'Справка'!$A$12:$A$21,0),99)</f>
        <v/>
      </c>
      <c r="K356" s="39">
        <f>HYPERLINK("https://wa.me/"&amp;H356&amp;"?text="&amp;ENCODEURL(T356),"✉ Написать")</f>
        <v/>
      </c>
      <c r="L356" s="39">
        <f>HYPERLINK("https://wa.me/"&amp;H356,"Открыть чат")</f>
        <v/>
      </c>
      <c r="M356" s="38" t="inlineStr">
        <is>
          <t>Сочи</t>
        </is>
      </c>
      <c r="N356" s="38" t="n">
        <v>5</v>
      </c>
      <c r="O356" s="38" t="n">
        <v>21</v>
      </c>
      <c r="P356" s="38" t="inlineStr">
        <is>
          <t>твойэкодом.рф</t>
        </is>
      </c>
      <c r="Q356" s="38" t="inlineStr">
        <is>
          <t>есть сайт: сначала впиши в текст, что на нём не так</t>
        </is>
      </c>
      <c r="R356" s="38" t="n">
        <v>2</v>
      </c>
      <c r="S356" s="38" t="inlineStr">
        <is>
          <t>Краснодарский край</t>
        </is>
      </c>
      <c r="T356" s="38" t="inlineStr">
        <is>
          <t>Здравствуйте! Смотрел в 2ГИС кровельные компании в Сочи, зашёл на ваш сайт с телефона: [ЧТО НЕ ТАК НА САЙТЕ].
Могу за вечер собрать вариант под «ТвойЭкоДом», где это исправлено, и показать. Собрать?</t>
        </is>
      </c>
      <c r="U356" s="38">
        <f>B356&amp;IF(D356&lt;&gt;""," · "&amp;D356,"")&amp;IF(F356&lt;&gt;"",CHAR(10)&amp;F356,"")</f>
        <v/>
      </c>
      <c r="V356" s="38">
        <f>IF(OR(F356="просрочено",F356="сегодня",F356="укажи дату",LEFT(F356,6)="молчит"),1,0)</f>
        <v/>
      </c>
    </row>
    <row r="357" ht="24" customHeight="1">
      <c r="A357" s="38" t="n">
        <v>356</v>
      </c>
      <c r="B357" s="32" t="inlineStr">
        <is>
          <t>Топ фасад</t>
        </is>
      </c>
      <c r="C357" s="49" t="inlineStr">
        <is>
          <t>Очередь</t>
        </is>
      </c>
      <c r="D357" s="49" t="n"/>
      <c r="E357" s="50" t="n"/>
      <c r="F357" s="51">
        <f>IF(OR(C357="",C357="Очередь",C357="Клиент",C357="Отказ",C357="Не писать"),"",IF(E357="",IF(AND(C357="Отправлено",I357&lt;&gt;"",TODAY()-INT(I357)&gt;=3),"молчит "&amp;(TODAY()-INT(I357))&amp;" дн.",IF(OR(C357="Перезвонить",C357="Созвон"),"укажи дату","")),IF(INT(E357)&lt;TODAY(),"просрочено",IF(INT(E357)=TODAY(),"сегодня",IF(INT(E357)=TODAY()+1,"завтра",TEXT(E357,"dd.mm"))))))</f>
        <v/>
      </c>
      <c r="G357" s="52" t="n"/>
      <c r="H357" s="36" t="inlineStr">
        <is>
          <t>79884114871</t>
        </is>
      </c>
      <c r="I357" s="53" t="n"/>
      <c r="J357" s="38">
        <f>IFERROR(MATCH(C357,'Справка'!$A$12:$A$21,0),99)</f>
        <v/>
      </c>
      <c r="K357" s="39">
        <f>HYPERLINK("https://wa.me/"&amp;H357&amp;"?text="&amp;ENCODEURL(T357),"✉ Написать")</f>
        <v/>
      </c>
      <c r="L357" s="39">
        <f>HYPERLINK("https://wa.me/"&amp;H357,"Открыть чат")</f>
        <v/>
      </c>
      <c r="M357" s="38" t="inlineStr">
        <is>
          <t>Сочи</t>
        </is>
      </c>
      <c r="N357" s="38" t="n">
        <v>5</v>
      </c>
      <c r="O357" s="38" t="n">
        <v>18</v>
      </c>
      <c r="P357" s="38" t="inlineStr">
        <is>
          <t>topfasadgroup.ru</t>
        </is>
      </c>
      <c r="Q357" s="38" t="inlineStr">
        <is>
          <t>есть сайт: сначала впиши в текст, что на нём не так</t>
        </is>
      </c>
      <c r="R357" s="38" t="n">
        <v>2</v>
      </c>
      <c r="S357" s="38" t="inlineStr">
        <is>
          <t>Краснодарский край</t>
        </is>
      </c>
      <c r="T357" s="38" t="inlineStr">
        <is>
          <t>Здравствуйте! Смотрел в 2ГИС кровельные компании в Сочи, зашёл на ваш сайт с телефона: [ЧТО НЕ ТАК НА САЙТЕ].
Могу за вечер собрать вариант под «Топ фасад», где это исправлено, и показать. Собрать?</t>
        </is>
      </c>
      <c r="U357" s="38">
        <f>B357&amp;IF(D357&lt;&gt;""," · "&amp;D357,"")&amp;IF(F357&lt;&gt;"",CHAR(10)&amp;F357,"")</f>
        <v/>
      </c>
      <c r="V357" s="38">
        <f>IF(OR(F357="просрочено",F357="сегодня",F357="укажи дату",LEFT(F357,6)="молчит"),1,0)</f>
        <v/>
      </c>
    </row>
    <row r="358" ht="24" customHeight="1">
      <c r="A358" s="38" t="n">
        <v>357</v>
      </c>
      <c r="B358" s="32" t="inlineStr">
        <is>
          <t>Корпорация Тахион</t>
        </is>
      </c>
      <c r="C358" s="49" t="inlineStr">
        <is>
          <t>Очередь</t>
        </is>
      </c>
      <c r="D358" s="49" t="n"/>
      <c r="E358" s="50" t="n"/>
      <c r="F358" s="51">
        <f>IF(OR(C358="",C358="Очередь",C358="Клиент",C358="Отказ",C358="Не писать"),"",IF(E358="",IF(AND(C358="Отправлено",I358&lt;&gt;"",TODAY()-INT(I358)&gt;=3),"молчит "&amp;(TODAY()-INT(I358))&amp;" дн.",IF(OR(C358="Перезвонить",C358="Созвон"),"укажи дату","")),IF(INT(E358)&lt;TODAY(),"просрочено",IF(INT(E358)=TODAY(),"сегодня",IF(INT(E358)=TODAY()+1,"завтра",TEXT(E358,"dd.mm"))))))</f>
        <v/>
      </c>
      <c r="G358" s="52" t="n"/>
      <c r="H358" s="36" t="inlineStr">
        <is>
          <t>79111927777</t>
        </is>
      </c>
      <c r="I358" s="53" t="n"/>
      <c r="J358" s="38">
        <f>IFERROR(MATCH(C358,'Справка'!$A$12:$A$21,0),99)</f>
        <v/>
      </c>
      <c r="K358" s="39">
        <f>HYPERLINK("https://wa.me/"&amp;H358&amp;"?text="&amp;ENCODEURL(T358),"✉ Написать")</f>
        <v/>
      </c>
      <c r="L358" s="39">
        <f>HYPERLINK("https://wa.me/"&amp;H358,"Открыть чат")</f>
        <v/>
      </c>
      <c r="M358" s="38" t="inlineStr">
        <is>
          <t>Сочи</t>
        </is>
      </c>
      <c r="N358" s="38" t="n">
        <v>5</v>
      </c>
      <c r="O358" s="38" t="n">
        <v>9</v>
      </c>
      <c r="P358" s="38" t="inlineStr">
        <is>
          <t>tachyon-stroi.ru</t>
        </is>
      </c>
      <c r="Q358" s="38" t="inlineStr">
        <is>
          <t>есть сайт: сначала впиши в текст, что на нём не так</t>
        </is>
      </c>
      <c r="R358" s="38" t="n">
        <v>2</v>
      </c>
      <c r="S358" s="38" t="inlineStr">
        <is>
          <t>Краснодарский край</t>
        </is>
      </c>
      <c r="T358" s="38" t="inlineStr">
        <is>
          <t>Здравствуйте! Смотрел в 2ГИС кровельные компании в Сочи, зашёл на ваш сайт с телефона: [ЧТО НЕ ТАК НА САЙТЕ].
Могу за вечер собрать вариант под «Корпорация Тахион», где это исправлено, и показать. Собрать?</t>
        </is>
      </c>
      <c r="U358" s="38">
        <f>B358&amp;IF(D358&lt;&gt;""," · "&amp;D358,"")&amp;IF(F358&lt;&gt;"",CHAR(10)&amp;F358,"")</f>
        <v/>
      </c>
      <c r="V358" s="38">
        <f>IF(OR(F358="просрочено",F358="сегодня",F358="укажи дату",LEFT(F358,6)="молчит"),1,0)</f>
        <v/>
      </c>
    </row>
    <row r="359" ht="24" customHeight="1">
      <c r="A359" s="38" t="n">
        <v>358</v>
      </c>
      <c r="B359" s="32" t="inlineStr">
        <is>
          <t>Полигид</t>
        </is>
      </c>
      <c r="C359" s="49" t="inlineStr">
        <is>
          <t>Очередь</t>
        </is>
      </c>
      <c r="D359" s="49" t="n"/>
      <c r="E359" s="50" t="n"/>
      <c r="F359" s="51">
        <f>IF(OR(C359="",C359="Очередь",C359="Клиент",C359="Отказ",C359="Не писать"),"",IF(E359="",IF(AND(C359="Отправлено",I359&lt;&gt;"",TODAY()-INT(I359)&gt;=3),"молчит "&amp;(TODAY()-INT(I359))&amp;" дн.",IF(OR(C359="Перезвонить",C359="Созвон"),"укажи дату","")),IF(INT(E359)&lt;TODAY(),"просрочено",IF(INT(E359)=TODAY(),"сегодня",IF(INT(E359)=TODAY()+1,"завтра",TEXT(E359,"dd.mm"))))))</f>
        <v/>
      </c>
      <c r="G359" s="52" t="n"/>
      <c r="H359" s="36" t="inlineStr">
        <is>
          <t>79284526464</t>
        </is>
      </c>
      <c r="I359" s="53" t="n"/>
      <c r="J359" s="38">
        <f>IFERROR(MATCH(C359,'Справка'!$A$12:$A$21,0),99)</f>
        <v/>
      </c>
      <c r="K359" s="39">
        <f>HYPERLINK("https://wa.me/"&amp;H359&amp;"?text="&amp;ENCODEURL(T359),"✉ Написать")</f>
        <v/>
      </c>
      <c r="L359" s="39">
        <f>HYPERLINK("https://wa.me/"&amp;H359,"Открыть чат")</f>
        <v/>
      </c>
      <c r="M359" s="38" t="inlineStr">
        <is>
          <t>Сочи</t>
        </is>
      </c>
      <c r="N359" s="38" t="n">
        <v>5</v>
      </c>
      <c r="O359" s="38" t="n">
        <v>8</v>
      </c>
      <c r="P359" s="38" t="inlineStr">
        <is>
          <t>poligid.com</t>
        </is>
      </c>
      <c r="Q359" s="38" t="inlineStr">
        <is>
          <t>есть сайт: сначала впиши в текст, что на нём не так</t>
        </is>
      </c>
      <c r="R359" s="38" t="n">
        <v>2</v>
      </c>
      <c r="S359" s="38" t="inlineStr">
        <is>
          <t>Краснодарский край</t>
        </is>
      </c>
      <c r="T359" s="38" t="inlineStr">
        <is>
          <t>Здравствуйте! Смотрел в 2ГИС кровельные компании в Сочи, зашёл на ваш сайт с телефона: [ЧТО НЕ ТАК НА САЙТЕ].
Могу за вечер собрать вариант под «Полигид», где это исправлено, и показать. Собрать?</t>
        </is>
      </c>
      <c r="U359" s="38">
        <f>B359&amp;IF(D359&lt;&gt;""," · "&amp;D359,"")&amp;IF(F359&lt;&gt;"",CHAR(10)&amp;F359,"")</f>
        <v/>
      </c>
      <c r="V359" s="38">
        <f>IF(OR(F359="просрочено",F359="сегодня",F359="укажи дату",LEFT(F359,6)="молчит"),1,0)</f>
        <v/>
      </c>
    </row>
    <row r="360" ht="24" customHeight="1">
      <c r="A360" s="38" t="n">
        <v>359</v>
      </c>
      <c r="B360" s="32" t="inlineStr">
        <is>
          <t>Мега-строй</t>
        </is>
      </c>
      <c r="C360" s="49" t="inlineStr">
        <is>
          <t>Очередь</t>
        </is>
      </c>
      <c r="D360" s="49" t="n"/>
      <c r="E360" s="50" t="n"/>
      <c r="F360" s="51">
        <f>IF(OR(C360="",C360="Очередь",C360="Клиент",C360="Отказ",C360="Не писать"),"",IF(E360="",IF(AND(C360="Отправлено",I360&lt;&gt;"",TODAY()-INT(I360)&gt;=3),"молчит "&amp;(TODAY()-INT(I360))&amp;" дн.",IF(OR(C360="Перезвонить",C360="Созвон"),"укажи дату","")),IF(INT(E360)&lt;TODAY(),"просрочено",IF(INT(E360)=TODAY(),"сегодня",IF(INT(E360)=TODAY()+1,"завтра",TEXT(E360,"dd.mm"))))))</f>
        <v/>
      </c>
      <c r="G360" s="52" t="n"/>
      <c r="H360" s="36" t="inlineStr">
        <is>
          <t>79189131000</t>
        </is>
      </c>
      <c r="I360" s="53" t="n"/>
      <c r="J360" s="38">
        <f>IFERROR(MATCH(C360,'Справка'!$A$12:$A$21,0),99)</f>
        <v/>
      </c>
      <c r="K360" s="39">
        <f>HYPERLINK("https://wa.me/"&amp;H360&amp;"?text="&amp;ENCODEURL(T360),"✉ Написать")</f>
        <v/>
      </c>
      <c r="L360" s="39">
        <f>HYPERLINK("https://wa.me/"&amp;H360,"Открыть чат")</f>
        <v/>
      </c>
      <c r="M360" s="38" t="inlineStr">
        <is>
          <t>Сочи</t>
        </is>
      </c>
      <c r="N360" s="38" t="n">
        <v>3.7</v>
      </c>
      <c r="O360" s="38" t="n">
        <v>6</v>
      </c>
      <c r="P360" s="38" t="inlineStr">
        <is>
          <t>www.megastroisochi.ru</t>
        </is>
      </c>
      <c r="Q360" s="38" t="inlineStr">
        <is>
          <t>есть сайт: сначала впиши в текст, что на нём не так</t>
        </is>
      </c>
      <c r="R360" s="38" t="n">
        <v>2</v>
      </c>
      <c r="S360" s="38" t="inlineStr">
        <is>
          <t>Краснодарский край</t>
        </is>
      </c>
      <c r="T360" s="38" t="inlineStr">
        <is>
          <t>Здравствуйте! Смотрел в 2ГИС кровельные компании в Сочи, зашёл на ваш сайт с телефона: [ЧТО НЕ ТАК НА САЙТЕ].
Могу за вечер собрать вариант под «Мега-строй», где это исправлено, и показать. Собрать?</t>
        </is>
      </c>
      <c r="U360" s="38">
        <f>B360&amp;IF(D360&lt;&gt;""," · "&amp;D360,"")&amp;IF(F360&lt;&gt;"",CHAR(10)&amp;F360,"")</f>
        <v/>
      </c>
      <c r="V360" s="38">
        <f>IF(OR(F360="просрочено",F360="сегодня",F360="укажи дату",LEFT(F360,6)="молчит"),1,0)</f>
        <v/>
      </c>
    </row>
    <row r="361" ht="24" customHeight="1">
      <c r="A361" s="38" t="n">
        <v>360</v>
      </c>
      <c r="B361" s="32" t="inlineStr">
        <is>
          <t>На Высоте</t>
        </is>
      </c>
      <c r="C361" s="49" t="inlineStr">
        <is>
          <t>Очередь</t>
        </is>
      </c>
      <c r="D361" s="49" t="n"/>
      <c r="E361" s="50" t="n"/>
      <c r="F361" s="51">
        <f>IF(OR(C361="",C361="Очередь",C361="Клиент",C361="Отказ",C361="Не писать"),"",IF(E361="",IF(AND(C361="Отправлено",I361&lt;&gt;"",TODAY()-INT(I361)&gt;=3),"молчит "&amp;(TODAY()-INT(I361))&amp;" дн.",IF(OR(C361="Перезвонить",C361="Созвон"),"укажи дату","")),IF(INT(E361)&lt;TODAY(),"просрочено",IF(INT(E361)=TODAY(),"сегодня",IF(INT(E361)=TODAY()+1,"завтра",TEXT(E361,"dd.mm"))))))</f>
        <v/>
      </c>
      <c r="G361" s="52" t="n"/>
      <c r="H361" s="36" t="inlineStr">
        <is>
          <t>79628889771</t>
        </is>
      </c>
      <c r="I361" s="53" t="n"/>
      <c r="J361" s="38">
        <f>IFERROR(MATCH(C361,'Справка'!$A$12:$A$21,0),99)</f>
        <v/>
      </c>
      <c r="K361" s="39">
        <f>HYPERLINK("https://wa.me/"&amp;H361&amp;"?text="&amp;ENCODEURL(T361),"✉ Написать")</f>
        <v/>
      </c>
      <c r="L361" s="39">
        <f>HYPERLINK("https://wa.me/"&amp;H361,"Открыть чат")</f>
        <v/>
      </c>
      <c r="M361" s="38" t="inlineStr">
        <is>
          <t>Сочи</t>
        </is>
      </c>
      <c r="N361" s="38" t="n">
        <v>5</v>
      </c>
      <c r="O361" s="38" t="n">
        <v>2</v>
      </c>
      <c r="P361" s="38" t="inlineStr">
        <is>
          <t>navisotesochi.ru</t>
        </is>
      </c>
      <c r="Q361" s="38" t="inlineStr">
        <is>
          <t>есть сайт: сначала впиши в текст, что на нём не так</t>
        </is>
      </c>
      <c r="R361" s="38" t="n">
        <v>2</v>
      </c>
      <c r="S361" s="38" t="inlineStr">
        <is>
          <t>Краснодарский край</t>
        </is>
      </c>
      <c r="T361" s="38" t="inlineStr">
        <is>
          <t>Здравствуйте! Смотрел в 2ГИС кровельные компании в Сочи, зашёл на ваш сайт с телефона: [ЧТО НЕ ТАК НА САЙТЕ].
Могу за вечер собрать вариант под «На Высоте», где это исправлено, и показать. Собрать?</t>
        </is>
      </c>
      <c r="U361" s="38">
        <f>B361&amp;IF(D361&lt;&gt;""," · "&amp;D361,"")&amp;IF(F361&lt;&gt;"",CHAR(10)&amp;F361,"")</f>
        <v/>
      </c>
      <c r="V361" s="38">
        <f>IF(OR(F361="просрочено",F361="сегодня",F361="укажи дату",LEFT(F361,6)="молчит"),1,0)</f>
        <v/>
      </c>
    </row>
    <row r="362" ht="24" customHeight="1">
      <c r="A362" s="38" t="n">
        <v>361</v>
      </c>
      <c r="B362" s="32" t="inlineStr">
        <is>
          <t>Realstroy</t>
        </is>
      </c>
      <c r="C362" s="49" t="inlineStr">
        <is>
          <t>Очередь</t>
        </is>
      </c>
      <c r="D362" s="49" t="n"/>
      <c r="E362" s="50" t="n"/>
      <c r="F362" s="51">
        <f>IF(OR(C362="",C362="Очередь",C362="Клиент",C362="Отказ",C362="Не писать"),"",IF(E362="",IF(AND(C362="Отправлено",I362&lt;&gt;"",TODAY()-INT(I362)&gt;=3),"молчит "&amp;(TODAY()-INT(I362))&amp;" дн.",IF(OR(C362="Перезвонить",C362="Созвон"),"укажи дату","")),IF(INT(E362)&lt;TODAY(),"просрочено",IF(INT(E362)=TODAY(),"сегодня",IF(INT(E362)=TODAY()+1,"завтра",TEXT(E362,"dd.mm"))))))</f>
        <v/>
      </c>
      <c r="G362" s="52" t="n"/>
      <c r="H362" s="36" t="inlineStr">
        <is>
          <t>79184012695</t>
        </is>
      </c>
      <c r="I362" s="53" t="n"/>
      <c r="J362" s="38">
        <f>IFERROR(MATCH(C362,'Справка'!$A$12:$A$21,0),99)</f>
        <v/>
      </c>
      <c r="K362" s="39">
        <f>HYPERLINK("https://wa.me/"&amp;H362&amp;"?text="&amp;ENCODEURL(T362),"✉ Написать")</f>
        <v/>
      </c>
      <c r="L362" s="39">
        <f>HYPERLINK("https://wa.me/"&amp;H362,"Открыть чат")</f>
        <v/>
      </c>
      <c r="M362" s="38" t="inlineStr">
        <is>
          <t>Сочи</t>
        </is>
      </c>
      <c r="N362" s="38" t="n">
        <v>5</v>
      </c>
      <c r="O362" s="38" t="n">
        <v>1</v>
      </c>
      <c r="P362" s="38" t="inlineStr">
        <is>
          <t>kladka24-sochi.ru</t>
        </is>
      </c>
      <c r="Q362" s="38" t="inlineStr">
        <is>
          <t>есть сайт: сначала впиши в текст, что на нём не так</t>
        </is>
      </c>
      <c r="R362" s="38" t="n">
        <v>2</v>
      </c>
      <c r="S362" s="38" t="inlineStr">
        <is>
          <t>Краснодарский край</t>
        </is>
      </c>
      <c r="T362" s="38" t="inlineStr">
        <is>
          <t>Здравствуйте! Смотрел в 2ГИС кровельные компании в Сочи, зашёл на ваш сайт с телефона: [ЧТО НЕ ТАК НА САЙТЕ].
Могу за вечер собрать вариант под «Realstroy», где это исправлено, и показать. Собрать?</t>
        </is>
      </c>
      <c r="U362" s="38">
        <f>B362&amp;IF(D362&lt;&gt;""," · "&amp;D362,"")&amp;IF(F362&lt;&gt;"",CHAR(10)&amp;F362,"")</f>
        <v/>
      </c>
      <c r="V362" s="38">
        <f>IF(OR(F362="просрочено",F362="сегодня",F362="укажи дату",LEFT(F362,6)="молчит"),1,0)</f>
        <v/>
      </c>
    </row>
    <row r="363" ht="24" customHeight="1">
      <c r="A363" s="38" t="n">
        <v>362</v>
      </c>
      <c r="B363" s="32" t="inlineStr">
        <is>
          <t>Аксиома</t>
        </is>
      </c>
      <c r="C363" s="49" t="inlineStr">
        <is>
          <t>Очередь</t>
        </is>
      </c>
      <c r="D363" s="49" t="n"/>
      <c r="E363" s="50" t="n"/>
      <c r="F363" s="51">
        <f>IF(OR(C363="",C363="Очередь",C363="Клиент",C363="Отказ",C363="Не писать"),"",IF(E363="",IF(AND(C363="Отправлено",I363&lt;&gt;"",TODAY()-INT(I363)&gt;=3),"молчит "&amp;(TODAY()-INT(I363))&amp;" дн.",IF(OR(C363="Перезвонить",C363="Созвон"),"укажи дату","")),IF(INT(E363)&lt;TODAY(),"просрочено",IF(INT(E363)=TODAY(),"сегодня",IF(INT(E363)=TODAY()+1,"завтра",TEXT(E363,"dd.mm"))))))</f>
        <v/>
      </c>
      <c r="G363" s="52" t="n"/>
      <c r="H363" s="36" t="inlineStr">
        <is>
          <t>79530916161</t>
        </is>
      </c>
      <c r="I363" s="53" t="n"/>
      <c r="J363" s="38">
        <f>IFERROR(MATCH(C363,'Справка'!$A$12:$A$21,0),99)</f>
        <v/>
      </c>
      <c r="K363" s="39">
        <f>HYPERLINK("https://wa.me/"&amp;H363&amp;"?text="&amp;ENCODEURL(T363),"✉ Написать")</f>
        <v/>
      </c>
      <c r="L363" s="39">
        <f>HYPERLINK("https://wa.me/"&amp;H363,"Открыть чат")</f>
        <v/>
      </c>
      <c r="M363" s="38" t="inlineStr">
        <is>
          <t>Сочи</t>
        </is>
      </c>
      <c r="N363" s="38" t="n">
        <v>5</v>
      </c>
      <c r="O363" s="38" t="n">
        <v>1</v>
      </c>
      <c r="P363" s="38" t="inlineStr">
        <is>
          <t>www.axioma93.ru</t>
        </is>
      </c>
      <c r="Q363" s="38" t="inlineStr">
        <is>
          <t>есть сайт: сначала впиши в текст, что на нём не так</t>
        </is>
      </c>
      <c r="R363" s="38" t="n">
        <v>2</v>
      </c>
      <c r="S363" s="38" t="inlineStr">
        <is>
          <t>Краснодарский край</t>
        </is>
      </c>
      <c r="T363" s="38" t="inlineStr">
        <is>
          <t>Здравствуйте! Смотрел в 2ГИС кровельные компании в Сочи, зашёл на ваш сайт с телефона: [ЧТО НЕ ТАК НА САЙТЕ].
Могу за вечер собрать вариант под «Аксиома», где это исправлено, и показать. Собрать?</t>
        </is>
      </c>
      <c r="U363" s="38">
        <f>B363&amp;IF(D363&lt;&gt;""," · "&amp;D363,"")&amp;IF(F363&lt;&gt;"",CHAR(10)&amp;F363,"")</f>
        <v/>
      </c>
      <c r="V363" s="38">
        <f>IF(OR(F363="просрочено",F363="сегодня",F363="укажи дату",LEFT(F363,6)="молчит"),1,0)</f>
        <v/>
      </c>
    </row>
    <row r="364" ht="24" customHeight="1">
      <c r="A364" s="38" t="n">
        <v>363</v>
      </c>
      <c r="B364" s="32" t="inlineStr">
        <is>
          <t>3-Б групп</t>
        </is>
      </c>
      <c r="C364" s="49" t="inlineStr">
        <is>
          <t>Очередь</t>
        </is>
      </c>
      <c r="D364" s="49" t="n"/>
      <c r="E364" s="50" t="n"/>
      <c r="F364" s="51">
        <f>IF(OR(C364="",C364="Очередь",C364="Клиент",C364="Отказ",C364="Не писать"),"",IF(E364="",IF(AND(C364="Отправлено",I364&lt;&gt;"",TODAY()-INT(I364)&gt;=3),"молчит "&amp;(TODAY()-INT(I364))&amp;" дн.",IF(OR(C364="Перезвонить",C364="Созвон"),"укажи дату","")),IF(INT(E364)&lt;TODAY(),"просрочено",IF(INT(E364)=TODAY(),"сегодня",IF(INT(E364)=TODAY()+1,"завтра",TEXT(E364,"dd.mm"))))))</f>
        <v/>
      </c>
      <c r="G364" s="52" t="n"/>
      <c r="H364" s="36" t="inlineStr">
        <is>
          <t>79884090055</t>
        </is>
      </c>
      <c r="I364" s="53" t="n"/>
      <c r="J364" s="38">
        <f>IFERROR(MATCH(C364,'Справка'!$A$12:$A$21,0),99)</f>
        <v/>
      </c>
      <c r="K364" s="39">
        <f>HYPERLINK("https://wa.me/"&amp;H364&amp;"?text="&amp;ENCODEURL(T364),"✉ Написать")</f>
        <v/>
      </c>
      <c r="L364" s="39">
        <f>HYPERLINK("https://wa.me/"&amp;H364,"Открыть чат")</f>
        <v/>
      </c>
      <c r="M364" s="38" t="inlineStr">
        <is>
          <t>с. Орел-Изумруд</t>
        </is>
      </c>
      <c r="N364" s="38" t="n">
        <v>5</v>
      </c>
      <c r="O364" s="38" t="n">
        <v>1</v>
      </c>
      <c r="P364" s="38" t="inlineStr">
        <is>
          <t>3bgroup.ru</t>
        </is>
      </c>
      <c r="Q364" s="38" t="inlineStr">
        <is>
          <t>есть сайт: сначала впиши в текст, что на нём не так</t>
        </is>
      </c>
      <c r="R364" s="38" t="n">
        <v>2</v>
      </c>
      <c r="S364" s="38" t="inlineStr">
        <is>
          <t>Краснодарский край</t>
        </is>
      </c>
      <c r="T364" s="38" t="inlineStr">
        <is>
          <t>Здравствуйте! Смотрел в 2ГИС кровельные компании в Сочи, зашёл на ваш сайт с телефона: [ЧТО НЕ ТАК НА САЙТЕ].
Могу за вечер собрать вариант под «3-Б групп», где это исправлено, и показать. Собрать?</t>
        </is>
      </c>
      <c r="U364" s="38">
        <f>B364&amp;IF(D364&lt;&gt;""," · "&amp;D364,"")&amp;IF(F364&lt;&gt;"",CHAR(10)&amp;F364,"")</f>
        <v/>
      </c>
      <c r="V364" s="38">
        <f>IF(OR(F364="просрочено",F364="сегодня",F364="укажи дату",LEFT(F364,6)="молчит"),1,0)</f>
        <v/>
      </c>
    </row>
    <row r="365" ht="24" customHeight="1">
      <c r="A365" s="38" t="n">
        <v>364</v>
      </c>
      <c r="B365" s="32" t="inlineStr">
        <is>
          <t>Промат Групп</t>
        </is>
      </c>
      <c r="C365" s="49" t="inlineStr">
        <is>
          <t>Очередь</t>
        </is>
      </c>
      <c r="D365" s="49" t="n"/>
      <c r="E365" s="50" t="n"/>
      <c r="F365" s="51">
        <f>IF(OR(C365="",C365="Очередь",C365="Клиент",C365="Отказ",C365="Не писать"),"",IF(E365="",IF(AND(C365="Отправлено",I365&lt;&gt;"",TODAY()-INT(I365)&gt;=3),"молчит "&amp;(TODAY()-INT(I365))&amp;" дн.",IF(OR(C365="Перезвонить",C365="Созвон"),"укажи дату","")),IF(INT(E365)&lt;TODAY(),"просрочено",IF(INT(E365)=TODAY(),"сегодня",IF(INT(E365)=TODAY()+1,"завтра",TEXT(E365,"dd.mm"))))))</f>
        <v/>
      </c>
      <c r="G365" s="52" t="n"/>
      <c r="H365" s="36" t="inlineStr">
        <is>
          <t>79372322222</t>
        </is>
      </c>
      <c r="I365" s="53" t="n"/>
      <c r="J365" s="38">
        <f>IFERROR(MATCH(C365,'Справка'!$A$12:$A$21,0),99)</f>
        <v/>
      </c>
      <c r="K365" s="39">
        <f>HYPERLINK("https://wa.me/"&amp;H365&amp;"?text="&amp;ENCODEURL(T365),"✉ Написать")</f>
        <v/>
      </c>
      <c r="L365" s="39">
        <f>HYPERLINK("https://wa.me/"&amp;H365,"Открыть чат")</f>
        <v/>
      </c>
      <c r="M365" s="38" t="inlineStr">
        <is>
          <t>Сочи</t>
        </is>
      </c>
      <c r="N365" s="38" t="n">
        <v>5</v>
      </c>
      <c r="O365" s="38" t="n">
        <v>1</v>
      </c>
      <c r="P365" s="38" t="inlineStr">
        <is>
          <t>Перейти в Telegram-канал</t>
        </is>
      </c>
      <c r="Q365" s="38" t="inlineStr">
        <is>
          <t>есть сайт: сначала впиши в текст, что на нём не так</t>
        </is>
      </c>
      <c r="R365" s="38" t="n">
        <v>2</v>
      </c>
      <c r="S365" s="38" t="inlineStr">
        <is>
          <t>Краснодарский край</t>
        </is>
      </c>
      <c r="T365" s="38" t="inlineStr">
        <is>
          <t>Здравствуйте! Смотрел в 2ГИС кровельные компании в Сочи, зашёл на ваш сайт с телефона: [ЧТО НЕ ТАК НА САЙТЕ].
Могу за вечер собрать вариант под «Промат Групп», где это исправлено, и показать. Собрать?</t>
        </is>
      </c>
      <c r="U365" s="38">
        <f>B365&amp;IF(D365&lt;&gt;""," · "&amp;D365,"")&amp;IF(F365&lt;&gt;"",CHAR(10)&amp;F365,"")</f>
        <v/>
      </c>
      <c r="V365" s="38">
        <f>IF(OR(F365="просрочено",F365="сегодня",F365="укажи дату",LEFT(F365,6)="молчит"),1,0)</f>
        <v/>
      </c>
    </row>
    <row r="366" ht="24" customHeight="1">
      <c r="A366" s="38" t="n">
        <v>365</v>
      </c>
      <c r="B366" s="32" t="inlineStr">
        <is>
          <t>Вск</t>
        </is>
      </c>
      <c r="C366" s="49" t="inlineStr">
        <is>
          <t>Очередь</t>
        </is>
      </c>
      <c r="D366" s="49" t="n"/>
      <c r="E366" s="50" t="n"/>
      <c r="F366" s="51">
        <f>IF(OR(C366="",C366="Очередь",C366="Клиент",C366="Отказ",C366="Не писать"),"",IF(E366="",IF(AND(C366="Отправлено",I366&lt;&gt;"",TODAY()-INT(I366)&gt;=3),"молчит "&amp;(TODAY()-INT(I366))&amp;" дн.",IF(OR(C366="Перезвонить",C366="Созвон"),"укажи дату","")),IF(INT(E366)&lt;TODAY(),"просрочено",IF(INT(E366)=TODAY(),"сегодня",IF(INT(E366)=TODAY()+1,"завтра",TEXT(E366,"dd.mm"))))))</f>
        <v/>
      </c>
      <c r="G366" s="52" t="n"/>
      <c r="H366" s="36" t="inlineStr">
        <is>
          <t>79284569616</t>
        </is>
      </c>
      <c r="I366" s="53" t="n"/>
      <c r="J366" s="38">
        <f>IFERROR(MATCH(C366,'Справка'!$A$12:$A$21,0),99)</f>
        <v/>
      </c>
      <c r="K366" s="39">
        <f>HYPERLINK("https://wa.me/"&amp;H366&amp;"?text="&amp;ENCODEURL(T366),"✉ Написать")</f>
        <v/>
      </c>
      <c r="L366" s="39">
        <f>HYPERLINK("https://wa.me/"&amp;H366,"Открыть чат")</f>
        <v/>
      </c>
      <c r="M366" s="38" t="inlineStr">
        <is>
          <t>Сочи</t>
        </is>
      </c>
      <c r="N366" s="38" t="n"/>
      <c r="O366" s="38" t="n"/>
      <c r="P366" s="38" t="inlineStr">
        <is>
          <t>vsc-sochi.ru</t>
        </is>
      </c>
      <c r="Q366" s="38" t="inlineStr">
        <is>
          <t>есть сайт: сначала впиши в текст, что на нём не так</t>
        </is>
      </c>
      <c r="R366" s="38" t="n">
        <v>2</v>
      </c>
      <c r="S366" s="38" t="inlineStr">
        <is>
          <t>Краснодарский край</t>
        </is>
      </c>
      <c r="T366" s="38" t="inlineStr">
        <is>
          <t>Здравствуйте! Смотрел в 2ГИС кровельные компании в Сочи, зашёл на ваш сайт с телефона: [ЧТО НЕ ТАК НА САЙТЕ].
Могу за вечер собрать вариант под «Вск», где это исправлено, и показать. Собрать?</t>
        </is>
      </c>
      <c r="U366" s="38">
        <f>B366&amp;IF(D366&lt;&gt;""," · "&amp;D366,"")&amp;IF(F366&lt;&gt;"",CHAR(10)&amp;F366,"")</f>
        <v/>
      </c>
      <c r="V366" s="38">
        <f>IF(OR(F366="просрочено",F366="сегодня",F366="укажи дату",LEFT(F366,6)="молчит"),1,0)</f>
        <v/>
      </c>
    </row>
    <row r="367" ht="24" customHeight="1">
      <c r="A367" s="38" t="n">
        <v>366</v>
      </c>
      <c r="B367" s="32" t="inlineStr">
        <is>
          <t>СоПрофф</t>
        </is>
      </c>
      <c r="C367" s="49" t="inlineStr">
        <is>
          <t>Очередь</t>
        </is>
      </c>
      <c r="D367" s="49" t="n"/>
      <c r="E367" s="50" t="n"/>
      <c r="F367" s="51">
        <f>IF(OR(C367="",C367="Очередь",C367="Клиент",C367="Отказ",C367="Не писать"),"",IF(E367="",IF(AND(C367="Отправлено",I367&lt;&gt;"",TODAY()-INT(I367)&gt;=3),"молчит "&amp;(TODAY()-INT(I367))&amp;" дн.",IF(OR(C367="Перезвонить",C367="Созвон"),"укажи дату","")),IF(INT(E367)&lt;TODAY(),"просрочено",IF(INT(E367)=TODAY(),"сегодня",IF(INT(E367)=TODAY()+1,"завтра",TEXT(E367,"dd.mm"))))))</f>
        <v/>
      </c>
      <c r="G367" s="52" t="n"/>
      <c r="H367" s="36" t="inlineStr">
        <is>
          <t>79882347555</t>
        </is>
      </c>
      <c r="I367" s="53" t="n"/>
      <c r="J367" s="38">
        <f>IFERROR(MATCH(C367,'Справка'!$A$12:$A$21,0),99)</f>
        <v/>
      </c>
      <c r="K367" s="39">
        <f>HYPERLINK("https://wa.me/"&amp;H367&amp;"?text="&amp;ENCODEURL(T367),"✉ Написать")</f>
        <v/>
      </c>
      <c r="L367" s="39">
        <f>HYPERLINK("https://wa.me/"&amp;H367,"Открыть чат")</f>
        <v/>
      </c>
      <c r="M367" s="38" t="inlineStr">
        <is>
          <t>Сочи</t>
        </is>
      </c>
      <c r="N367" s="38" t="n"/>
      <c r="O367" s="38" t="n"/>
      <c r="P367" s="38" t="inlineStr">
        <is>
          <t>soproff.ru</t>
        </is>
      </c>
      <c r="Q367" s="38" t="inlineStr">
        <is>
          <t>есть сайт: сначала впиши в текст, что на нём не так</t>
        </is>
      </c>
      <c r="R367" s="38" t="n">
        <v>2</v>
      </c>
      <c r="S367" s="38" t="inlineStr">
        <is>
          <t>Краснодарский край</t>
        </is>
      </c>
      <c r="T367" s="38" t="inlineStr">
        <is>
          <t>Здравствуйте! Смотрел в 2ГИС кровельные компании в Сочи, зашёл на ваш сайт с телефона: [ЧТО НЕ ТАК НА САЙТЕ].
Могу за вечер собрать вариант под «СоПрофф», где это исправлено, и показать. Собрать?</t>
        </is>
      </c>
      <c r="U367" s="38">
        <f>B367&amp;IF(D367&lt;&gt;""," · "&amp;D367,"")&amp;IF(F367&lt;&gt;"",CHAR(10)&amp;F367,"")</f>
        <v/>
      </c>
      <c r="V367" s="38">
        <f>IF(OR(F367="просрочено",F367="сегодня",F367="укажи дату",LEFT(F367,6)="молчит"),1,0)</f>
        <v/>
      </c>
    </row>
    <row r="368" ht="24" customHeight="1">
      <c r="A368" s="38" t="n">
        <v>367</v>
      </c>
      <c r="B368" s="32" t="inlineStr">
        <is>
          <t>Кровби</t>
        </is>
      </c>
      <c r="C368" s="49" t="inlineStr">
        <is>
          <t>Очередь</t>
        </is>
      </c>
      <c r="D368" s="49" t="n"/>
      <c r="E368" s="50" t="n"/>
      <c r="F368" s="51">
        <f>IF(OR(C368="",C368="Очередь",C368="Клиент",C368="Отказ",C368="Не писать"),"",IF(E368="",IF(AND(C368="Отправлено",I368&lt;&gt;"",TODAY()-INT(I368)&gt;=3),"молчит "&amp;(TODAY()-INT(I368))&amp;" дн.",IF(OR(C368="Перезвонить",C368="Созвон"),"укажи дату","")),IF(INT(E368)&lt;TODAY(),"просрочено",IF(INT(E368)=TODAY(),"сегодня",IF(INT(E368)=TODAY()+1,"завтра",TEXT(E368,"dd.mm"))))))</f>
        <v/>
      </c>
      <c r="G368" s="52" t="n"/>
      <c r="H368" s="36" t="inlineStr">
        <is>
          <t>79189047735</t>
        </is>
      </c>
      <c r="I368" s="53" t="n"/>
      <c r="J368" s="38">
        <f>IFERROR(MATCH(C368,'Справка'!$A$12:$A$21,0),99)</f>
        <v/>
      </c>
      <c r="K368" s="39">
        <f>HYPERLINK("https://wa.me/"&amp;H368&amp;"?text="&amp;ENCODEURL(T368),"✉ Написать")</f>
        <v/>
      </c>
      <c r="L368" s="39">
        <f>HYPERLINK("https://wa.me/"&amp;H368,"Открыть чат")</f>
        <v/>
      </c>
      <c r="M368" s="38" t="inlineStr">
        <is>
          <t>Сочи</t>
        </is>
      </c>
      <c r="N368" s="38" t="n"/>
      <c r="O368" s="38" t="n"/>
      <c r="P368" s="38" t="inlineStr">
        <is>
          <t>krovbe.ru</t>
        </is>
      </c>
      <c r="Q368" s="38" t="inlineStr">
        <is>
          <t>есть сайт: сначала впиши в текст, что на нём не так</t>
        </is>
      </c>
      <c r="R368" s="38" t="n">
        <v>2</v>
      </c>
      <c r="S368" s="38" t="inlineStr">
        <is>
          <t>Краснодарский край</t>
        </is>
      </c>
      <c r="T368" s="38" t="inlineStr">
        <is>
          <t>Здравствуйте! Смотрел в 2ГИС кровельные компании в Сочи, зашёл на ваш сайт с телефона: [ЧТО НЕ ТАК НА САЙТЕ].
Могу за вечер собрать вариант под «Кровби», где это исправлено, и показать. Собрать?</t>
        </is>
      </c>
      <c r="U368" s="38">
        <f>B368&amp;IF(D368&lt;&gt;""," · "&amp;D368,"")&amp;IF(F368&lt;&gt;"",CHAR(10)&amp;F368,"")</f>
        <v/>
      </c>
      <c r="V368" s="38">
        <f>IF(OR(F368="просрочено",F368="сегодня",F368="укажи дату",LEFT(F368,6)="молчит"),1,0)</f>
        <v/>
      </c>
    </row>
    <row r="369" ht="24" customHeight="1">
      <c r="A369" s="38" t="n">
        <v>368</v>
      </c>
      <c r="B369" s="32" t="inlineStr">
        <is>
          <t>Альтеза-Альп</t>
        </is>
      </c>
      <c r="C369" s="49" t="inlineStr">
        <is>
          <t>Очередь</t>
        </is>
      </c>
      <c r="D369" s="49" t="n"/>
      <c r="E369" s="50" t="n"/>
      <c r="F369" s="51">
        <f>IF(OR(C369="",C369="Очередь",C369="Клиент",C369="Отказ",C369="Не писать"),"",IF(E369="",IF(AND(C369="Отправлено",I369&lt;&gt;"",TODAY()-INT(I369)&gt;=3),"молчит "&amp;(TODAY()-INT(I369))&amp;" дн.",IF(OR(C369="Перезвонить",C369="Созвон"),"укажи дату","")),IF(INT(E369)&lt;TODAY(),"просрочено",IF(INT(E369)=TODAY(),"сегодня",IF(INT(E369)=TODAY()+1,"завтра",TEXT(E369,"dd.mm"))))))</f>
        <v/>
      </c>
      <c r="G369" s="52" t="n"/>
      <c r="H369" s="36" t="inlineStr">
        <is>
          <t>79516120859</t>
        </is>
      </c>
      <c r="I369" s="53" t="n"/>
      <c r="J369" s="38">
        <f>IFERROR(MATCH(C369,'Справка'!$A$12:$A$21,0),99)</f>
        <v/>
      </c>
      <c r="K369" s="39">
        <f>HYPERLINK("https://wa.me/"&amp;H369&amp;"?text="&amp;ENCODEURL(T369),"✉ Написать")</f>
        <v/>
      </c>
      <c r="L369" s="39">
        <f>HYPERLINK("https://wa.me/"&amp;H369,"Открыть чат")</f>
        <v/>
      </c>
      <c r="M369" s="38" t="inlineStr">
        <is>
          <t>Туапсе</t>
        </is>
      </c>
      <c r="N369" s="38" t="n"/>
      <c r="O369" s="38" t="n"/>
      <c r="P369" s="38" t="inlineStr">
        <is>
          <t>altezaalp.ru</t>
        </is>
      </c>
      <c r="Q369" s="38" t="inlineStr">
        <is>
          <t>есть сайт: сначала впиши в текст, что на нём не так</t>
        </is>
      </c>
      <c r="R369" s="38" t="n">
        <v>2</v>
      </c>
      <c r="S369" s="38" t="inlineStr">
        <is>
          <t>Краснодарский край</t>
        </is>
      </c>
      <c r="T369" s="38" t="inlineStr">
        <is>
          <t>Здравствуйте! Смотрел в 2ГИС кровельные компании в Туапсе, зашёл на ваш сайт с телефона: [ЧТО НЕ ТАК НА САЙТЕ].
Могу за вечер собрать вариант под «Альтеза-Альп», где это исправлено, и показать. Собрать?</t>
        </is>
      </c>
      <c r="U369" s="38">
        <f>B369&amp;IF(D369&lt;&gt;""," · "&amp;D369,"")&amp;IF(F369&lt;&gt;"",CHAR(10)&amp;F369,"")</f>
        <v/>
      </c>
      <c r="V369" s="38">
        <f>IF(OR(F369="просрочено",F369="сегодня",F369="укажи дату",LEFT(F369,6)="молчит"),1,0)</f>
        <v/>
      </c>
    </row>
    <row r="370" ht="24" customHeight="1">
      <c r="A370" s="38" t="n">
        <v>369</v>
      </c>
      <c r="B370" s="32" t="inlineStr">
        <is>
          <t>Именитая изба</t>
        </is>
      </c>
      <c r="C370" s="49" t="inlineStr">
        <is>
          <t>Очередь</t>
        </is>
      </c>
      <c r="D370" s="49" t="n"/>
      <c r="E370" s="50" t="n"/>
      <c r="F370" s="51">
        <f>IF(OR(C370="",C370="Очередь",C370="Клиент",C370="Отказ",C370="Не писать"),"",IF(E370="",IF(AND(C370="Отправлено",I370&lt;&gt;"",TODAY()-INT(I370)&gt;=3),"молчит "&amp;(TODAY()-INT(I370))&amp;" дн.",IF(OR(C370="Перезвонить",C370="Созвон"),"укажи дату","")),IF(INT(E370)&lt;TODAY(),"просрочено",IF(INT(E370)=TODAY(),"сегодня",IF(INT(E370)=TODAY()+1,"завтра",TEXT(E370,"dd.mm"))))))</f>
        <v/>
      </c>
      <c r="G370" s="52" t="n"/>
      <c r="H370" s="36" t="inlineStr">
        <is>
          <t>79100077779</t>
        </is>
      </c>
      <c r="I370" s="53" t="n"/>
      <c r="J370" s="38">
        <f>IFERROR(MATCH(C370,'Справка'!$A$12:$A$21,0),99)</f>
        <v/>
      </c>
      <c r="K370" s="39">
        <f>HYPERLINK("https://wa.me/"&amp;H370&amp;"?text="&amp;ENCODEURL(T370),"✉ Написать")</f>
        <v/>
      </c>
      <c r="L370" s="39">
        <f>HYPERLINK("https://wa.me/"&amp;H370,"Открыть чат")</f>
        <v/>
      </c>
      <c r="M370" s="38" t="inlineStr">
        <is>
          <t>Нижний Новгород</t>
        </is>
      </c>
      <c r="N370" s="38" t="n">
        <v>5</v>
      </c>
      <c r="O370" s="38" t="n">
        <v>27</v>
      </c>
      <c r="P370" s="38" t="inlineStr">
        <is>
          <t>izba-52.ru</t>
        </is>
      </c>
      <c r="Q370" s="38" t="inlineStr">
        <is>
          <t>есть сайт: сначала впиши в текст, что на нём не так</t>
        </is>
      </c>
      <c r="R370" s="38" t="n">
        <v>2</v>
      </c>
      <c r="S370" s="38" t="inlineStr">
        <is>
          <t>Нижегородская область</t>
        </is>
      </c>
      <c r="T370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«Именитая изба», где это исправлено, и показать. Собрать?</t>
        </is>
      </c>
      <c r="U370" s="38">
        <f>B370&amp;IF(D370&lt;&gt;""," · "&amp;D370,"")&amp;IF(F370&lt;&gt;"",CHAR(10)&amp;F370,"")</f>
        <v/>
      </c>
      <c r="V370" s="38">
        <f>IF(OR(F370="просрочено",F370="сегодня",F370="укажи дату",LEFT(F370,6)="молчит"),1,0)</f>
        <v/>
      </c>
    </row>
    <row r="371" ht="24" customHeight="1">
      <c r="A371" s="38" t="n">
        <v>370</v>
      </c>
      <c r="B371" s="32" t="inlineStr">
        <is>
          <t>Чистый век</t>
        </is>
      </c>
      <c r="C371" s="49" t="inlineStr">
        <is>
          <t>Очередь</t>
        </is>
      </c>
      <c r="D371" s="49" t="n"/>
      <c r="E371" s="50" t="n"/>
      <c r="F371" s="51">
        <f>IF(OR(C371="",C371="Очередь",C371="Клиент",C371="Отказ",C371="Не писать"),"",IF(E371="",IF(AND(C371="Отправлено",I371&lt;&gt;"",TODAY()-INT(I371)&gt;=3),"молчит "&amp;(TODAY()-INT(I371))&amp;" дн.",IF(OR(C371="Перезвонить",C371="Созвон"),"укажи дату","")),IF(INT(E371)&lt;TODAY(),"просрочено",IF(INT(E371)=TODAY(),"сегодня",IF(INT(E371)=TODAY()+1,"завтра",TEXT(E371,"dd.mm"))))))</f>
        <v/>
      </c>
      <c r="G371" s="52" t="n"/>
      <c r="H371" s="36" t="inlineStr">
        <is>
          <t>79506093148</t>
        </is>
      </c>
      <c r="I371" s="53" t="n"/>
      <c r="J371" s="38">
        <f>IFERROR(MATCH(C371,'Справка'!$A$12:$A$21,0),99)</f>
        <v/>
      </c>
      <c r="K371" s="39">
        <f>HYPERLINK("https://wa.me/"&amp;H371&amp;"?text="&amp;ENCODEURL(T371),"✉ Написать")</f>
        <v/>
      </c>
      <c r="L371" s="39">
        <f>HYPERLINK("https://wa.me/"&amp;H371,"Открыть чат")</f>
        <v/>
      </c>
      <c r="M371" s="38" t="inlineStr">
        <is>
          <t>Нижний Новгород</t>
        </is>
      </c>
      <c r="N371" s="38" t="n">
        <v>5</v>
      </c>
      <c r="O371" s="38" t="n">
        <v>17</v>
      </c>
      <c r="P371" s="38" t="inlineStr">
        <is>
          <t>pure-century.ru</t>
        </is>
      </c>
      <c r="Q371" s="38" t="inlineStr">
        <is>
          <t>есть сайт: сначала впиши в текст, что на нём не так</t>
        </is>
      </c>
      <c r="R371" s="38" t="n">
        <v>2</v>
      </c>
      <c r="S371" s="38" t="inlineStr">
        <is>
          <t>Нижегородская область</t>
        </is>
      </c>
      <c r="T371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«Чистый век», где это исправлено, и показать. Собрать?</t>
        </is>
      </c>
      <c r="U371" s="38">
        <f>B371&amp;IF(D371&lt;&gt;""," · "&amp;D371,"")&amp;IF(F371&lt;&gt;"",CHAR(10)&amp;F371,"")</f>
        <v/>
      </c>
      <c r="V371" s="38">
        <f>IF(OR(F371="просрочено",F371="сегодня",F371="укажи дату",LEFT(F371,6)="молчит"),1,0)</f>
        <v/>
      </c>
    </row>
    <row r="372" ht="24" customHeight="1">
      <c r="A372" s="38" t="n">
        <v>371</v>
      </c>
      <c r="B372" s="32" t="inlineStr">
        <is>
          <t>Быстро Ремонт</t>
        </is>
      </c>
      <c r="C372" s="49" t="inlineStr">
        <is>
          <t>Очередь</t>
        </is>
      </c>
      <c r="D372" s="49" t="n"/>
      <c r="E372" s="50" t="n"/>
      <c r="F372" s="51">
        <f>IF(OR(C372="",C372="Очередь",C372="Клиент",C372="Отказ",C372="Не писать"),"",IF(E372="",IF(AND(C372="Отправлено",I372&lt;&gt;"",TODAY()-INT(I372)&gt;=3),"молчит "&amp;(TODAY()-INT(I372))&amp;" дн.",IF(OR(C372="Перезвонить",C372="Созвон"),"укажи дату","")),IF(INT(E372)&lt;TODAY(),"просрочено",IF(INT(E372)=TODAY(),"сегодня",IF(INT(E372)=TODAY()+1,"завтра",TEXT(E372,"dd.mm"))))))</f>
        <v/>
      </c>
      <c r="G372" s="52" t="n"/>
      <c r="H372" s="36" t="inlineStr">
        <is>
          <t>79290536046</t>
        </is>
      </c>
      <c r="I372" s="53" t="n"/>
      <c r="J372" s="38">
        <f>IFERROR(MATCH(C372,'Справка'!$A$12:$A$21,0),99)</f>
        <v/>
      </c>
      <c r="K372" s="39">
        <f>HYPERLINK("https://wa.me/"&amp;H372&amp;"?text="&amp;ENCODEURL(T372),"✉ Написать")</f>
        <v/>
      </c>
      <c r="L372" s="39">
        <f>HYPERLINK("https://wa.me/"&amp;H372,"Открыть чат")</f>
        <v/>
      </c>
      <c r="M372" s="38" t="inlineStr">
        <is>
          <t>Нижний Новгород</t>
        </is>
      </c>
      <c r="N372" s="38" t="n">
        <v>5</v>
      </c>
      <c r="O372" s="38" t="n">
        <v>13</v>
      </c>
      <c r="P372" s="38" t="inlineStr">
        <is>
          <t>bystro-remont.ru</t>
        </is>
      </c>
      <c r="Q372" s="38" t="inlineStr">
        <is>
          <t>есть сайт: сначала впиши в текст, что на нём не так</t>
        </is>
      </c>
      <c r="R372" s="38" t="n">
        <v>2</v>
      </c>
      <c r="S372" s="38" t="inlineStr">
        <is>
          <t>Нижегородская область</t>
        </is>
      </c>
      <c r="T372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«Быстро Ремонт», где это исправлено, и показать. Собрать?</t>
        </is>
      </c>
      <c r="U372" s="38">
        <f>B372&amp;IF(D372&lt;&gt;""," · "&amp;D372,"")&amp;IF(F372&lt;&gt;"",CHAR(10)&amp;F372,"")</f>
        <v/>
      </c>
      <c r="V372" s="38">
        <f>IF(OR(F372="просрочено",F372="сегодня",F372="укажи дату",LEFT(F372,6)="молчит"),1,0)</f>
        <v/>
      </c>
    </row>
    <row r="373" ht="24" customHeight="1">
      <c r="A373" s="38" t="n">
        <v>372</v>
      </c>
      <c r="B373" s="32" t="inlineStr">
        <is>
          <t>Столица крыш</t>
        </is>
      </c>
      <c r="C373" s="49" t="inlineStr">
        <is>
          <t>Очередь</t>
        </is>
      </c>
      <c r="D373" s="49" t="n"/>
      <c r="E373" s="50" t="n"/>
      <c r="F373" s="51">
        <f>IF(OR(C373="",C373="Очередь",C373="Клиент",C373="Отказ",C373="Не писать"),"",IF(E373="",IF(AND(C373="Отправлено",I373&lt;&gt;"",TODAY()-INT(I373)&gt;=3),"молчит "&amp;(TODAY()-INT(I373))&amp;" дн.",IF(OR(C373="Перезвонить",C373="Созвон"),"укажи дату","")),IF(INT(E373)&lt;TODAY(),"просрочено",IF(INT(E373)=TODAY(),"сегодня",IF(INT(E373)=TODAY()+1,"завтра",TEXT(E373,"dd.mm"))))))</f>
        <v/>
      </c>
      <c r="G373" s="52" t="n"/>
      <c r="H373" s="36" t="inlineStr">
        <is>
          <t>79159493786</t>
        </is>
      </c>
      <c r="I373" s="53" t="n"/>
      <c r="J373" s="38">
        <f>IFERROR(MATCH(C373,'Справка'!$A$12:$A$21,0),99)</f>
        <v/>
      </c>
      <c r="K373" s="39">
        <f>HYPERLINK("https://wa.me/"&amp;H373&amp;"?text="&amp;ENCODEURL(T373),"✉ Написать")</f>
        <v/>
      </c>
      <c r="L373" s="39">
        <f>HYPERLINK("https://wa.me/"&amp;H373,"Открыть чат")</f>
        <v/>
      </c>
      <c r="M373" s="38" t="inlineStr">
        <is>
          <t>Нижний Новгород</t>
        </is>
      </c>
      <c r="N373" s="38" t="n">
        <v>4.7</v>
      </c>
      <c r="O373" s="38" t="n">
        <v>13</v>
      </c>
      <c r="P373" s="38" t="inlineStr">
        <is>
          <t>vseposmete.com</t>
        </is>
      </c>
      <c r="Q373" s="38" t="inlineStr">
        <is>
          <t>есть сайт: сначала впиши в текст, что на нём не так</t>
        </is>
      </c>
      <c r="R373" s="38" t="n">
        <v>2</v>
      </c>
      <c r="S373" s="38" t="inlineStr">
        <is>
          <t>Нижегородская область</t>
        </is>
      </c>
      <c r="T373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«Столица крыш», где это исправлено, и показать. Собрать?</t>
        </is>
      </c>
      <c r="U373" s="38">
        <f>B373&amp;IF(D373&lt;&gt;""," · "&amp;D373,"")&amp;IF(F373&lt;&gt;"",CHAR(10)&amp;F373,"")</f>
        <v/>
      </c>
      <c r="V373" s="38">
        <f>IF(OR(F373="просрочено",F373="сегодня",F373="укажи дату",LEFT(F373,6)="молчит"),1,0)</f>
        <v/>
      </c>
    </row>
    <row r="374" ht="24" customHeight="1">
      <c r="A374" s="38" t="n">
        <v>373</v>
      </c>
      <c r="B374" s="32" t="inlineStr">
        <is>
          <t>Компания по кровельному и фасадному сервису</t>
        </is>
      </c>
      <c r="C374" s="49" t="inlineStr">
        <is>
          <t>Очередь</t>
        </is>
      </c>
      <c r="D374" s="49" t="n"/>
      <c r="E374" s="50" t="n"/>
      <c r="F374" s="51">
        <f>IF(OR(C374="",C374="Очередь",C374="Клиент",C374="Отказ",C374="Не писать"),"",IF(E374="",IF(AND(C374="Отправлено",I374&lt;&gt;"",TODAY()-INT(I374)&gt;=3),"молчит "&amp;(TODAY()-INT(I374))&amp;" дн.",IF(OR(C374="Перезвонить",C374="Созвон"),"укажи дату","")),IF(INT(E374)&lt;TODAY(),"просрочено",IF(INT(E374)=TODAY(),"сегодня",IF(INT(E374)=TODAY()+1,"завтра",TEXT(E374,"dd.mm"))))))</f>
        <v/>
      </c>
      <c r="G374" s="52" t="n"/>
      <c r="H374" s="36" t="inlineStr">
        <is>
          <t>79535566000</t>
        </is>
      </c>
      <c r="I374" s="53" t="n"/>
      <c r="J374" s="38">
        <f>IFERROR(MATCH(C374,'Справка'!$A$12:$A$21,0),99)</f>
        <v/>
      </c>
      <c r="K374" s="39">
        <f>HYPERLINK("https://wa.me/"&amp;H374&amp;"?text="&amp;ENCODEURL(T374),"✉ Написать")</f>
        <v/>
      </c>
      <c r="L374" s="39">
        <f>HYPERLINK("https://wa.me/"&amp;H374,"Открыть чат")</f>
        <v/>
      </c>
      <c r="M374" s="38" t="inlineStr">
        <is>
          <t>Нижний Новгород</t>
        </is>
      </c>
      <c r="N374" s="38" t="n">
        <v>5</v>
      </c>
      <c r="O374" s="38" t="n">
        <v>7</v>
      </c>
      <c r="P374" s="38" t="inlineStr">
        <is>
          <t>kfservis.ru</t>
        </is>
      </c>
      <c r="Q374" s="38" t="inlineStr">
        <is>
          <t>есть сайт: сначала впиши в текст, что на нём не так</t>
        </is>
      </c>
      <c r="R374" s="38" t="n">
        <v>2</v>
      </c>
      <c r="S374" s="38" t="inlineStr">
        <is>
          <t>Нижегородская область</t>
        </is>
      </c>
      <c r="T374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«Компания по кровельному и фасадному сервису», где это исправлено, и показать. Собрать?</t>
        </is>
      </c>
      <c r="U374" s="38">
        <f>B374&amp;IF(D374&lt;&gt;""," · "&amp;D374,"")&amp;IF(F374&lt;&gt;"",CHAR(10)&amp;F374,"")</f>
        <v/>
      </c>
      <c r="V374" s="38">
        <f>IF(OR(F374="просрочено",F374="сегодня",F374="укажи дату",LEFT(F374,6)="молчит"),1,0)</f>
        <v/>
      </c>
    </row>
    <row r="375" ht="24" customHeight="1">
      <c r="A375" s="38" t="n">
        <v>374</v>
      </c>
      <c r="B375" s="32" t="inlineStr">
        <is>
          <t>Фазенда</t>
        </is>
      </c>
      <c r="C375" s="49" t="inlineStr">
        <is>
          <t>Очередь</t>
        </is>
      </c>
      <c r="D375" s="49" t="n"/>
      <c r="E375" s="50" t="n"/>
      <c r="F375" s="51">
        <f>IF(OR(C375="",C375="Очередь",C375="Клиент",C375="Отказ",C375="Не писать"),"",IF(E375="",IF(AND(C375="Отправлено",I375&lt;&gt;"",TODAY()-INT(I375)&gt;=3),"молчит "&amp;(TODAY()-INT(I375))&amp;" дн.",IF(OR(C375="Перезвонить",C375="Созвон"),"укажи дату","")),IF(INT(E375)&lt;TODAY(),"просрочено",IF(INT(E375)=TODAY(),"сегодня",IF(INT(E375)=TODAY()+1,"завтра",TEXT(E375,"dd.mm"))))))</f>
        <v/>
      </c>
      <c r="G375" s="52" t="n"/>
      <c r="H375" s="36" t="inlineStr">
        <is>
          <t>79290380322</t>
        </is>
      </c>
      <c r="I375" s="53" t="n"/>
      <c r="J375" s="38">
        <f>IFERROR(MATCH(C375,'Справка'!$A$12:$A$21,0),99)</f>
        <v/>
      </c>
      <c r="K375" s="39">
        <f>HYPERLINK("https://wa.me/"&amp;H375&amp;"?text="&amp;ENCODEURL(T375),"✉ Написать")</f>
        <v/>
      </c>
      <c r="L375" s="39">
        <f>HYPERLINK("https://wa.me/"&amp;H375,"Открыть чат")</f>
        <v/>
      </c>
      <c r="M375" s="38" t="inlineStr">
        <is>
          <t>Нижний Новгород</t>
        </is>
      </c>
      <c r="N375" s="38" t="n">
        <v>1.8</v>
      </c>
      <c r="O375" s="38" t="n">
        <v>5</v>
      </c>
      <c r="P375" s="38" t="inlineStr">
        <is>
          <t>www.fazendann.ru</t>
        </is>
      </c>
      <c r="Q375" s="38" t="inlineStr">
        <is>
          <t>есть сайт: сначала впиши в текст, что на нём не так</t>
        </is>
      </c>
      <c r="R375" s="38" t="n">
        <v>2</v>
      </c>
      <c r="S375" s="38" t="inlineStr">
        <is>
          <t>Нижегородская область</t>
        </is>
      </c>
      <c r="T375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«Фазенда», где это исправлено, и показать. Собрать?</t>
        </is>
      </c>
      <c r="U375" s="38">
        <f>B375&amp;IF(D375&lt;&gt;""," · "&amp;D375,"")&amp;IF(F375&lt;&gt;"",CHAR(10)&amp;F375,"")</f>
        <v/>
      </c>
      <c r="V375" s="38">
        <f>IF(OR(F375="просрочено",F375="сегодня",F375="укажи дату",LEFT(F375,6)="молчит"),1,0)</f>
        <v/>
      </c>
    </row>
    <row r="376" ht="24" customHeight="1">
      <c r="A376" s="38" t="n">
        <v>375</v>
      </c>
      <c r="B376" s="32" t="inlineStr">
        <is>
          <t>Мостион</t>
        </is>
      </c>
      <c r="C376" s="49" t="inlineStr">
        <is>
          <t>Очередь</t>
        </is>
      </c>
      <c r="D376" s="49" t="n"/>
      <c r="E376" s="50" t="n"/>
      <c r="F376" s="51">
        <f>IF(OR(C376="",C376="Очередь",C376="Клиент",C376="Отказ",C376="Не писать"),"",IF(E376="",IF(AND(C376="Отправлено",I376&lt;&gt;"",TODAY()-INT(I376)&gt;=3),"молчит "&amp;(TODAY()-INT(I376))&amp;" дн.",IF(OR(C376="Перезвонить",C376="Созвон"),"укажи дату","")),IF(INT(E376)&lt;TODAY(),"просрочено",IF(INT(E376)=TODAY(),"сегодня",IF(INT(E376)=TODAY()+1,"завтра",TEXT(E376,"dd.mm"))))))</f>
        <v/>
      </c>
      <c r="G376" s="52" t="n"/>
      <c r="H376" s="36" t="inlineStr">
        <is>
          <t>79063668808</t>
        </is>
      </c>
      <c r="I376" s="53" t="n"/>
      <c r="J376" s="38">
        <f>IFERROR(MATCH(C376,'Справка'!$A$12:$A$21,0),99)</f>
        <v/>
      </c>
      <c r="K376" s="39">
        <f>HYPERLINK("https://wa.me/"&amp;H376&amp;"?text="&amp;ENCODEURL(T376),"✉ Написать")</f>
        <v/>
      </c>
      <c r="L376" s="39">
        <f>HYPERLINK("https://wa.me/"&amp;H376,"Открыть чат")</f>
        <v/>
      </c>
      <c r="M376" s="38" t="inlineStr">
        <is>
          <t>Нижний Новгород</t>
        </is>
      </c>
      <c r="N376" s="38" t="n">
        <v>5</v>
      </c>
      <c r="O376" s="38" t="n">
        <v>5</v>
      </c>
      <c r="P376" s="38" t="inlineStr">
        <is>
          <t>mostion.ru</t>
        </is>
      </c>
      <c r="Q376" s="38" t="inlineStr">
        <is>
          <t>есть сайт: сначала впиши в текст, что на нём не так</t>
        </is>
      </c>
      <c r="R376" s="38" t="n">
        <v>2</v>
      </c>
      <c r="S376" s="38" t="inlineStr">
        <is>
          <t>Нижегородская область</t>
        </is>
      </c>
      <c r="T376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«Мостион», где это исправлено, и показать. Собрать?</t>
        </is>
      </c>
      <c r="U376" s="38">
        <f>B376&amp;IF(D376&lt;&gt;""," · "&amp;D376,"")&amp;IF(F376&lt;&gt;"",CHAR(10)&amp;F376,"")</f>
        <v/>
      </c>
      <c r="V376" s="38">
        <f>IF(OR(F376="просрочено",F376="сегодня",F376="укажи дату",LEFT(F376,6)="молчит"),1,0)</f>
        <v/>
      </c>
    </row>
    <row r="377" ht="24" customHeight="1">
      <c r="A377" s="38" t="n">
        <v>376</v>
      </c>
      <c r="B377" s="32" t="inlineStr">
        <is>
          <t>Вершина</t>
        </is>
      </c>
      <c r="C377" s="49" t="inlineStr">
        <is>
          <t>Очередь</t>
        </is>
      </c>
      <c r="D377" s="49" t="n"/>
      <c r="E377" s="50" t="n"/>
      <c r="F377" s="51">
        <f>IF(OR(C377="",C377="Очередь",C377="Клиент",C377="Отказ",C377="Не писать"),"",IF(E377="",IF(AND(C377="Отправлено",I377&lt;&gt;"",TODAY()-INT(I377)&gt;=3),"молчит "&amp;(TODAY()-INT(I377))&amp;" дн.",IF(OR(C377="Перезвонить",C377="Созвон"),"укажи дату","")),IF(INT(E377)&lt;TODAY(),"просрочено",IF(INT(E377)=TODAY(),"сегодня",IF(INT(E377)=TODAY()+1,"завтра",TEXT(E377,"dd.mm"))))))</f>
        <v/>
      </c>
      <c r="G377" s="52" t="n"/>
      <c r="H377" s="36" t="inlineStr">
        <is>
          <t>79302831121</t>
        </is>
      </c>
      <c r="I377" s="53" t="n"/>
      <c r="J377" s="38">
        <f>IFERROR(MATCH(C377,'Справка'!$A$12:$A$21,0),99)</f>
        <v/>
      </c>
      <c r="K377" s="39">
        <f>HYPERLINK("https://wa.me/"&amp;H377&amp;"?text="&amp;ENCODEURL(T377),"✉ Написать")</f>
        <v/>
      </c>
      <c r="L377" s="39">
        <f>HYPERLINK("https://wa.me/"&amp;H377,"Открыть чат")</f>
        <v/>
      </c>
      <c r="M377" s="38" t="inlineStr">
        <is>
          <t>Нижний Новгород</t>
        </is>
      </c>
      <c r="N377" s="38" t="n">
        <v>5</v>
      </c>
      <c r="O377" s="38" t="n">
        <v>4</v>
      </c>
      <c r="P377" s="38" t="inlineStr">
        <is>
          <t>fasad-vershina.ru</t>
        </is>
      </c>
      <c r="Q377" s="38" t="inlineStr">
        <is>
          <t>есть сайт: сначала впиши в текст, что на нём не так</t>
        </is>
      </c>
      <c r="R377" s="38" t="n">
        <v>2</v>
      </c>
      <c r="S377" s="38" t="inlineStr">
        <is>
          <t>Нижегородская область</t>
        </is>
      </c>
      <c r="T377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«Вершина», где это исправлено, и показать. Собрать?</t>
        </is>
      </c>
      <c r="U377" s="38">
        <f>B377&amp;IF(D377&lt;&gt;""," · "&amp;D377,"")&amp;IF(F377&lt;&gt;"",CHAR(10)&amp;F377,"")</f>
        <v/>
      </c>
      <c r="V377" s="38">
        <f>IF(OR(F377="просрочено",F377="сегодня",F377="укажи дату",LEFT(F377,6)="молчит"),1,0)</f>
        <v/>
      </c>
    </row>
    <row r="378" ht="24" customHeight="1">
      <c r="A378" s="38" t="n">
        <v>377</v>
      </c>
      <c r="B378" s="32" t="inlineStr">
        <is>
          <t>Проминвест</t>
        </is>
      </c>
      <c r="C378" s="49" t="inlineStr">
        <is>
          <t>Очередь</t>
        </is>
      </c>
      <c r="D378" s="49" t="n"/>
      <c r="E378" s="50" t="n"/>
      <c r="F378" s="51">
        <f>IF(OR(C378="",C378="Очередь",C378="Клиент",C378="Отказ",C378="Не писать"),"",IF(E378="",IF(AND(C378="Отправлено",I378&lt;&gt;"",TODAY()-INT(I378)&gt;=3),"молчит "&amp;(TODAY()-INT(I378))&amp;" дн.",IF(OR(C378="Перезвонить",C378="Созвон"),"укажи дату","")),IF(INT(E378)&lt;TODAY(),"просрочено",IF(INT(E378)=TODAY(),"сегодня",IF(INT(E378)=TODAY()+1,"завтра",TEXT(E378,"dd.mm"))))))</f>
        <v/>
      </c>
      <c r="G378" s="52" t="n"/>
      <c r="H378" s="36" t="inlineStr">
        <is>
          <t>79030531337</t>
        </is>
      </c>
      <c r="I378" s="53" t="n"/>
      <c r="J378" s="38">
        <f>IFERROR(MATCH(C378,'Справка'!$A$12:$A$21,0),99)</f>
        <v/>
      </c>
      <c r="K378" s="39">
        <f>HYPERLINK("https://wa.me/"&amp;H378&amp;"?text="&amp;ENCODEURL(T378),"✉ Написать")</f>
        <v/>
      </c>
      <c r="L378" s="39">
        <f>HYPERLINK("https://wa.me/"&amp;H378,"Открыть чат")</f>
        <v/>
      </c>
      <c r="M378" s="38" t="inlineStr">
        <is>
          <t>Нижний Новгород</t>
        </is>
      </c>
      <c r="N378" s="38" t="n">
        <v>5</v>
      </c>
      <c r="O378" s="38" t="n">
        <v>4</v>
      </c>
      <c r="P378" s="38" t="inlineStr">
        <is>
          <t>www.prominvestnn.ru</t>
        </is>
      </c>
      <c r="Q378" s="38" t="inlineStr">
        <is>
          <t>есть сайт: сначала впиши в текст, что на нём не так</t>
        </is>
      </c>
      <c r="R378" s="38" t="n">
        <v>2</v>
      </c>
      <c r="S378" s="38" t="inlineStr">
        <is>
          <t>Нижегородская область</t>
        </is>
      </c>
      <c r="T378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«Проминвест», где это исправлено, и показать. Собрать?</t>
        </is>
      </c>
      <c r="U378" s="38">
        <f>B378&amp;IF(D378&lt;&gt;""," · "&amp;D378,"")&amp;IF(F378&lt;&gt;"",CHAR(10)&amp;F378,"")</f>
        <v/>
      </c>
      <c r="V378" s="38">
        <f>IF(OR(F378="просрочено",F378="сегодня",F378="укажи дату",LEFT(F378,6)="молчит"),1,0)</f>
        <v/>
      </c>
    </row>
    <row r="379" ht="24" customHeight="1">
      <c r="A379" s="38" t="n">
        <v>378</v>
      </c>
      <c r="B379" s="32" t="inlineStr">
        <is>
          <t>Верхотура</t>
        </is>
      </c>
      <c r="C379" s="49" t="inlineStr">
        <is>
          <t>Очередь</t>
        </is>
      </c>
      <c r="D379" s="49" t="n"/>
      <c r="E379" s="50" t="n"/>
      <c r="F379" s="51">
        <f>IF(OR(C379="",C379="Очередь",C379="Клиент",C379="Отказ",C379="Не писать"),"",IF(E379="",IF(AND(C379="Отправлено",I379&lt;&gt;"",TODAY()-INT(I379)&gt;=3),"молчит "&amp;(TODAY()-INT(I379))&amp;" дн.",IF(OR(C379="Перезвонить",C379="Созвон"),"укажи дату","")),IF(INT(E379)&lt;TODAY(),"просрочено",IF(INT(E379)=TODAY(),"сегодня",IF(INT(E379)=TODAY()+1,"завтра",TEXT(E379,"dd.mm"))))))</f>
        <v/>
      </c>
      <c r="G379" s="52" t="n"/>
      <c r="H379" s="36" t="inlineStr">
        <is>
          <t>79527728032</t>
        </is>
      </c>
      <c r="I379" s="53" t="n"/>
      <c r="J379" s="38">
        <f>IFERROR(MATCH(C379,'Справка'!$A$12:$A$21,0),99)</f>
        <v/>
      </c>
      <c r="K379" s="39">
        <f>HYPERLINK("https://wa.me/"&amp;H379&amp;"?text="&amp;ENCODEURL(T379),"✉ Написать")</f>
        <v/>
      </c>
      <c r="L379" s="39">
        <f>HYPERLINK("https://wa.me/"&amp;H379,"Открыть чат")</f>
        <v/>
      </c>
      <c r="M379" s="38" t="inlineStr">
        <is>
          <t>Нижний Новгород</t>
        </is>
      </c>
      <c r="N379" s="38" t="n">
        <v>5</v>
      </c>
      <c r="O379" s="38" t="n">
        <v>2</v>
      </c>
      <c r="P379" s="38" t="inlineStr">
        <is>
          <t>verhoturann.ru</t>
        </is>
      </c>
      <c r="Q379" s="38" t="inlineStr">
        <is>
          <t>есть сайт: сначала впиши в текст, что на нём не так</t>
        </is>
      </c>
      <c r="R379" s="38" t="n">
        <v>2</v>
      </c>
      <c r="S379" s="38" t="inlineStr">
        <is>
          <t>Нижегородская область</t>
        </is>
      </c>
      <c r="T379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«Верхотура», где это исправлено, и показать. Собрать?</t>
        </is>
      </c>
      <c r="U379" s="38">
        <f>B379&amp;IF(D379&lt;&gt;""," · "&amp;D379,"")&amp;IF(F379&lt;&gt;"",CHAR(10)&amp;F379,"")</f>
        <v/>
      </c>
      <c r="V379" s="38">
        <f>IF(OR(F379="просрочено",F379="сегодня",F379="укажи дату",LEFT(F379,6)="молчит"),1,0)</f>
        <v/>
      </c>
    </row>
    <row r="380" ht="24" customHeight="1">
      <c r="A380" s="38" t="n">
        <v>379</v>
      </c>
      <c r="B380" s="32" t="inlineStr">
        <is>
          <t>ТвойСтройБор</t>
        </is>
      </c>
      <c r="C380" s="49" t="inlineStr">
        <is>
          <t>Очередь</t>
        </is>
      </c>
      <c r="D380" s="49" t="n"/>
      <c r="E380" s="50" t="n"/>
      <c r="F380" s="51">
        <f>IF(OR(C380="",C380="Очередь",C380="Клиент",C380="Отказ",C380="Не писать"),"",IF(E380="",IF(AND(C380="Отправлено",I380&lt;&gt;"",TODAY()-INT(I380)&gt;=3),"молчит "&amp;(TODAY()-INT(I380))&amp;" дн.",IF(OR(C380="Перезвонить",C380="Созвон"),"укажи дату","")),IF(INT(E380)&lt;TODAY(),"просрочено",IF(INT(E380)=TODAY(),"сегодня",IF(INT(E380)=TODAY()+1,"завтра",TEXT(E380,"dd.mm"))))))</f>
        <v/>
      </c>
      <c r="G380" s="52" t="n"/>
      <c r="H380" s="36" t="inlineStr">
        <is>
          <t>79871108192</t>
        </is>
      </c>
      <c r="I380" s="53" t="n"/>
      <c r="J380" s="38">
        <f>IFERROR(MATCH(C380,'Справка'!$A$12:$A$21,0),99)</f>
        <v/>
      </c>
      <c r="K380" s="39">
        <f>HYPERLINK("https://wa.me/"&amp;H380&amp;"?text="&amp;ENCODEURL(T380),"✉ Написать")</f>
        <v/>
      </c>
      <c r="L380" s="39">
        <f>HYPERLINK("https://wa.me/"&amp;H380,"Открыть чат")</f>
        <v/>
      </c>
      <c r="M380" s="38" t="inlineStr">
        <is>
          <t>Бор</t>
        </is>
      </c>
      <c r="N380" s="38" t="n">
        <v>5</v>
      </c>
      <c r="O380" s="38" t="n">
        <v>2</v>
      </c>
      <c r="P380" s="38" t="inlineStr">
        <is>
          <t>tvoystroybor.ru</t>
        </is>
      </c>
      <c r="Q380" s="38" t="inlineStr">
        <is>
          <t>есть сайт: сначала впиши в текст, что на нём не так</t>
        </is>
      </c>
      <c r="R380" s="38" t="n">
        <v>2</v>
      </c>
      <c r="S380" s="38" t="inlineStr">
        <is>
          <t>Нижегородская область</t>
        </is>
      </c>
      <c r="T380" s="38" t="inlineStr">
        <is>
          <t>Здравствуйте! Смотрел в 2ГИС кровельные компании в городе Бор, зашёл на ваш сайт с телефона: [ЧТО НЕ ТАК НА САЙТЕ].
Могу за вечер собрать вариант под «ТвойСтройБор», где это исправлено, и показать. Собрать?</t>
        </is>
      </c>
      <c r="U380" s="38">
        <f>B380&amp;IF(D380&lt;&gt;""," · "&amp;D380,"")&amp;IF(F380&lt;&gt;"",CHAR(10)&amp;F380,"")</f>
        <v/>
      </c>
      <c r="V380" s="38">
        <f>IF(OR(F380="просрочено",F380="сегодня",F380="укажи дату",LEFT(F380,6)="молчит"),1,0)</f>
        <v/>
      </c>
    </row>
    <row r="381" ht="24" customHeight="1">
      <c r="A381" s="38" t="n">
        <v>380</v>
      </c>
      <c r="B381" s="32" t="inlineStr">
        <is>
          <t>Билдэко</t>
        </is>
      </c>
      <c r="C381" s="49" t="inlineStr">
        <is>
          <t>Очередь</t>
        </is>
      </c>
      <c r="D381" s="49" t="n"/>
      <c r="E381" s="50" t="n"/>
      <c r="F381" s="51">
        <f>IF(OR(C381="",C381="Очередь",C381="Клиент",C381="Отказ",C381="Не писать"),"",IF(E381="",IF(AND(C381="Отправлено",I381&lt;&gt;"",TODAY()-INT(I381)&gt;=3),"молчит "&amp;(TODAY()-INT(I381))&amp;" дн.",IF(OR(C381="Перезвонить",C381="Созвон"),"укажи дату","")),IF(INT(E381)&lt;TODAY(),"просрочено",IF(INT(E381)=TODAY(),"сегодня",IF(INT(E381)=TODAY()+1,"завтра",TEXT(E381,"dd.mm"))))))</f>
        <v/>
      </c>
      <c r="G381" s="52" t="n"/>
      <c r="H381" s="36" t="inlineStr">
        <is>
          <t>79334203355</t>
        </is>
      </c>
      <c r="I381" s="53" t="n"/>
      <c r="J381" s="38">
        <f>IFERROR(MATCH(C381,'Справка'!$A$12:$A$21,0),99)</f>
        <v/>
      </c>
      <c r="K381" s="39">
        <f>HYPERLINK("https://wa.me/"&amp;H381&amp;"?text="&amp;ENCODEURL(T381),"✉ Написать")</f>
        <v/>
      </c>
      <c r="L381" s="39">
        <f>HYPERLINK("https://wa.me/"&amp;H381,"Открыть чат")</f>
        <v/>
      </c>
      <c r="M381" s="38" t="inlineStr">
        <is>
          <t>Нижний Новгород</t>
        </is>
      </c>
      <c r="N381" s="38" t="n">
        <v>5</v>
      </c>
      <c r="O381" s="38" t="n">
        <v>1</v>
      </c>
      <c r="P381" s="38" t="inlineStr">
        <is>
          <t>bldco.ru</t>
        </is>
      </c>
      <c r="Q381" s="38" t="inlineStr">
        <is>
          <t>есть сайт: сначала впиши в текст, что на нём не так</t>
        </is>
      </c>
      <c r="R381" s="38" t="n">
        <v>2</v>
      </c>
      <c r="S381" s="38" t="inlineStr">
        <is>
          <t>Нижегородская область</t>
        </is>
      </c>
      <c r="T381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«Билдэко», где это исправлено, и показать. Собрать?</t>
        </is>
      </c>
      <c r="U381" s="38">
        <f>B381&amp;IF(D381&lt;&gt;""," · "&amp;D381,"")&amp;IF(F381&lt;&gt;"",CHAR(10)&amp;F381,"")</f>
        <v/>
      </c>
      <c r="V381" s="38">
        <f>IF(OR(F381="просрочено",F381="сегодня",F381="укажи дату",LEFT(F381,6)="молчит"),1,0)</f>
        <v/>
      </c>
    </row>
    <row r="382" ht="24" customHeight="1">
      <c r="A382" s="38" t="n">
        <v>381</v>
      </c>
      <c r="B382" s="32" t="inlineStr">
        <is>
          <t>НСК Град</t>
        </is>
      </c>
      <c r="C382" s="49" t="inlineStr">
        <is>
          <t>Очередь</t>
        </is>
      </c>
      <c r="D382" s="49" t="n"/>
      <c r="E382" s="50" t="n"/>
      <c r="F382" s="51">
        <f>IF(OR(C382="",C382="Очередь",C382="Клиент",C382="Отказ",C382="Не писать"),"",IF(E382="",IF(AND(C382="Отправлено",I382&lt;&gt;"",TODAY()-INT(I382)&gt;=3),"молчит "&amp;(TODAY()-INT(I382))&amp;" дн.",IF(OR(C382="Перезвонить",C382="Созвон"),"укажи дату","")),IF(INT(E382)&lt;TODAY(),"просрочено",IF(INT(E382)=TODAY(),"сегодня",IF(INT(E382)=TODAY()+1,"завтра",TEXT(E382,"dd.mm"))))))</f>
        <v/>
      </c>
      <c r="G382" s="52" t="n"/>
      <c r="H382" s="36" t="inlineStr">
        <is>
          <t>79534154044</t>
        </is>
      </c>
      <c r="I382" s="53" t="n"/>
      <c r="J382" s="38">
        <f>IFERROR(MATCH(C382,'Справка'!$A$12:$A$21,0),99)</f>
        <v/>
      </c>
      <c r="K382" s="39">
        <f>HYPERLINK("https://wa.me/"&amp;H382&amp;"?text="&amp;ENCODEURL(T382),"✉ Написать")</f>
        <v/>
      </c>
      <c r="L382" s="39">
        <f>HYPERLINK("https://wa.me/"&amp;H382,"Открыть чат")</f>
        <v/>
      </c>
      <c r="M382" s="38" t="inlineStr">
        <is>
          <t>Нижний Новгород</t>
        </is>
      </c>
      <c r="N382" s="38" t="n">
        <v>5</v>
      </c>
      <c r="O382" s="38" t="n">
        <v>1</v>
      </c>
      <c r="P382" s="38" t="inlineStr">
        <is>
          <t>nsk-grad.ru</t>
        </is>
      </c>
      <c r="Q382" s="38" t="inlineStr">
        <is>
          <t>есть сайт: сначала впиши в текст, что на нём не так</t>
        </is>
      </c>
      <c r="R382" s="38" t="n">
        <v>2</v>
      </c>
      <c r="S382" s="38" t="inlineStr">
        <is>
          <t>Нижегородская область</t>
        </is>
      </c>
      <c r="T382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«НСК Град», где это исправлено, и показать. Собрать?</t>
        </is>
      </c>
      <c r="U382" s="38">
        <f>B382&amp;IF(D382&lt;&gt;""," · "&amp;D382,"")&amp;IF(F382&lt;&gt;"",CHAR(10)&amp;F382,"")</f>
        <v/>
      </c>
      <c r="V382" s="38">
        <f>IF(OR(F382="просрочено",F382="сегодня",F382="укажи дату",LEFT(F382,6)="молчит"),1,0)</f>
        <v/>
      </c>
    </row>
    <row r="383" ht="24" customHeight="1">
      <c r="A383" s="38" t="n">
        <v>382</v>
      </c>
      <c r="B383" s="32" t="inlineStr">
        <is>
          <t>Астра</t>
        </is>
      </c>
      <c r="C383" s="49" t="inlineStr">
        <is>
          <t>Очередь</t>
        </is>
      </c>
      <c r="D383" s="49" t="n"/>
      <c r="E383" s="50" t="n"/>
      <c r="F383" s="51">
        <f>IF(OR(C383="",C383="Очередь",C383="Клиент",C383="Отказ",C383="Не писать"),"",IF(E383="",IF(AND(C383="Отправлено",I383&lt;&gt;"",TODAY()-INT(I383)&gt;=3),"молчит "&amp;(TODAY()-INT(I383))&amp;" дн.",IF(OR(C383="Перезвонить",C383="Созвон"),"укажи дату","")),IF(INT(E383)&lt;TODAY(),"просрочено",IF(INT(E383)=TODAY(),"сегодня",IF(INT(E383)=TODAY()+1,"завтра",TEXT(E383,"dd.mm"))))))</f>
        <v/>
      </c>
      <c r="G383" s="52" t="n"/>
      <c r="H383" s="36" t="inlineStr">
        <is>
          <t>79200239894</t>
        </is>
      </c>
      <c r="I383" s="53" t="n"/>
      <c r="J383" s="38">
        <f>IFERROR(MATCH(C383,'Справка'!$A$12:$A$21,0),99)</f>
        <v/>
      </c>
      <c r="K383" s="39">
        <f>HYPERLINK("https://wa.me/"&amp;H383&amp;"?text="&amp;ENCODEURL(T383),"✉ Написать")</f>
        <v/>
      </c>
      <c r="L383" s="39">
        <f>HYPERLINK("https://wa.me/"&amp;H383,"Открыть чат")</f>
        <v/>
      </c>
      <c r="M383" s="38" t="inlineStr">
        <is>
          <t>Нижний Новгород</t>
        </is>
      </c>
      <c r="N383" s="38" t="n">
        <v>1</v>
      </c>
      <c r="O383" s="38" t="n">
        <v>1</v>
      </c>
      <c r="P383" s="38" t="inlineStr">
        <is>
          <t>sk-astra.ru</t>
        </is>
      </c>
      <c r="Q383" s="38" t="inlineStr">
        <is>
          <t>есть сайт: сначала впиши в текст, что на нём не так</t>
        </is>
      </c>
      <c r="R383" s="38" t="n">
        <v>2</v>
      </c>
      <c r="S383" s="38" t="inlineStr">
        <is>
          <t>Нижегородская область</t>
        </is>
      </c>
      <c r="T383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«Астра», где это исправлено, и показать. Собрать?</t>
        </is>
      </c>
      <c r="U383" s="38">
        <f>B383&amp;IF(D383&lt;&gt;""," · "&amp;D383,"")&amp;IF(F383&lt;&gt;"",CHAR(10)&amp;F383,"")</f>
        <v/>
      </c>
      <c r="V383" s="38">
        <f>IF(OR(F383="просрочено",F383="сегодня",F383="укажи дату",LEFT(F383,6)="молчит"),1,0)</f>
        <v/>
      </c>
    </row>
    <row r="384" ht="24" customHeight="1">
      <c r="A384" s="38" t="n">
        <v>383</v>
      </c>
      <c r="B384" s="32" t="inlineStr">
        <is>
          <t>Умное решение</t>
        </is>
      </c>
      <c r="C384" s="49" t="inlineStr">
        <is>
          <t>Очередь</t>
        </is>
      </c>
      <c r="D384" s="49" t="n"/>
      <c r="E384" s="50" t="n"/>
      <c r="F384" s="51">
        <f>IF(OR(C384="",C384="Очередь",C384="Клиент",C384="Отказ",C384="Не писать"),"",IF(E384="",IF(AND(C384="Отправлено",I384&lt;&gt;"",TODAY()-INT(I384)&gt;=3),"молчит "&amp;(TODAY()-INT(I384))&amp;" дн.",IF(OR(C384="Перезвонить",C384="Созвон"),"укажи дату","")),IF(INT(E384)&lt;TODAY(),"просрочено",IF(INT(E384)=TODAY(),"сегодня",IF(INT(E384)=TODAY()+1,"завтра",TEXT(E384,"dd.mm"))))))</f>
        <v/>
      </c>
      <c r="G384" s="52" t="n"/>
      <c r="H384" s="36" t="inlineStr">
        <is>
          <t>79200133789</t>
        </is>
      </c>
      <c r="I384" s="53" t="n"/>
      <c r="J384" s="38">
        <f>IFERROR(MATCH(C384,'Справка'!$A$12:$A$21,0),99)</f>
        <v/>
      </c>
      <c r="K384" s="39">
        <f>HYPERLINK("https://wa.me/"&amp;H384&amp;"?text="&amp;ENCODEURL(T384),"✉ Написать")</f>
        <v/>
      </c>
      <c r="L384" s="39">
        <f>HYPERLINK("https://wa.me/"&amp;H384,"Открыть чат")</f>
        <v/>
      </c>
      <c r="M384" s="38" t="inlineStr">
        <is>
          <t>Нижний Новгород</t>
        </is>
      </c>
      <c r="N384" s="38" t="n"/>
      <c r="O384" s="38" t="n"/>
      <c r="P384" s="38" t="inlineStr">
        <is>
          <t>smartroof.ru</t>
        </is>
      </c>
      <c r="Q384" s="38" t="inlineStr">
        <is>
          <t>есть сайт: сначала впиши в текст, что на нём не так</t>
        </is>
      </c>
      <c r="R384" s="38" t="n">
        <v>2</v>
      </c>
      <c r="S384" s="38" t="inlineStr">
        <is>
          <t>Нижегородская область</t>
        </is>
      </c>
      <c r="T384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«Умное решение», где это исправлено, и показать. Собрать?</t>
        </is>
      </c>
      <c r="U384" s="38">
        <f>B384&amp;IF(D384&lt;&gt;""," · "&amp;D384,"")&amp;IF(F384&lt;&gt;"",CHAR(10)&amp;F384,"")</f>
        <v/>
      </c>
      <c r="V384" s="38">
        <f>IF(OR(F384="просрочено",F384="сегодня",F384="укажи дату",LEFT(F384,6)="молчит"),1,0)</f>
        <v/>
      </c>
    </row>
    <row r="385" ht="24" customHeight="1">
      <c r="A385" s="38" t="n">
        <v>384</v>
      </c>
      <c r="B385" s="32" t="inlineStr">
        <is>
          <t>Нанофлекс</t>
        </is>
      </c>
      <c r="C385" s="49" t="inlineStr">
        <is>
          <t>Очередь</t>
        </is>
      </c>
      <c r="D385" s="49" t="n"/>
      <c r="E385" s="50" t="n"/>
      <c r="F385" s="51">
        <f>IF(OR(C385="",C385="Очередь",C385="Клиент",C385="Отказ",C385="Не писать"),"",IF(E385="",IF(AND(C385="Отправлено",I385&lt;&gt;"",TODAY()-INT(I385)&gt;=3),"молчит "&amp;(TODAY()-INT(I385))&amp;" дн.",IF(OR(C385="Перезвонить",C385="Созвон"),"укажи дату","")),IF(INT(E385)&lt;TODAY(),"просрочено",IF(INT(E385)=TODAY(),"сегодня",IF(INT(E385)=TODAY()+1,"завтра",TEXT(E385,"dd.mm"))))))</f>
        <v/>
      </c>
      <c r="G385" s="52" t="n"/>
      <c r="H385" s="36" t="inlineStr">
        <is>
          <t>79524405722</t>
        </is>
      </c>
      <c r="I385" s="53" t="n"/>
      <c r="J385" s="38">
        <f>IFERROR(MATCH(C385,'Справка'!$A$12:$A$21,0),99)</f>
        <v/>
      </c>
      <c r="K385" s="39">
        <f>HYPERLINK("https://wa.me/"&amp;H385&amp;"?text="&amp;ENCODEURL(T385),"✉ Написать")</f>
        <v/>
      </c>
      <c r="L385" s="39">
        <f>HYPERLINK("https://wa.me/"&amp;H385,"Открыть чат")</f>
        <v/>
      </c>
      <c r="M385" s="38" t="inlineStr">
        <is>
          <t>Нижний Новгород</t>
        </is>
      </c>
      <c r="N385" s="38" t="n"/>
      <c r="O385" s="38" t="n"/>
      <c r="P385" s="38" t="inlineStr">
        <is>
          <t>nanofleks.ru</t>
        </is>
      </c>
      <c r="Q385" s="38" t="inlineStr">
        <is>
          <t>есть сайт: сначала впиши в текст, что на нём не так</t>
        </is>
      </c>
      <c r="R385" s="38" t="n">
        <v>2</v>
      </c>
      <c r="S385" s="38" t="inlineStr">
        <is>
          <t>Нижегородская область</t>
        </is>
      </c>
      <c r="T385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«Нанофлекс», где это исправлено, и показать. Собрать?</t>
        </is>
      </c>
      <c r="U385" s="38">
        <f>B385&amp;IF(D385&lt;&gt;""," · "&amp;D385,"")&amp;IF(F385&lt;&gt;"",CHAR(10)&amp;F385,"")</f>
        <v/>
      </c>
      <c r="V385" s="38">
        <f>IF(OR(F385="просрочено",F385="сегодня",F385="укажи дату",LEFT(F385,6)="молчит"),1,0)</f>
        <v/>
      </c>
    </row>
    <row r="386" ht="24" customHeight="1">
      <c r="A386" s="38" t="n">
        <v>385</v>
      </c>
      <c r="B386" s="32" t="inlineStr">
        <is>
          <t>Домовой 52</t>
        </is>
      </c>
      <c r="C386" s="49" t="inlineStr">
        <is>
          <t>Очередь</t>
        </is>
      </c>
      <c r="D386" s="49" t="n"/>
      <c r="E386" s="50" t="n"/>
      <c r="F386" s="51">
        <f>IF(OR(C386="",C386="Очередь",C386="Клиент",C386="Отказ",C386="Не писать"),"",IF(E386="",IF(AND(C386="Отправлено",I386&lt;&gt;"",TODAY()-INT(I386)&gt;=3),"молчит "&amp;(TODAY()-INT(I386))&amp;" дн.",IF(OR(C386="Перезвонить",C386="Созвон"),"укажи дату","")),IF(INT(E386)&lt;TODAY(),"просрочено",IF(INT(E386)=TODAY(),"сегодня",IF(INT(E386)=TODAY()+1,"завтра",TEXT(E386,"dd.mm"))))))</f>
        <v/>
      </c>
      <c r="G386" s="52" t="n"/>
      <c r="H386" s="36" t="inlineStr">
        <is>
          <t>79092957997</t>
        </is>
      </c>
      <c r="I386" s="53" t="n"/>
      <c r="J386" s="38">
        <f>IFERROR(MATCH(C386,'Справка'!$A$12:$A$21,0),99)</f>
        <v/>
      </c>
      <c r="K386" s="39">
        <f>HYPERLINK("https://wa.me/"&amp;H386&amp;"?text="&amp;ENCODEURL(T386),"✉ Написать")</f>
        <v/>
      </c>
      <c r="L386" s="39">
        <f>HYPERLINK("https://wa.me/"&amp;H386,"Открыть чат")</f>
        <v/>
      </c>
      <c r="M386" s="38" t="inlineStr">
        <is>
          <t>Нижний Новгород</t>
        </is>
      </c>
      <c r="N386" s="38" t="n"/>
      <c r="O386" s="38" t="n"/>
      <c r="P386" s="38" t="inlineStr">
        <is>
          <t>52krov.ru</t>
        </is>
      </c>
      <c r="Q386" s="38" t="inlineStr">
        <is>
          <t>есть сайт: сначала впиши в текст, что на нём не так</t>
        </is>
      </c>
      <c r="R386" s="38" t="n">
        <v>2</v>
      </c>
      <c r="S386" s="38" t="inlineStr">
        <is>
          <t>Нижегородская область</t>
        </is>
      </c>
      <c r="T386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«Домовой 52», где это исправлено, и показать. Собрать?</t>
        </is>
      </c>
      <c r="U386" s="38">
        <f>B386&amp;IF(D386&lt;&gt;""," · "&amp;D386,"")&amp;IF(F386&lt;&gt;"",CHAR(10)&amp;F386,"")</f>
        <v/>
      </c>
      <c r="V386" s="38">
        <f>IF(OR(F386="просрочено",F386="сегодня",F386="укажи дату",LEFT(F386,6)="молчит"),1,0)</f>
        <v/>
      </c>
    </row>
    <row r="387" ht="24" customHeight="1">
      <c r="A387" s="38" t="n">
        <v>386</v>
      </c>
      <c r="B387" s="32" t="inlineStr">
        <is>
          <t>Феникс</t>
        </is>
      </c>
      <c r="C387" s="49" t="inlineStr">
        <is>
          <t>Очередь</t>
        </is>
      </c>
      <c r="D387" s="49" t="n"/>
      <c r="E387" s="50" t="n"/>
      <c r="F387" s="51">
        <f>IF(OR(C387="",C387="Очередь",C387="Клиент",C387="Отказ",C387="Не писать"),"",IF(E387="",IF(AND(C387="Отправлено",I387&lt;&gt;"",TODAY()-INT(I387)&gt;=3),"молчит "&amp;(TODAY()-INT(I387))&amp;" дн.",IF(OR(C387="Перезвонить",C387="Созвон"),"укажи дату","")),IF(INT(E387)&lt;TODAY(),"просрочено",IF(INT(E387)=TODAY(),"сегодня",IF(INT(E387)=TODAY()+1,"завтра",TEXT(E387,"dd.mm"))))))</f>
        <v/>
      </c>
      <c r="G387" s="52" t="n"/>
      <c r="H387" s="36" t="inlineStr">
        <is>
          <t>79108817770</t>
        </is>
      </c>
      <c r="I387" s="53" t="n"/>
      <c r="J387" s="38">
        <f>IFERROR(MATCH(C387,'Справка'!$A$12:$A$21,0),99)</f>
        <v/>
      </c>
      <c r="K387" s="39">
        <f>HYPERLINK("https://wa.me/"&amp;H387&amp;"?text="&amp;ENCODEURL(T387),"✉ Написать")</f>
        <v/>
      </c>
      <c r="L387" s="39">
        <f>HYPERLINK("https://wa.me/"&amp;H387,"Открыть чат")</f>
        <v/>
      </c>
      <c r="M387" s="38" t="inlineStr">
        <is>
          <t>Нижний Новгород</t>
        </is>
      </c>
      <c r="N387" s="38" t="n"/>
      <c r="O387" s="38" t="n"/>
      <c r="P387" s="38" t="inlineStr">
        <is>
          <t>fenix-work2021.ru</t>
        </is>
      </c>
      <c r="Q387" s="38" t="inlineStr">
        <is>
          <t>есть сайт: сначала впиши в текст, что на нём не так</t>
        </is>
      </c>
      <c r="R387" s="38" t="n">
        <v>2</v>
      </c>
      <c r="S387" s="38" t="inlineStr">
        <is>
          <t>Нижегородская область</t>
        </is>
      </c>
      <c r="T387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«Феникс», где это исправлено, и показать. Собрать?</t>
        </is>
      </c>
      <c r="U387" s="38">
        <f>B387&amp;IF(D387&lt;&gt;""," · "&amp;D387,"")&amp;IF(F387&lt;&gt;"",CHAR(10)&amp;F387,"")</f>
        <v/>
      </c>
      <c r="V387" s="38">
        <f>IF(OR(F387="просрочено",F387="сегодня",F387="укажи дату",LEFT(F387,6)="молчит"),1,0)</f>
        <v/>
      </c>
    </row>
    <row r="388" ht="24" customHeight="1">
      <c r="A388" s="38" t="n">
        <v>387</v>
      </c>
      <c r="B388" s="32" t="inlineStr">
        <is>
          <t>Юнибилд</t>
        </is>
      </c>
      <c r="C388" s="49" t="inlineStr">
        <is>
          <t>Очередь</t>
        </is>
      </c>
      <c r="D388" s="49" t="n"/>
      <c r="E388" s="50" t="n"/>
      <c r="F388" s="51">
        <f>IF(OR(C388="",C388="Очередь",C388="Клиент",C388="Отказ",C388="Не писать"),"",IF(E388="",IF(AND(C388="Отправлено",I388&lt;&gt;"",TODAY()-INT(I388)&gt;=3),"молчит "&amp;(TODAY()-INT(I388))&amp;" дн.",IF(OR(C388="Перезвонить",C388="Созвон"),"укажи дату","")),IF(INT(E388)&lt;TODAY(),"просрочено",IF(INT(E388)=TODAY(),"сегодня",IF(INT(E388)=TODAY()+1,"завтра",TEXT(E388,"dd.mm"))))))</f>
        <v/>
      </c>
      <c r="G388" s="52" t="n"/>
      <c r="H388" s="36" t="inlineStr">
        <is>
          <t>79036043536</t>
        </is>
      </c>
      <c r="I388" s="53" t="n"/>
      <c r="J388" s="38">
        <f>IFERROR(MATCH(C388,'Справка'!$A$12:$A$21,0),99)</f>
        <v/>
      </c>
      <c r="K388" s="39">
        <f>HYPERLINK("https://wa.me/"&amp;H388&amp;"?text="&amp;ENCODEURL(T388),"✉ Написать")</f>
        <v/>
      </c>
      <c r="L388" s="39">
        <f>HYPERLINK("https://wa.me/"&amp;H388,"Открыть чат")</f>
        <v/>
      </c>
      <c r="M388" s="38" t="inlineStr">
        <is>
          <t>Нижний Новгород</t>
        </is>
      </c>
      <c r="N388" s="38" t="n"/>
      <c r="O388" s="38" t="n"/>
      <c r="P388" s="38" t="inlineStr">
        <is>
          <t>юнибилд.рф</t>
        </is>
      </c>
      <c r="Q388" s="38" t="inlineStr">
        <is>
          <t>есть сайт: сначала впиши в текст, что на нём не так</t>
        </is>
      </c>
      <c r="R388" s="38" t="n">
        <v>2</v>
      </c>
      <c r="S388" s="38" t="inlineStr">
        <is>
          <t>Нижегородская область</t>
        </is>
      </c>
      <c r="T388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«Юнибилд», где это исправлено, и показать. Собрать?</t>
        </is>
      </c>
      <c r="U388" s="38">
        <f>B388&amp;IF(D388&lt;&gt;""," · "&amp;D388,"")&amp;IF(F388&lt;&gt;"",CHAR(10)&amp;F388,"")</f>
        <v/>
      </c>
      <c r="V388" s="38">
        <f>IF(OR(F388="просрочено",F388="сегодня",F388="укажи дату",LEFT(F388,6)="молчит"),1,0)</f>
        <v/>
      </c>
    </row>
    <row r="389" ht="24" customHeight="1">
      <c r="A389" s="38" t="n">
        <v>388</v>
      </c>
      <c r="B389" s="32" t="inlineStr">
        <is>
          <t>Грол-НН</t>
        </is>
      </c>
      <c r="C389" s="49" t="inlineStr">
        <is>
          <t>Очередь</t>
        </is>
      </c>
      <c r="D389" s="49" t="n"/>
      <c r="E389" s="50" t="n"/>
      <c r="F389" s="51">
        <f>IF(OR(C389="",C389="Очередь",C389="Клиент",C389="Отказ",C389="Не писать"),"",IF(E389="",IF(AND(C389="Отправлено",I389&lt;&gt;"",TODAY()-INT(I389)&gt;=3),"молчит "&amp;(TODAY()-INT(I389))&amp;" дн.",IF(OR(C389="Перезвонить",C389="Созвон"),"укажи дату","")),IF(INT(E389)&lt;TODAY(),"просрочено",IF(INT(E389)=TODAY(),"сегодня",IF(INT(E389)=TODAY()+1,"завтра",TEXT(E389,"dd.mm"))))))</f>
        <v/>
      </c>
      <c r="G389" s="52" t="n"/>
      <c r="H389" s="36" t="inlineStr">
        <is>
          <t>79290538773</t>
        </is>
      </c>
      <c r="I389" s="53" t="n"/>
      <c r="J389" s="38">
        <f>IFERROR(MATCH(C389,'Справка'!$A$12:$A$21,0),99)</f>
        <v/>
      </c>
      <c r="K389" s="39">
        <f>HYPERLINK("https://wa.me/"&amp;H389&amp;"?text="&amp;ENCODEURL(T389),"✉ Написать")</f>
        <v/>
      </c>
      <c r="L389" s="39">
        <f>HYPERLINK("https://wa.me/"&amp;H389,"Открыть чат")</f>
        <v/>
      </c>
      <c r="M389" s="38" t="inlineStr">
        <is>
          <t>Нижний Новгород</t>
        </is>
      </c>
      <c r="N389" s="38" t="n"/>
      <c r="O389" s="38" t="n"/>
      <c r="P389" s="38" t="inlineStr">
        <is>
          <t>ппу52.рф</t>
        </is>
      </c>
      <c r="Q389" s="38" t="inlineStr">
        <is>
          <t>есть сайт: сначала впиши в текст, что на нём не так</t>
        </is>
      </c>
      <c r="R389" s="38" t="n">
        <v>2</v>
      </c>
      <c r="S389" s="38" t="inlineStr">
        <is>
          <t>Нижегородская область</t>
        </is>
      </c>
      <c r="T389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«Грол-НН», где это исправлено, и показать. Собрать?</t>
        </is>
      </c>
      <c r="U389" s="38">
        <f>B389&amp;IF(D389&lt;&gt;""," · "&amp;D389,"")&amp;IF(F389&lt;&gt;"",CHAR(10)&amp;F389,"")</f>
        <v/>
      </c>
      <c r="V389" s="38">
        <f>IF(OR(F389="просрочено",F389="сегодня",F389="укажи дату",LEFT(F389,6)="молчит"),1,0)</f>
        <v/>
      </c>
    </row>
    <row r="390" ht="24" customHeight="1">
      <c r="A390" s="38" t="n">
        <v>389</v>
      </c>
      <c r="B390" s="32" t="inlineStr">
        <is>
          <t>АСП дом</t>
        </is>
      </c>
      <c r="C390" s="49" t="inlineStr">
        <is>
          <t>Очередь</t>
        </is>
      </c>
      <c r="D390" s="49" t="n"/>
      <c r="E390" s="50" t="n"/>
      <c r="F390" s="51">
        <f>IF(OR(C390="",C390="Очередь",C390="Клиент",C390="Отказ",C390="Не писать"),"",IF(E390="",IF(AND(C390="Отправлено",I390&lt;&gt;"",TODAY()-INT(I390)&gt;=3),"молчит "&amp;(TODAY()-INT(I390))&amp;" дн.",IF(OR(C390="Перезвонить",C390="Созвон"),"укажи дату","")),IF(INT(E390)&lt;TODAY(),"просрочено",IF(INT(E390)=TODAY(),"сегодня",IF(INT(E390)=TODAY()+1,"завтра",TEXT(E390,"dd.mm"))))))</f>
        <v/>
      </c>
      <c r="G390" s="52" t="n"/>
      <c r="H390" s="36" t="inlineStr">
        <is>
          <t>79047905015</t>
        </is>
      </c>
      <c r="I390" s="53" t="n"/>
      <c r="J390" s="38">
        <f>IFERROR(MATCH(C390,'Справка'!$A$12:$A$21,0),99)</f>
        <v/>
      </c>
      <c r="K390" s="39">
        <f>HYPERLINK("https://wa.me/"&amp;H390&amp;"?text="&amp;ENCODEURL(T390),"✉ Написать")</f>
        <v/>
      </c>
      <c r="L390" s="39">
        <f>HYPERLINK("https://wa.me/"&amp;H390,"Открыть чат")</f>
        <v/>
      </c>
      <c r="M390" s="38" t="inlineStr">
        <is>
          <t>Нижний Новгород</t>
        </is>
      </c>
      <c r="N390" s="38" t="n"/>
      <c r="O390" s="38" t="n"/>
      <c r="P390" s="38" t="inlineStr">
        <is>
          <t>acpdom.ru</t>
        </is>
      </c>
      <c r="Q390" s="38" t="inlineStr">
        <is>
          <t>есть сайт: сначала впиши в текст, что на нём не так</t>
        </is>
      </c>
      <c r="R390" s="38" t="n">
        <v>2</v>
      </c>
      <c r="S390" s="38" t="inlineStr">
        <is>
          <t>Нижегородская область</t>
        </is>
      </c>
      <c r="T390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«АСП дом», где это исправлено, и показать. Собрать?</t>
        </is>
      </c>
      <c r="U390" s="38">
        <f>B390&amp;IF(D390&lt;&gt;""," · "&amp;D390,"")&amp;IF(F390&lt;&gt;"",CHAR(10)&amp;F390,"")</f>
        <v/>
      </c>
      <c r="V390" s="38">
        <f>IF(OR(F390="просрочено",F390="сегодня",F390="укажи дату",LEFT(F390,6)="молчит"),1,0)</f>
        <v/>
      </c>
    </row>
    <row r="391" ht="24" customHeight="1">
      <c r="A391" s="38" t="n">
        <v>390</v>
      </c>
      <c r="B391" s="32" t="inlineStr">
        <is>
          <t>Салон кровли и фасада</t>
        </is>
      </c>
      <c r="C391" s="49" t="inlineStr">
        <is>
          <t>Очередь</t>
        </is>
      </c>
      <c r="D391" s="49" t="n"/>
      <c r="E391" s="50" t="n"/>
      <c r="F391" s="51">
        <f>IF(OR(C391="",C391="Очередь",C391="Клиент",C391="Отказ",C391="Не писать"),"",IF(E391="",IF(AND(C391="Отправлено",I391&lt;&gt;"",TODAY()-INT(I391)&gt;=3),"молчит "&amp;(TODAY()-INT(I391))&amp;" дн.",IF(OR(C391="Перезвонить",C391="Созвон"),"укажи дату","")),IF(INT(E391)&lt;TODAY(),"просрочено",IF(INT(E391)=TODAY(),"сегодня",IF(INT(E391)=TODAY()+1,"завтра",TEXT(E391,"dd.mm"))))))</f>
        <v/>
      </c>
      <c r="G391" s="52" t="n"/>
      <c r="H391" s="36" t="inlineStr">
        <is>
          <t>79063634455</t>
        </is>
      </c>
      <c r="I391" s="53" t="n"/>
      <c r="J391" s="38">
        <f>IFERROR(MATCH(C391,'Справка'!$A$12:$A$21,0),99)</f>
        <v/>
      </c>
      <c r="K391" s="39">
        <f>HYPERLINK("https://wa.me/"&amp;H391&amp;"?text="&amp;ENCODEURL(T391),"✉ Написать")</f>
        <v/>
      </c>
      <c r="L391" s="39">
        <f>HYPERLINK("https://wa.me/"&amp;H391,"Открыть чат")</f>
        <v/>
      </c>
      <c r="M391" s="38" t="inlineStr">
        <is>
          <t>Бор</t>
        </is>
      </c>
      <c r="N391" s="38" t="n"/>
      <c r="O391" s="38" t="n"/>
      <c r="P391" s="38" t="inlineStr">
        <is>
          <t>salonkif.ru</t>
        </is>
      </c>
      <c r="Q391" s="38" t="inlineStr">
        <is>
          <t>есть сайт: сначала впиши в текст, что на нём не так</t>
        </is>
      </c>
      <c r="R391" s="38" t="n">
        <v>2</v>
      </c>
      <c r="S391" s="38" t="inlineStr">
        <is>
          <t>Нижегородская область</t>
        </is>
      </c>
      <c r="T391" s="38" t="inlineStr">
        <is>
          <t>Здравствуйте! Смотрел в 2ГИС кровельные компании в городе Бор, зашёл на ваш сайт с телефона: [ЧТО НЕ ТАК НА САЙТЕ].
Могу за вечер собрать вариант под «Салон кровли и фасада», где это исправлено, и показать. Собрать?</t>
        </is>
      </c>
      <c r="U391" s="38">
        <f>B391&amp;IF(D391&lt;&gt;""," · "&amp;D391,"")&amp;IF(F391&lt;&gt;"",CHAR(10)&amp;F391,"")</f>
        <v/>
      </c>
      <c r="V391" s="38">
        <f>IF(OR(F391="просрочено",F391="сегодня",F391="укажи дату",LEFT(F391,6)="молчит"),1,0)</f>
        <v/>
      </c>
    </row>
    <row r="392" ht="24" customHeight="1">
      <c r="A392" s="38" t="n">
        <v>391</v>
      </c>
      <c r="B392" s="32" t="inlineStr">
        <is>
          <t>СК Рада</t>
        </is>
      </c>
      <c r="C392" s="49" t="inlineStr">
        <is>
          <t>Очередь</t>
        </is>
      </c>
      <c r="D392" s="49" t="n"/>
      <c r="E392" s="50" t="n"/>
      <c r="F392" s="51">
        <f>IF(OR(C392="",C392="Очередь",C392="Клиент",C392="Отказ",C392="Не писать"),"",IF(E392="",IF(AND(C392="Отправлено",I392&lt;&gt;"",TODAY()-INT(I392)&gt;=3),"молчит "&amp;(TODAY()-INT(I392))&amp;" дн.",IF(OR(C392="Перезвонить",C392="Созвон"),"укажи дату","")),IF(INT(E392)&lt;TODAY(),"просрочено",IF(INT(E392)=TODAY(),"сегодня",IF(INT(E392)=TODAY()+1,"завтра",TEXT(E392,"dd.mm"))))))</f>
        <v/>
      </c>
      <c r="G392" s="52" t="n"/>
      <c r="H392" s="36" t="inlineStr">
        <is>
          <t>79107902858</t>
        </is>
      </c>
      <c r="I392" s="53" t="n"/>
      <c r="J392" s="38">
        <f>IFERROR(MATCH(C392,'Справка'!$A$12:$A$21,0),99)</f>
        <v/>
      </c>
      <c r="K392" s="39">
        <f>HYPERLINK("https://wa.me/"&amp;H392&amp;"?text="&amp;ENCODEURL(T392),"✉ Написать")</f>
        <v/>
      </c>
      <c r="L392" s="39">
        <f>HYPERLINK("https://wa.me/"&amp;H392,"Открыть чат")</f>
        <v/>
      </c>
      <c r="M392" s="38" t="inlineStr">
        <is>
          <t>Нижний Новгород</t>
        </is>
      </c>
      <c r="N392" s="38" t="n"/>
      <c r="O392" s="38" t="n"/>
      <c r="P392" s="38" t="inlineStr">
        <is>
          <t>cmd-dom.ru</t>
        </is>
      </c>
      <c r="Q392" s="38" t="inlineStr">
        <is>
          <t>есть сайт: сначала впиши в текст, что на нём не так</t>
        </is>
      </c>
      <c r="R392" s="38" t="n">
        <v>2</v>
      </c>
      <c r="S392" s="38" t="inlineStr">
        <is>
          <t>Нижегородская область</t>
        </is>
      </c>
      <c r="T392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«СК Рада», где это исправлено, и показать. Собрать?</t>
        </is>
      </c>
      <c r="U392" s="38">
        <f>B392&amp;IF(D392&lt;&gt;""," · "&amp;D392,"")&amp;IF(F392&lt;&gt;"",CHAR(10)&amp;F392,"")</f>
        <v/>
      </c>
      <c r="V392" s="38">
        <f>IF(OR(F392="просрочено",F392="сегодня",F392="укажи дату",LEFT(F392,6)="молчит"),1,0)</f>
        <v/>
      </c>
    </row>
    <row r="393" ht="24" customHeight="1">
      <c r="A393" s="38" t="n">
        <v>392</v>
      </c>
      <c r="B393" s="32" t="inlineStr">
        <is>
          <t>Проектстройнн</t>
        </is>
      </c>
      <c r="C393" s="49" t="inlineStr">
        <is>
          <t>Очередь</t>
        </is>
      </c>
      <c r="D393" s="49" t="n"/>
      <c r="E393" s="50" t="n"/>
      <c r="F393" s="51">
        <f>IF(OR(C393="",C393="Очередь",C393="Клиент",C393="Отказ",C393="Не писать"),"",IF(E393="",IF(AND(C393="Отправлено",I393&lt;&gt;"",TODAY()-INT(I393)&gt;=3),"молчит "&amp;(TODAY()-INT(I393))&amp;" дн.",IF(OR(C393="Перезвонить",C393="Созвон"),"укажи дату","")),IF(INT(E393)&lt;TODAY(),"просрочено",IF(INT(E393)=TODAY(),"сегодня",IF(INT(E393)=TODAY()+1,"завтра",TEXT(E393,"dd.mm"))))))</f>
        <v/>
      </c>
      <c r="G393" s="52" t="n"/>
      <c r="H393" s="36" t="inlineStr">
        <is>
          <t>79023020066</t>
        </is>
      </c>
      <c r="I393" s="53" t="n"/>
      <c r="J393" s="38">
        <f>IFERROR(MATCH(C393,'Справка'!$A$12:$A$21,0),99)</f>
        <v/>
      </c>
      <c r="K393" s="39">
        <f>HYPERLINK("https://wa.me/"&amp;H393&amp;"?text="&amp;ENCODEURL(T393),"✉ Написать")</f>
        <v/>
      </c>
      <c r="L393" s="39">
        <f>HYPERLINK("https://wa.me/"&amp;H393,"Открыть чат")</f>
        <v/>
      </c>
      <c r="M393" s="38" t="inlineStr">
        <is>
          <t>Нижний Новгород</t>
        </is>
      </c>
      <c r="N393" s="38" t="n"/>
      <c r="O393" s="38" t="n"/>
      <c r="P393" s="38" t="inlineStr">
        <is>
          <t>proektstroynn.ru</t>
        </is>
      </c>
      <c r="Q393" s="38" t="inlineStr">
        <is>
          <t>есть сайт: сначала впиши в текст, что на нём не так</t>
        </is>
      </c>
      <c r="R393" s="38" t="n">
        <v>2</v>
      </c>
      <c r="S393" s="38" t="inlineStr">
        <is>
          <t>Нижегородская область</t>
        </is>
      </c>
      <c r="T393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«Проектстройнн», где это исправлено, и показать. Собрать?</t>
        </is>
      </c>
      <c r="U393" s="38">
        <f>B393&amp;IF(D393&lt;&gt;""," · "&amp;D393,"")&amp;IF(F393&lt;&gt;"",CHAR(10)&amp;F393,"")</f>
        <v/>
      </c>
      <c r="V393" s="38">
        <f>IF(OR(F393="просрочено",F393="сегодня",F393="укажи дату",LEFT(F393,6)="молчит"),1,0)</f>
        <v/>
      </c>
    </row>
    <row r="394" ht="24" customHeight="1">
      <c r="A394" s="38" t="n">
        <v>393</v>
      </c>
      <c r="B394" s="32" t="inlineStr">
        <is>
          <t>Новострой</t>
        </is>
      </c>
      <c r="C394" s="49" t="inlineStr">
        <is>
          <t>Очередь</t>
        </is>
      </c>
      <c r="D394" s="49" t="n"/>
      <c r="E394" s="50" t="n"/>
      <c r="F394" s="51">
        <f>IF(OR(C394="",C394="Очередь",C394="Клиент",C394="Отказ",C394="Не писать"),"",IF(E394="",IF(AND(C394="Отправлено",I394&lt;&gt;"",TODAY()-INT(I394)&gt;=3),"молчит "&amp;(TODAY()-INT(I394))&amp;" дн.",IF(OR(C394="Перезвонить",C394="Созвон"),"укажи дату","")),IF(INT(E394)&lt;TODAY(),"просрочено",IF(INT(E394)=TODAY(),"сегодня",IF(INT(E394)=TODAY()+1,"завтра",TEXT(E394,"dd.mm"))))))</f>
        <v/>
      </c>
      <c r="G394" s="52" t="n"/>
      <c r="H394" s="36" t="inlineStr">
        <is>
          <t>79306655285</t>
        </is>
      </c>
      <c r="I394" s="53" t="n"/>
      <c r="J394" s="38">
        <f>IFERROR(MATCH(C394,'Справка'!$A$12:$A$21,0),99)</f>
        <v/>
      </c>
      <c r="K394" s="39">
        <f>HYPERLINK("https://wa.me/"&amp;H394&amp;"?text="&amp;ENCODEURL(T394),"✉ Написать")</f>
        <v/>
      </c>
      <c r="L394" s="39">
        <f>HYPERLINK("https://wa.me/"&amp;H394,"Открыть чат")</f>
        <v/>
      </c>
      <c r="M394" s="38" t="inlineStr">
        <is>
          <t>Нижний Новгород</t>
        </is>
      </c>
      <c r="N394" s="38" t="n"/>
      <c r="O394" s="38" t="n"/>
      <c r="P394" s="38" t="inlineStr">
        <is>
          <t>novostroy.space</t>
        </is>
      </c>
      <c r="Q394" s="38" t="inlineStr">
        <is>
          <t>есть сайт: сначала впиши в текст, что на нём не так</t>
        </is>
      </c>
      <c r="R394" s="38" t="n">
        <v>2</v>
      </c>
      <c r="S394" s="38" t="inlineStr">
        <is>
          <t>Нижегородская область</t>
        </is>
      </c>
      <c r="T394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«Новострой», где это исправлено, и показать. Собрать?</t>
        </is>
      </c>
      <c r="U394" s="38">
        <f>B394&amp;IF(D394&lt;&gt;""," · "&amp;D394,"")&amp;IF(F394&lt;&gt;"",CHAR(10)&amp;F394,"")</f>
        <v/>
      </c>
      <c r="V394" s="38">
        <f>IF(OR(F394="просрочено",F394="сегодня",F394="укажи дату",LEFT(F394,6)="молчит"),1,0)</f>
        <v/>
      </c>
    </row>
    <row r="395" ht="24" customHeight="1">
      <c r="A395" s="38" t="n">
        <v>394</v>
      </c>
      <c r="B395" s="32" t="inlineStr">
        <is>
          <t>Диалтоп</t>
        </is>
      </c>
      <c r="C395" s="49" t="inlineStr">
        <is>
          <t>Очередь</t>
        </is>
      </c>
      <c r="D395" s="49" t="n"/>
      <c r="E395" s="50" t="n"/>
      <c r="F395" s="51">
        <f>IF(OR(C395="",C395="Очередь",C395="Клиент",C395="Отказ",C395="Не писать"),"",IF(E395="",IF(AND(C395="Отправлено",I395&lt;&gt;"",TODAY()-INT(I395)&gt;=3),"молчит "&amp;(TODAY()-INT(I395))&amp;" дн.",IF(OR(C395="Перезвонить",C395="Созвон"),"укажи дату","")),IF(INT(E395)&lt;TODAY(),"просрочено",IF(INT(E395)=TODAY(),"сегодня",IF(INT(E395)=TODAY()+1,"завтра",TEXT(E395,"dd.mm"))))))</f>
        <v/>
      </c>
      <c r="G395" s="52" t="n"/>
      <c r="H395" s="36" t="inlineStr">
        <is>
          <t>79103908000</t>
        </is>
      </c>
      <c r="I395" s="53" t="n"/>
      <c r="J395" s="38">
        <f>IFERROR(MATCH(C395,'Справка'!$A$12:$A$21,0),99)</f>
        <v/>
      </c>
      <c r="K395" s="39">
        <f>HYPERLINK("https://wa.me/"&amp;H395&amp;"?text="&amp;ENCODEURL(T395),"✉ Написать")</f>
        <v/>
      </c>
      <c r="L395" s="39">
        <f>HYPERLINK("https://wa.me/"&amp;H395,"Открыть чат")</f>
        <v/>
      </c>
      <c r="M395" s="38" t="inlineStr">
        <is>
          <t>Нижний Новгород</t>
        </is>
      </c>
      <c r="N395" s="38" t="n"/>
      <c r="O395" s="38" t="n"/>
      <c r="P395" s="38" t="inlineStr">
        <is>
          <t>dialtop.ru</t>
        </is>
      </c>
      <c r="Q395" s="38" t="inlineStr">
        <is>
          <t>есть сайт: сначала впиши в текст, что на нём не так</t>
        </is>
      </c>
      <c r="R395" s="38" t="n">
        <v>2</v>
      </c>
      <c r="S395" s="38" t="inlineStr">
        <is>
          <t>Нижегородская область</t>
        </is>
      </c>
      <c r="T395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«Диалтоп», где это исправлено, и показать. Собрать?</t>
        </is>
      </c>
      <c r="U395" s="38">
        <f>B395&amp;IF(D395&lt;&gt;""," · "&amp;D395,"")&amp;IF(F395&lt;&gt;"",CHAR(10)&amp;F395,"")</f>
        <v/>
      </c>
      <c r="V395" s="38">
        <f>IF(OR(F395="просрочено",F395="сегодня",F395="укажи дату",LEFT(F395,6)="молчит"),1,0)</f>
        <v/>
      </c>
    </row>
    <row r="396" ht="24" customHeight="1">
      <c r="A396" s="38" t="n">
        <v>395</v>
      </c>
      <c r="B396" s="32" t="inlineStr">
        <is>
          <t>А-строй</t>
        </is>
      </c>
      <c r="C396" s="49" t="inlineStr">
        <is>
          <t>Очередь</t>
        </is>
      </c>
      <c r="D396" s="49" t="n"/>
      <c r="E396" s="50" t="n"/>
      <c r="F396" s="51">
        <f>IF(OR(C396="",C396="Очередь",C396="Клиент",C396="Отказ",C396="Не писать"),"",IF(E396="",IF(AND(C396="Отправлено",I396&lt;&gt;"",TODAY()-INT(I396)&gt;=3),"молчит "&amp;(TODAY()-INT(I396))&amp;" дн.",IF(OR(C396="Перезвонить",C396="Созвон"),"укажи дату","")),IF(INT(E396)&lt;TODAY(),"просрочено",IF(INT(E396)=TODAY(),"сегодня",IF(INT(E396)=TODAY()+1,"завтра",TEXT(E396,"dd.mm"))))))</f>
        <v/>
      </c>
      <c r="G396" s="52" t="n"/>
      <c r="H396" s="36" t="inlineStr">
        <is>
          <t>79519176054</t>
        </is>
      </c>
      <c r="I396" s="53" t="n"/>
      <c r="J396" s="38">
        <f>IFERROR(MATCH(C396,'Справка'!$A$12:$A$21,0),99)</f>
        <v/>
      </c>
      <c r="K396" s="39">
        <f>HYPERLINK("https://wa.me/"&amp;H396&amp;"?text="&amp;ENCODEURL(T396),"✉ Написать")</f>
        <v/>
      </c>
      <c r="L396" s="39">
        <f>HYPERLINK("https://wa.me/"&amp;H396,"Открыть чат")</f>
        <v/>
      </c>
      <c r="M396" s="38" t="inlineStr">
        <is>
          <t>Нижний Новгород</t>
        </is>
      </c>
      <c r="N396" s="38" t="n"/>
      <c r="O396" s="38" t="n"/>
      <c r="P396" s="38" t="inlineStr">
        <is>
          <t>fasadnnov.ru</t>
        </is>
      </c>
      <c r="Q396" s="38" t="inlineStr">
        <is>
          <t>есть сайт: сначала впиши в текст, что на нём не так</t>
        </is>
      </c>
      <c r="R396" s="38" t="n">
        <v>2</v>
      </c>
      <c r="S396" s="38" t="inlineStr">
        <is>
          <t>Нижегородская область</t>
        </is>
      </c>
      <c r="T396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«А-строй», где это исправлено, и показать. Собрать?</t>
        </is>
      </c>
      <c r="U396" s="38">
        <f>B396&amp;IF(D396&lt;&gt;""," · "&amp;D396,"")&amp;IF(F396&lt;&gt;"",CHAR(10)&amp;F396,"")</f>
        <v/>
      </c>
      <c r="V396" s="38">
        <f>IF(OR(F396="просрочено",F396="сегодня",F396="укажи дату",LEFT(F396,6)="молчит"),1,0)</f>
        <v/>
      </c>
    </row>
    <row r="397" ht="24" customHeight="1">
      <c r="A397" s="38" t="n">
        <v>396</v>
      </c>
      <c r="B397" s="32" t="inlineStr">
        <is>
          <t>Меридиан</t>
        </is>
      </c>
      <c r="C397" s="49" t="inlineStr">
        <is>
          <t>Очередь</t>
        </is>
      </c>
      <c r="D397" s="49" t="n"/>
      <c r="E397" s="50" t="n"/>
      <c r="F397" s="51">
        <f>IF(OR(C397="",C397="Очередь",C397="Клиент",C397="Отказ",C397="Не писать"),"",IF(E397="",IF(AND(C397="Отправлено",I397&lt;&gt;"",TODAY()-INT(I397)&gt;=3),"молчит "&amp;(TODAY()-INT(I397))&amp;" дн.",IF(OR(C397="Перезвонить",C397="Созвон"),"укажи дату","")),IF(INT(E397)&lt;TODAY(),"просрочено",IF(INT(E397)=TODAY(),"сегодня",IF(INT(E397)=TODAY()+1,"завтра",TEXT(E397,"dd.mm"))))))</f>
        <v/>
      </c>
      <c r="G397" s="52" t="n"/>
      <c r="H397" s="36" t="inlineStr">
        <is>
          <t>79200179415</t>
        </is>
      </c>
      <c r="I397" s="53" t="n"/>
      <c r="J397" s="38">
        <f>IFERROR(MATCH(C397,'Справка'!$A$12:$A$21,0),99)</f>
        <v/>
      </c>
      <c r="K397" s="39">
        <f>HYPERLINK("https://wa.me/"&amp;H397&amp;"?text="&amp;ENCODEURL(T397),"✉ Написать")</f>
        <v/>
      </c>
      <c r="L397" s="39">
        <f>HYPERLINK("https://wa.me/"&amp;H397,"Открыть чат")</f>
        <v/>
      </c>
      <c r="M397" s="38" t="inlineStr">
        <is>
          <t>Ждановский</t>
        </is>
      </c>
      <c r="N397" s="38" t="n"/>
      <c r="O397" s="38" t="n"/>
      <c r="P397" s="38" t="inlineStr">
        <is>
          <t>кровля52.рф</t>
        </is>
      </c>
      <c r="Q397" s="38" t="inlineStr">
        <is>
          <t>есть сайт: сначала впиши в текст, что на нём не так</t>
        </is>
      </c>
      <c r="R397" s="38" t="n">
        <v>2</v>
      </c>
      <c r="S397" s="38" t="inlineStr">
        <is>
          <t>Нижегородская область</t>
        </is>
      </c>
      <c r="T397" s="38" t="inlineStr">
        <is>
          <t>Здравствуйте! Смотрел в 2ГИС кровельные компании в Нижегородской области, зашёл на ваш сайт с телефона: [ЧТО НЕ ТАК НА САЙТЕ].
Могу за вечер собрать вариант под «Меридиан», где это исправлено, и показать. Собрать?</t>
        </is>
      </c>
      <c r="U397" s="38">
        <f>B397&amp;IF(D397&lt;&gt;""," · "&amp;D397,"")&amp;IF(F397&lt;&gt;"",CHAR(10)&amp;F397,"")</f>
        <v/>
      </c>
      <c r="V397" s="38">
        <f>IF(OR(F397="просрочено",F397="сегодня",F397="укажи дату",LEFT(F397,6)="молчит"),1,0)</f>
        <v/>
      </c>
    </row>
    <row r="398" ht="24" customHeight="1">
      <c r="A398" s="38" t="n">
        <v>397</v>
      </c>
      <c r="B398" s="32" t="inlineStr">
        <is>
          <t>Грандстрой</t>
        </is>
      </c>
      <c r="C398" s="49" t="inlineStr">
        <is>
          <t>Очередь</t>
        </is>
      </c>
      <c r="D398" s="49" t="n"/>
      <c r="E398" s="50" t="n"/>
      <c r="F398" s="51">
        <f>IF(OR(C398="",C398="Очередь",C398="Клиент",C398="Отказ",C398="Не писать"),"",IF(E398="",IF(AND(C398="Отправлено",I398&lt;&gt;"",TODAY()-INT(I398)&gt;=3),"молчит "&amp;(TODAY()-INT(I398))&amp;" дн.",IF(OR(C398="Перезвонить",C398="Созвон"),"укажи дату","")),IF(INT(E398)&lt;TODAY(),"просрочено",IF(INT(E398)=TODAY(),"сегодня",IF(INT(E398)=TODAY()+1,"завтра",TEXT(E398,"dd.mm"))))))</f>
        <v/>
      </c>
      <c r="G398" s="52" t="n"/>
      <c r="H398" s="36" t="inlineStr">
        <is>
          <t>79534153043</t>
        </is>
      </c>
      <c r="I398" s="53" t="n"/>
      <c r="J398" s="38">
        <f>IFERROR(MATCH(C398,'Справка'!$A$12:$A$21,0),99)</f>
        <v/>
      </c>
      <c r="K398" s="39">
        <f>HYPERLINK("https://wa.me/"&amp;H398&amp;"?text="&amp;ENCODEURL(T398),"✉ Написать")</f>
        <v/>
      </c>
      <c r="L398" s="39">
        <f>HYPERLINK("https://wa.me/"&amp;H398,"Открыть чат")</f>
        <v/>
      </c>
      <c r="M398" s="38" t="inlineStr">
        <is>
          <t>Нижний Новгород</t>
        </is>
      </c>
      <c r="N398" s="38" t="n"/>
      <c r="O398" s="38" t="n"/>
      <c r="P398" s="38" t="inlineStr">
        <is>
          <t>строим52.рф</t>
        </is>
      </c>
      <c r="Q398" s="38" t="inlineStr">
        <is>
          <t>есть сайт: сначала впиши в текст, что на нём не так</t>
        </is>
      </c>
      <c r="R398" s="38" t="n">
        <v>2</v>
      </c>
      <c r="S398" s="38" t="inlineStr">
        <is>
          <t>Нижегородская область</t>
        </is>
      </c>
      <c r="T398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«Грандстрой», где это исправлено, и показать. Собрать?</t>
        </is>
      </c>
      <c r="U398" s="38">
        <f>B398&amp;IF(D398&lt;&gt;""," · "&amp;D398,"")&amp;IF(F398&lt;&gt;"",CHAR(10)&amp;F398,"")</f>
        <v/>
      </c>
      <c r="V398" s="38">
        <f>IF(OR(F398="просрочено",F398="сегодня",F398="укажи дату",LEFT(F398,6)="молчит"),1,0)</f>
        <v/>
      </c>
    </row>
    <row r="399" ht="24" customHeight="1">
      <c r="A399" s="38" t="n">
        <v>398</v>
      </c>
      <c r="B399" s="32" t="inlineStr">
        <is>
          <t>СкифСтрой</t>
        </is>
      </c>
      <c r="C399" s="49" t="inlineStr">
        <is>
          <t>Очередь</t>
        </is>
      </c>
      <c r="D399" s="49" t="n"/>
      <c r="E399" s="50" t="n"/>
      <c r="F399" s="51">
        <f>IF(OR(C399="",C399="Очередь",C399="Клиент",C399="Отказ",C399="Не писать"),"",IF(E399="",IF(AND(C399="Отправлено",I399&lt;&gt;"",TODAY()-INT(I399)&gt;=3),"молчит "&amp;(TODAY()-INT(I399))&amp;" дн.",IF(OR(C399="Перезвонить",C399="Созвон"),"укажи дату","")),IF(INT(E399)&lt;TODAY(),"просрочено",IF(INT(E399)=TODAY(),"сегодня",IF(INT(E399)=TODAY()+1,"завтра",TEXT(E399,"dd.mm"))))))</f>
        <v/>
      </c>
      <c r="G399" s="52" t="n"/>
      <c r="H399" s="36" t="inlineStr">
        <is>
          <t>79200085168</t>
        </is>
      </c>
      <c r="I399" s="53" t="n"/>
      <c r="J399" s="38">
        <f>IFERROR(MATCH(C399,'Справка'!$A$12:$A$21,0),99)</f>
        <v/>
      </c>
      <c r="K399" s="39">
        <f>HYPERLINK("https://wa.me/"&amp;H399&amp;"?text="&amp;ENCODEURL(T399),"✉ Написать")</f>
        <v/>
      </c>
      <c r="L399" s="39">
        <f>HYPERLINK("https://wa.me/"&amp;H399,"Открыть чат")</f>
        <v/>
      </c>
      <c r="M399" s="38" t="inlineStr">
        <is>
          <t>Дзержинск</t>
        </is>
      </c>
      <c r="N399" s="38" t="n"/>
      <c r="O399" s="38" t="n"/>
      <c r="P399" s="38" t="inlineStr">
        <is>
          <t>skif-stroy.com</t>
        </is>
      </c>
      <c r="Q399" s="38" t="inlineStr">
        <is>
          <t>есть сайт: сначала впиши в текст, что на нём не так</t>
        </is>
      </c>
      <c r="R399" s="38" t="n">
        <v>2</v>
      </c>
      <c r="S399" s="38" t="inlineStr">
        <is>
          <t>Нижегородская область</t>
        </is>
      </c>
      <c r="T399" s="38" t="inlineStr">
        <is>
          <t>Здравствуйте! Смотрел в 2ГИС кровельные компании в Дзержинске, зашёл на ваш сайт с телефона: [ЧТО НЕ ТАК НА САЙТЕ].
Могу за вечер собрать вариант под «СкифСтрой», где это исправлено, и показать. Собрать?</t>
        </is>
      </c>
      <c r="U399" s="38">
        <f>B399&amp;IF(D399&lt;&gt;""," · "&amp;D399,"")&amp;IF(F399&lt;&gt;"",CHAR(10)&amp;F399,"")</f>
        <v/>
      </c>
      <c r="V399" s="38">
        <f>IF(OR(F399="просрочено",F399="сегодня",F399="укажи дату",LEFT(F399,6)="молчит"),1,0)</f>
        <v/>
      </c>
    </row>
    <row r="400" ht="24" customHeight="1">
      <c r="A400" s="38" t="n">
        <v>399</v>
      </c>
      <c r="B400" s="32" t="inlineStr">
        <is>
          <t>Изба-НН</t>
        </is>
      </c>
      <c r="C400" s="49" t="inlineStr">
        <is>
          <t>Очередь</t>
        </is>
      </c>
      <c r="D400" s="49" t="n"/>
      <c r="E400" s="50" t="n"/>
      <c r="F400" s="51">
        <f>IF(OR(C400="",C400="Очередь",C400="Клиент",C400="Отказ",C400="Не писать"),"",IF(E400="",IF(AND(C400="Отправлено",I400&lt;&gt;"",TODAY()-INT(I400)&gt;=3),"молчит "&amp;(TODAY()-INT(I400))&amp;" дн.",IF(OR(C400="Перезвонить",C400="Созвон"),"укажи дату","")),IF(INT(E400)&lt;TODAY(),"просрочено",IF(INT(E400)=TODAY(),"сегодня",IF(INT(E400)=TODAY()+1,"завтра",TEXT(E400,"dd.mm"))))))</f>
        <v/>
      </c>
      <c r="G400" s="52" t="n"/>
      <c r="H400" s="36" t="inlineStr">
        <is>
          <t>79306676624</t>
        </is>
      </c>
      <c r="I400" s="53" t="n"/>
      <c r="J400" s="38">
        <f>IFERROR(MATCH(C400,'Справка'!$A$12:$A$21,0),99)</f>
        <v/>
      </c>
      <c r="K400" s="39">
        <f>HYPERLINK("https://wa.me/"&amp;H400&amp;"?text="&amp;ENCODEURL(T400),"✉ Написать")</f>
        <v/>
      </c>
      <c r="L400" s="39">
        <f>HYPERLINK("https://wa.me/"&amp;H400,"Открыть чат")</f>
        <v/>
      </c>
      <c r="M400" s="38" t="inlineStr">
        <is>
          <t>Дзержинск</t>
        </is>
      </c>
      <c r="N400" s="38" t="n"/>
      <c r="O400" s="38" t="n"/>
      <c r="P400" s="38" t="inlineStr">
        <is>
          <t>sk-izba.com</t>
        </is>
      </c>
      <c r="Q400" s="38" t="inlineStr">
        <is>
          <t>есть сайт: сначала впиши в текст, что на нём не так</t>
        </is>
      </c>
      <c r="R400" s="38" t="n">
        <v>2</v>
      </c>
      <c r="S400" s="38" t="inlineStr">
        <is>
          <t>Нижегородская область</t>
        </is>
      </c>
      <c r="T400" s="38" t="inlineStr">
        <is>
          <t>Здравствуйте! Смотрел в 2ГИС кровельные компании в Дзержинске, зашёл на ваш сайт с телефона: [ЧТО НЕ ТАК НА САЙТЕ].
Могу за вечер собрать вариант под «Изба-НН», где это исправлено, и показать. Собрать?</t>
        </is>
      </c>
      <c r="U400" s="38">
        <f>B400&amp;IF(D400&lt;&gt;""," · "&amp;D400,"")&amp;IF(F400&lt;&gt;"",CHAR(10)&amp;F400,"")</f>
        <v/>
      </c>
      <c r="V400" s="38">
        <f>IF(OR(F400="просрочено",F400="сегодня",F400="укажи дату",LEFT(F400,6)="молчит"),1,0)</f>
        <v/>
      </c>
    </row>
    <row r="401" ht="24" customHeight="1">
      <c r="A401" s="38" t="n">
        <v>400</v>
      </c>
      <c r="B401" s="32" t="inlineStr">
        <is>
          <t>ТИМ</t>
        </is>
      </c>
      <c r="C401" s="49" t="inlineStr">
        <is>
          <t>Очередь</t>
        </is>
      </c>
      <c r="D401" s="49" t="n"/>
      <c r="E401" s="50" t="n"/>
      <c r="F401" s="51">
        <f>IF(OR(C401="",C401="Очередь",C401="Клиент",C401="Отказ",C401="Не писать"),"",IF(E401="",IF(AND(C401="Отправлено",I401&lt;&gt;"",TODAY()-INT(I401)&gt;=3),"молчит "&amp;(TODAY()-INT(I401))&amp;" дн.",IF(OR(C401="Перезвонить",C401="Созвон"),"укажи дату","")),IF(INT(E401)&lt;TODAY(),"просрочено",IF(INT(E401)=TODAY(),"сегодня",IF(INT(E401)=TODAY()+1,"завтра",TEXT(E401,"dd.mm"))))))</f>
        <v/>
      </c>
      <c r="G401" s="52" t="n"/>
      <c r="H401" s="36" t="inlineStr">
        <is>
          <t>79200427604</t>
        </is>
      </c>
      <c r="I401" s="53" t="n"/>
      <c r="J401" s="38">
        <f>IFERROR(MATCH(C401,'Справка'!$A$12:$A$21,0),99)</f>
        <v/>
      </c>
      <c r="K401" s="39">
        <f>HYPERLINK("https://wa.me/"&amp;H401&amp;"?text="&amp;ENCODEURL(T401),"✉ Написать")</f>
        <v/>
      </c>
      <c r="L401" s="39">
        <f>HYPERLINK("https://wa.me/"&amp;H401,"Открыть чат")</f>
        <v/>
      </c>
      <c r="M401" s="38" t="inlineStr">
        <is>
          <t>Дзержинск</t>
        </is>
      </c>
      <c r="N401" s="38" t="n"/>
      <c r="O401" s="38" t="n"/>
      <c r="P401" s="38" t="inlineStr">
        <is>
          <t>domaizblokov52.ru</t>
        </is>
      </c>
      <c r="Q401" s="38" t="inlineStr">
        <is>
          <t>есть сайт: сначала впиши в текст, что на нём не так</t>
        </is>
      </c>
      <c r="R401" s="38" t="n">
        <v>2</v>
      </c>
      <c r="S401" s="38" t="inlineStr">
        <is>
          <t>Нижегородская область</t>
        </is>
      </c>
      <c r="T401" s="38" t="inlineStr">
        <is>
          <t>Здравствуйте! Смотрел в 2ГИС кровельные компании в Дзержинске, зашёл на ваш сайт с телефона: [ЧТО НЕ ТАК НА САЙТЕ].
Могу за вечер собрать вариант под «ТИМ», где это исправлено, и показать. Собрать?</t>
        </is>
      </c>
      <c r="U401" s="38">
        <f>B401&amp;IF(D401&lt;&gt;""," · "&amp;D401,"")&amp;IF(F401&lt;&gt;"",CHAR(10)&amp;F401,"")</f>
        <v/>
      </c>
      <c r="V401" s="38">
        <f>IF(OR(F401="просрочено",F401="сегодня",F401="укажи дату",LEFT(F401,6)="молчит"),1,0)</f>
        <v/>
      </c>
    </row>
    <row r="402" ht="24" customHeight="1">
      <c r="A402" s="38" t="n">
        <v>401</v>
      </c>
      <c r="B402" s="32" t="inlineStr">
        <is>
          <t>Древо-Style</t>
        </is>
      </c>
      <c r="C402" s="49" t="inlineStr">
        <is>
          <t>Очередь</t>
        </is>
      </c>
      <c r="D402" s="49" t="n"/>
      <c r="E402" s="50" t="n"/>
      <c r="F402" s="51">
        <f>IF(OR(C402="",C402="Очередь",C402="Клиент",C402="Отказ",C402="Не писать"),"",IF(E402="",IF(AND(C402="Отправлено",I402&lt;&gt;"",TODAY()-INT(I402)&gt;=3),"молчит "&amp;(TODAY()-INT(I402))&amp;" дн.",IF(OR(C402="Перезвонить",C402="Созвон"),"укажи дату","")),IF(INT(E402)&lt;TODAY(),"просрочено",IF(INT(E402)=TODAY(),"сегодня",IF(INT(E402)=TODAY()+1,"завтра",TEXT(E402,"dd.mm"))))))</f>
        <v/>
      </c>
      <c r="G402" s="52" t="n"/>
      <c r="H402" s="36" t="inlineStr">
        <is>
          <t>79308034302</t>
        </is>
      </c>
      <c r="I402" s="53" t="n"/>
      <c r="J402" s="38">
        <f>IFERROR(MATCH(C402,'Справка'!$A$12:$A$21,0),99)</f>
        <v/>
      </c>
      <c r="K402" s="39">
        <f>HYPERLINK("https://wa.me/"&amp;H402&amp;"?text="&amp;ENCODEURL(T402),"✉ Написать")</f>
        <v/>
      </c>
      <c r="L402" s="39">
        <f>HYPERLINK("https://wa.me/"&amp;H402,"Открыть чат")</f>
        <v/>
      </c>
      <c r="M402" s="38" t="inlineStr">
        <is>
          <t>с. Алешково</t>
        </is>
      </c>
      <c r="N402" s="38" t="n"/>
      <c r="O402" s="38" t="n"/>
      <c r="P402" s="38" t="inlineStr">
        <is>
          <t>www.drevo-bg.ru/</t>
        </is>
      </c>
      <c r="Q402" s="38" t="inlineStr">
        <is>
          <t>есть сайт: сначала впиши в текст, что на нём не так</t>
        </is>
      </c>
      <c r="R402" s="38" t="n">
        <v>2</v>
      </c>
      <c r="S402" s="38" t="inlineStr">
        <is>
          <t>Нижегородская область</t>
        </is>
      </c>
      <c r="T402" s="38" t="inlineStr">
        <is>
          <t>Здравствуйте! Смотрел в 2ГИС кровельные компании в Нижегородской области, зашёл на ваш сайт с телефона: [ЧТО НЕ ТАК НА САЙТЕ].
Могу за вечер собрать вариант под «Древо-Style», где это исправлено, и показать. Собрать?</t>
        </is>
      </c>
      <c r="U402" s="38">
        <f>B402&amp;IF(D402&lt;&gt;""," · "&amp;D402,"")&amp;IF(F402&lt;&gt;"",CHAR(10)&amp;F402,"")</f>
        <v/>
      </c>
      <c r="V402" s="38">
        <f>IF(OR(F402="просрочено",F402="сегодня",F402="укажи дату",LEFT(F402,6)="молчит"),1,0)</f>
        <v/>
      </c>
    </row>
    <row r="403" ht="24" customHeight="1">
      <c r="A403" s="38" t="n">
        <v>402</v>
      </c>
      <c r="B403" s="32" t="inlineStr">
        <is>
          <t>Технология</t>
        </is>
      </c>
      <c r="C403" s="49" t="inlineStr">
        <is>
          <t>Очередь</t>
        </is>
      </c>
      <c r="D403" s="49" t="n"/>
      <c r="E403" s="50" t="n"/>
      <c r="F403" s="51">
        <f>IF(OR(C403="",C403="Очередь",C403="Клиент",C403="Отказ",C403="Не писать"),"",IF(E403="",IF(AND(C403="Отправлено",I403&lt;&gt;"",TODAY()-INT(I403)&gt;=3),"молчит "&amp;(TODAY()-INT(I403))&amp;" дн.",IF(OR(C403="Перезвонить",C403="Созвон"),"укажи дату","")),IF(INT(E403)&lt;TODAY(),"просрочено",IF(INT(E403)=TODAY(),"сегодня",IF(INT(E403)=TODAY()+1,"завтра",TEXT(E403,"dd.mm"))))))</f>
        <v/>
      </c>
      <c r="G403" s="52" t="n"/>
      <c r="H403" s="36" t="inlineStr">
        <is>
          <t>79506198202</t>
        </is>
      </c>
      <c r="I403" s="53" t="n"/>
      <c r="J403" s="38">
        <f>IFERROR(MATCH(C403,'Справка'!$A$12:$A$21,0),99)</f>
        <v/>
      </c>
      <c r="K403" s="39">
        <f>HYPERLINK("https://wa.me/"&amp;H403&amp;"?text="&amp;ENCODEURL(T403),"✉ Написать")</f>
        <v/>
      </c>
      <c r="L403" s="39">
        <f>HYPERLINK("https://wa.me/"&amp;H403,"Открыть чат")</f>
        <v/>
      </c>
      <c r="M403" s="38" t="inlineStr">
        <is>
          <t>Арзамас</t>
        </is>
      </c>
      <c r="N403" s="38" t="n"/>
      <c r="O403" s="38" t="n"/>
      <c r="P403" s="38" t="inlineStr">
        <is>
          <t>кровля.технология52.рф</t>
        </is>
      </c>
      <c r="Q403" s="38" t="inlineStr">
        <is>
          <t>есть сайт: сначала впиши в текст, что на нём не так</t>
        </is>
      </c>
      <c r="R403" s="38" t="n">
        <v>2</v>
      </c>
      <c r="S403" s="38" t="inlineStr">
        <is>
          <t>Нижегородская область</t>
        </is>
      </c>
      <c r="T403" s="38" t="inlineStr">
        <is>
          <t>Здравствуйте! Смотрел в 2ГИС кровельные компании в Арзамасе, зашёл на ваш сайт с телефона: [ЧТО НЕ ТАК НА САЙТЕ].
Могу за вечер собрать вариант под «Технология», где это исправлено, и показать. Собрать?</t>
        </is>
      </c>
      <c r="U403" s="38">
        <f>B403&amp;IF(D403&lt;&gt;""," · "&amp;D403,"")&amp;IF(F403&lt;&gt;"",CHAR(10)&amp;F403,"")</f>
        <v/>
      </c>
      <c r="V403" s="38">
        <f>IF(OR(F403="просрочено",F403="сегодня",F403="укажи дату",LEFT(F403,6)="молчит"),1,0)</f>
        <v/>
      </c>
    </row>
    <row r="404" ht="24" customHeight="1">
      <c r="A404" s="38" t="n">
        <v>403</v>
      </c>
      <c r="B404" s="32" t="inlineStr">
        <is>
          <t>Рыбачий</t>
        </is>
      </c>
      <c r="C404" s="49" t="inlineStr">
        <is>
          <t>Очередь</t>
        </is>
      </c>
      <c r="D404" s="49" t="n"/>
      <c r="E404" s="50" t="n"/>
      <c r="F404" s="51">
        <f>IF(OR(C404="",C404="Очередь",C404="Клиент",C404="Отказ",C404="Не писать"),"",IF(E404="",IF(AND(C404="Отправлено",I404&lt;&gt;"",TODAY()-INT(I404)&gt;=3),"молчит "&amp;(TODAY()-INT(I404))&amp;" дн.",IF(OR(C404="Перезвонить",C404="Созвон"),"укажи дату","")),IF(INT(E404)&lt;TODAY(),"просрочено",IF(INT(E404)=TODAY(),"сегодня",IF(INT(E404)=TODAY()+1,"завтра",TEXT(E404,"dd.mm"))))))</f>
        <v/>
      </c>
      <c r="G404" s="52" t="n"/>
      <c r="H404" s="36" t="inlineStr">
        <is>
          <t>79994651611</t>
        </is>
      </c>
      <c r="I404" s="53" t="n"/>
      <c r="J404" s="38">
        <f>IFERROR(MATCH(C404,'Справка'!$A$12:$A$21,0),99)</f>
        <v/>
      </c>
      <c r="K404" s="39">
        <f>HYPERLINK("https://wa.me/"&amp;H404&amp;"?text="&amp;ENCODEURL(T404),"✉ Написать")</f>
        <v/>
      </c>
      <c r="L404" s="39">
        <f>HYPERLINK("https://wa.me/"&amp;H404,"Открыть чат")</f>
        <v/>
      </c>
      <c r="M404" s="38" t="inlineStr">
        <is>
          <t>Новосибирская область</t>
        </is>
      </c>
      <c r="N404" s="38" t="n">
        <v>5</v>
      </c>
      <c r="O404" s="38" t="n">
        <v>1</v>
      </c>
      <c r="P404" s="38" t="inlineStr">
        <is>
          <t>rybachi.ru</t>
        </is>
      </c>
      <c r="Q404" s="38" t="inlineStr">
        <is>
          <t>есть сайт: сначала впиши в текст, что на нём не так</t>
        </is>
      </c>
      <c r="R404" s="38" t="n">
        <v>2</v>
      </c>
      <c r="S404" s="38" t="inlineStr">
        <is>
          <t>Новосибирская область</t>
        </is>
      </c>
      <c r="T404" s="38" t="inlineStr">
        <is>
          <t>Здравствуйте! Смотрел в 2ГИС кровельные компании в Новосибирской области, зашёл на ваш сайт с телефона: [ЧТО НЕ ТАК НА САЙТЕ].
Могу за вечер собрать вариант под «Рыбачий», где это исправлено, и показать. Собрать?</t>
        </is>
      </c>
      <c r="U404" s="38">
        <f>B404&amp;IF(D404&lt;&gt;""," · "&amp;D404,"")&amp;IF(F404&lt;&gt;"",CHAR(10)&amp;F404,"")</f>
        <v/>
      </c>
      <c r="V404" s="38">
        <f>IF(OR(F404="просрочено",F404="сегодня",F404="укажи дату",LEFT(F404,6)="молчит"),1,0)</f>
        <v/>
      </c>
    </row>
    <row r="405" ht="24" customHeight="1">
      <c r="A405" s="38" t="n">
        <v>404</v>
      </c>
      <c r="B405" s="32" t="inlineStr">
        <is>
          <t>Arma строй</t>
        </is>
      </c>
      <c r="C405" s="49" t="inlineStr">
        <is>
          <t>Очередь</t>
        </is>
      </c>
      <c r="D405" s="49" t="n"/>
      <c r="E405" s="50" t="n"/>
      <c r="F405" s="51">
        <f>IF(OR(C405="",C405="Очередь",C405="Клиент",C405="Отказ",C405="Не писать"),"",IF(E405="",IF(AND(C405="Отправлено",I405&lt;&gt;"",TODAY()-INT(I405)&gt;=3),"молчит "&amp;(TODAY()-INT(I405))&amp;" дн.",IF(OR(C405="Перезвонить",C405="Созвон"),"укажи дату","")),IF(INT(E405)&lt;TODAY(),"просрочено",IF(INT(E405)=TODAY(),"сегодня",IF(INT(E405)=TODAY()+1,"завтра",TEXT(E405,"dd.mm"))))))</f>
        <v/>
      </c>
      <c r="G405" s="52" t="n"/>
      <c r="H405" s="36" t="inlineStr">
        <is>
          <t>79274905858</t>
        </is>
      </c>
      <c r="I405" s="53" t="n"/>
      <c r="J405" s="38">
        <f>IFERROR(MATCH(C405,'Справка'!$A$12:$A$21,0),99)</f>
        <v/>
      </c>
      <c r="K405" s="39">
        <f>HYPERLINK("https://wa.me/"&amp;H405&amp;"?text="&amp;ENCODEURL(T405),"✉ Написать")</f>
        <v/>
      </c>
      <c r="L405" s="39">
        <f>HYPERLINK("https://wa.me/"&amp;H405,"Открыть чат")</f>
        <v/>
      </c>
      <c r="M405" s="38" t="inlineStr">
        <is>
          <t>Казань</t>
        </is>
      </c>
      <c r="N405" s="38" t="n">
        <v>5</v>
      </c>
      <c r="O405" s="38" t="n">
        <v>27</v>
      </c>
      <c r="P405" s="38" t="inlineStr">
        <is>
          <t>арма-строй.рф</t>
        </is>
      </c>
      <c r="Q405" s="38" t="inlineStr">
        <is>
          <t>есть сайт: сначала впиши в текст, что на нём не так</t>
        </is>
      </c>
      <c r="R405" s="38" t="n">
        <v>2</v>
      </c>
      <c r="S405" s="38" t="inlineStr">
        <is>
          <t>Республика Татарстан</t>
        </is>
      </c>
      <c r="T405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«Arma строй», где это исправлено, и показать. Собрать?</t>
        </is>
      </c>
      <c r="U405" s="38">
        <f>B405&amp;IF(D405&lt;&gt;""," · "&amp;D405,"")&amp;IF(F405&lt;&gt;"",CHAR(10)&amp;F405,"")</f>
        <v/>
      </c>
      <c r="V405" s="38">
        <f>IF(OR(F405="просрочено",F405="сегодня",F405="укажи дату",LEFT(F405,6)="молчит"),1,0)</f>
        <v/>
      </c>
    </row>
    <row r="406" ht="24" customHeight="1">
      <c r="A406" s="38" t="n">
        <v>405</v>
      </c>
      <c r="B406" s="32" t="inlineStr">
        <is>
          <t>Продом</t>
        </is>
      </c>
      <c r="C406" s="49" t="inlineStr">
        <is>
          <t>Очередь</t>
        </is>
      </c>
      <c r="D406" s="49" t="n"/>
      <c r="E406" s="50" t="n"/>
      <c r="F406" s="51">
        <f>IF(OR(C406="",C406="Очередь",C406="Клиент",C406="Отказ",C406="Не писать"),"",IF(E406="",IF(AND(C406="Отправлено",I406&lt;&gt;"",TODAY()-INT(I406)&gt;=3),"молчит "&amp;(TODAY()-INT(I406))&amp;" дн.",IF(OR(C406="Перезвонить",C406="Созвон"),"укажи дату","")),IF(INT(E406)&lt;TODAY(),"просрочено",IF(INT(E406)=TODAY(),"сегодня",IF(INT(E406)=TODAY()+1,"завтра",TEXT(E406,"dd.mm"))))))</f>
        <v/>
      </c>
      <c r="G406" s="52" t="n"/>
      <c r="H406" s="36" t="inlineStr">
        <is>
          <t>79600485984</t>
        </is>
      </c>
      <c r="I406" s="53" t="n"/>
      <c r="J406" s="38">
        <f>IFERROR(MATCH(C406,'Справка'!$A$12:$A$21,0),99)</f>
        <v/>
      </c>
      <c r="K406" s="39">
        <f>HYPERLINK("https://wa.me/"&amp;H406&amp;"?text="&amp;ENCODEURL(T406),"✉ Написать")</f>
        <v/>
      </c>
      <c r="L406" s="39">
        <f>HYPERLINK("https://wa.me/"&amp;H406,"Открыть чат")</f>
        <v/>
      </c>
      <c r="M406" s="38" t="inlineStr">
        <is>
          <t>Казань</t>
        </is>
      </c>
      <c r="N406" s="38" t="n">
        <v>4.8</v>
      </c>
      <c r="O406" s="38" t="n">
        <v>21</v>
      </c>
      <c r="P406" s="38" t="inlineStr">
        <is>
          <t>pro-dom116.ru</t>
        </is>
      </c>
      <c r="Q406" s="38" t="inlineStr">
        <is>
          <t>есть сайт: сначала впиши в текст, что на нём не так</t>
        </is>
      </c>
      <c r="R406" s="38" t="n">
        <v>2</v>
      </c>
      <c r="S406" s="38" t="inlineStr">
        <is>
          <t>Республика Татарстан</t>
        </is>
      </c>
      <c r="T406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«Продом», где это исправлено, и показать. Собрать?</t>
        </is>
      </c>
      <c r="U406" s="38">
        <f>B406&amp;IF(D406&lt;&gt;""," · "&amp;D406,"")&amp;IF(F406&lt;&gt;"",CHAR(10)&amp;F406,"")</f>
        <v/>
      </c>
      <c r="V406" s="38">
        <f>IF(OR(F406="просрочено",F406="сегодня",F406="укажи дату",LEFT(F406,6)="молчит"),1,0)</f>
        <v/>
      </c>
    </row>
    <row r="407" ht="24" customHeight="1">
      <c r="A407" s="38" t="n">
        <v>406</v>
      </c>
      <c r="B407" s="32" t="inlineStr">
        <is>
          <t>Грейстоун</t>
        </is>
      </c>
      <c r="C407" s="49" t="inlineStr">
        <is>
          <t>Очередь</t>
        </is>
      </c>
      <c r="D407" s="49" t="n"/>
      <c r="E407" s="50" t="n"/>
      <c r="F407" s="51">
        <f>IF(OR(C407="",C407="Очередь",C407="Клиент",C407="Отказ",C407="Не писать"),"",IF(E407="",IF(AND(C407="Отправлено",I407&lt;&gt;"",TODAY()-INT(I407)&gt;=3),"молчит "&amp;(TODAY()-INT(I407))&amp;" дн.",IF(OR(C407="Перезвонить",C407="Созвон"),"укажи дату","")),IF(INT(E407)&lt;TODAY(),"просрочено",IF(INT(E407)=TODAY(),"сегодня",IF(INT(E407)=TODAY()+1,"завтра",TEXT(E407,"dd.mm"))))))</f>
        <v/>
      </c>
      <c r="G407" s="52" t="n"/>
      <c r="H407" s="36" t="inlineStr">
        <is>
          <t>79370067808</t>
        </is>
      </c>
      <c r="I407" s="53" t="n"/>
      <c r="J407" s="38">
        <f>IFERROR(MATCH(C407,'Справка'!$A$12:$A$21,0),99)</f>
        <v/>
      </c>
      <c r="K407" s="39">
        <f>HYPERLINK("https://wa.me/"&amp;H407&amp;"?text="&amp;ENCODEURL(T407),"✉ Написать")</f>
        <v/>
      </c>
      <c r="L407" s="39">
        <f>HYPERLINK("https://wa.me/"&amp;H407,"Открыть чат")</f>
        <v/>
      </c>
      <c r="M407" s="38" t="inlineStr">
        <is>
          <t>Казань</t>
        </is>
      </c>
      <c r="N407" s="38" t="n">
        <v>4.8</v>
      </c>
      <c r="O407" s="38" t="n">
        <v>20</v>
      </c>
      <c r="P407" s="38" t="inlineStr">
        <is>
          <t>казань.грейстоун.рф</t>
        </is>
      </c>
      <c r="Q407" s="38" t="inlineStr">
        <is>
          <t>есть сайт: сначала впиши в текст, что на нём не так</t>
        </is>
      </c>
      <c r="R407" s="38" t="n">
        <v>2</v>
      </c>
      <c r="S407" s="38" t="inlineStr">
        <is>
          <t>Республика Татарстан</t>
        </is>
      </c>
      <c r="T407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«Грейстоун», где это исправлено, и показать. Собрать?</t>
        </is>
      </c>
      <c r="U407" s="38">
        <f>B407&amp;IF(D407&lt;&gt;""," · "&amp;D407,"")&amp;IF(F407&lt;&gt;"",CHAR(10)&amp;F407,"")</f>
        <v/>
      </c>
      <c r="V407" s="38">
        <f>IF(OR(F407="просрочено",F407="сегодня",F407="укажи дату",LEFT(F407,6)="молчит"),1,0)</f>
        <v/>
      </c>
    </row>
    <row r="408" ht="24" customHeight="1">
      <c r="A408" s="38" t="n">
        <v>407</v>
      </c>
      <c r="B408" s="32" t="inlineStr">
        <is>
          <t>Кедр</t>
        </is>
      </c>
      <c r="C408" s="49" t="inlineStr">
        <is>
          <t>Очередь</t>
        </is>
      </c>
      <c r="D408" s="49" t="n"/>
      <c r="E408" s="50" t="n"/>
      <c r="F408" s="51">
        <f>IF(OR(C408="",C408="Очередь",C408="Клиент",C408="Отказ",C408="Не писать"),"",IF(E408="",IF(AND(C408="Отправлено",I408&lt;&gt;"",TODAY()-INT(I408)&gt;=3),"молчит "&amp;(TODAY()-INT(I408))&amp;" дн.",IF(OR(C408="Перезвонить",C408="Созвон"),"укажи дату","")),IF(INT(E408)&lt;TODAY(),"просрочено",IF(INT(E408)=TODAY(),"сегодня",IF(INT(E408)=TODAY()+1,"завтра",TEXT(E408,"dd.mm"))))))</f>
        <v/>
      </c>
      <c r="G408" s="52" t="n"/>
      <c r="H408" s="36" t="inlineStr">
        <is>
          <t>79662401954</t>
        </is>
      </c>
      <c r="I408" s="53" t="n"/>
      <c r="J408" s="38">
        <f>IFERROR(MATCH(C408,'Справка'!$A$12:$A$21,0),99)</f>
        <v/>
      </c>
      <c r="K408" s="39">
        <f>HYPERLINK("https://wa.me/"&amp;H408&amp;"?text="&amp;ENCODEURL(T408),"✉ Написать")</f>
        <v/>
      </c>
      <c r="L408" s="39">
        <f>HYPERLINK("https://wa.me/"&amp;H408,"Открыть чат")</f>
        <v/>
      </c>
      <c r="M408" s="38" t="inlineStr">
        <is>
          <t>Казань</t>
        </is>
      </c>
      <c r="N408" s="38" t="n">
        <v>4.8</v>
      </c>
      <c r="O408" s="38" t="n">
        <v>17</v>
      </c>
      <c r="P408" s="38" t="inlineStr">
        <is>
          <t>www.kedrdoma.ru</t>
        </is>
      </c>
      <c r="Q408" s="38" t="inlineStr">
        <is>
          <t>есть сайт: сначала впиши в текст, что на нём не так</t>
        </is>
      </c>
      <c r="R408" s="38" t="n">
        <v>2</v>
      </c>
      <c r="S408" s="38" t="inlineStr">
        <is>
          <t>Республика Татарстан</t>
        </is>
      </c>
      <c r="T408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«Кедр», где это исправлено, и показать. Собрать?</t>
        </is>
      </c>
      <c r="U408" s="38">
        <f>B408&amp;IF(D408&lt;&gt;""," · "&amp;D408,"")&amp;IF(F408&lt;&gt;"",CHAR(10)&amp;F408,"")</f>
        <v/>
      </c>
      <c r="V408" s="38">
        <f>IF(OR(F408="просрочено",F408="сегодня",F408="укажи дату",LEFT(F408,6)="молчит"),1,0)</f>
        <v/>
      </c>
    </row>
    <row r="409" ht="24" customHeight="1">
      <c r="A409" s="38" t="n">
        <v>408</v>
      </c>
      <c r="B409" s="32" t="inlineStr">
        <is>
          <t>Киндом</t>
        </is>
      </c>
      <c r="C409" s="49" t="inlineStr">
        <is>
          <t>Очередь</t>
        </is>
      </c>
      <c r="D409" s="49" t="n"/>
      <c r="E409" s="50" t="n"/>
      <c r="F409" s="51">
        <f>IF(OR(C409="",C409="Очередь",C409="Клиент",C409="Отказ",C409="Не писать"),"",IF(E409="",IF(AND(C409="Отправлено",I409&lt;&gt;"",TODAY()-INT(I409)&gt;=3),"молчит "&amp;(TODAY()-INT(I409))&amp;" дн.",IF(OR(C409="Перезвонить",C409="Созвон"),"укажи дату","")),IF(INT(E409)&lt;TODAY(),"просрочено",IF(INT(E409)=TODAY(),"сегодня",IF(INT(E409)=TODAY()+1,"завтра",TEXT(E409,"dd.mm"))))))</f>
        <v/>
      </c>
      <c r="G409" s="52" t="n"/>
      <c r="H409" s="36" t="inlineStr">
        <is>
          <t>79196493313</t>
        </is>
      </c>
      <c r="I409" s="53" t="n"/>
      <c r="J409" s="38">
        <f>IFERROR(MATCH(C409,'Справка'!$A$12:$A$21,0),99)</f>
        <v/>
      </c>
      <c r="K409" s="39">
        <f>HYPERLINK("https://wa.me/"&amp;H409&amp;"?text="&amp;ENCODEURL(T409),"✉ Написать")</f>
        <v/>
      </c>
      <c r="L409" s="39">
        <f>HYPERLINK("https://wa.me/"&amp;H409,"Открыть чат")</f>
        <v/>
      </c>
      <c r="M409" s="38" t="inlineStr">
        <is>
          <t>Казань</t>
        </is>
      </c>
      <c r="N409" s="38" t="n">
        <v>4.8</v>
      </c>
      <c r="O409" s="38" t="n">
        <v>16</v>
      </c>
      <c r="P409" s="38" t="inlineStr">
        <is>
          <t>kingdom16.ru</t>
        </is>
      </c>
      <c r="Q409" s="38" t="inlineStr">
        <is>
          <t>есть сайт: сначала впиши в текст, что на нём не так</t>
        </is>
      </c>
      <c r="R409" s="38" t="n">
        <v>2</v>
      </c>
      <c r="S409" s="38" t="inlineStr">
        <is>
          <t>Республика Татарстан</t>
        </is>
      </c>
      <c r="T409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«Киндом», где это исправлено, и показать. Собрать?</t>
        </is>
      </c>
      <c r="U409" s="38">
        <f>B409&amp;IF(D409&lt;&gt;""," · "&amp;D409,"")&amp;IF(F409&lt;&gt;"",CHAR(10)&amp;F409,"")</f>
        <v/>
      </c>
      <c r="V409" s="38">
        <f>IF(OR(F409="просрочено",F409="сегодня",F409="укажи дату",LEFT(F409,6)="молчит"),1,0)</f>
        <v/>
      </c>
    </row>
    <row r="410" ht="24" customHeight="1">
      <c r="A410" s="38" t="n">
        <v>409</v>
      </c>
      <c r="B410" s="32" t="inlineStr">
        <is>
          <t>Флагман</t>
        </is>
      </c>
      <c r="C410" s="49" t="inlineStr">
        <is>
          <t>Очередь</t>
        </is>
      </c>
      <c r="D410" s="49" t="n"/>
      <c r="E410" s="50" t="n"/>
      <c r="F410" s="51">
        <f>IF(OR(C410="",C410="Очередь",C410="Клиент",C410="Отказ",C410="Не писать"),"",IF(E410="",IF(AND(C410="Отправлено",I410&lt;&gt;"",TODAY()-INT(I410)&gt;=3),"молчит "&amp;(TODAY()-INT(I410))&amp;" дн.",IF(OR(C410="Перезвонить",C410="Созвон"),"укажи дату","")),IF(INT(E410)&lt;TODAY(),"просрочено",IF(INT(E410)=TODAY(),"сегодня",IF(INT(E410)=TODAY()+1,"завтра",TEXT(E410,"dd.mm"))))))</f>
        <v/>
      </c>
      <c r="G410" s="52" t="n"/>
      <c r="H410" s="36" t="inlineStr">
        <is>
          <t>79172432069</t>
        </is>
      </c>
      <c r="I410" s="53" t="n"/>
      <c r="J410" s="38">
        <f>IFERROR(MATCH(C410,'Справка'!$A$12:$A$21,0),99)</f>
        <v/>
      </c>
      <c r="K410" s="39">
        <f>HYPERLINK("https://wa.me/"&amp;H410&amp;"?text="&amp;ENCODEURL(T410),"✉ Написать")</f>
        <v/>
      </c>
      <c r="L410" s="39">
        <f>HYPERLINK("https://wa.me/"&amp;H410,"Открыть чат")</f>
        <v/>
      </c>
      <c r="M410" s="38" t="inlineStr">
        <is>
          <t>Казань</t>
        </is>
      </c>
      <c r="N410" s="38" t="n">
        <v>5</v>
      </c>
      <c r="O410" s="38" t="n">
        <v>15</v>
      </c>
      <c r="P410" s="38" t="inlineStr">
        <is>
          <t>pokroem.com</t>
        </is>
      </c>
      <c r="Q410" s="38" t="inlineStr">
        <is>
          <t>есть сайт: сначала впиши в текст, что на нём не так</t>
        </is>
      </c>
      <c r="R410" s="38" t="n">
        <v>2</v>
      </c>
      <c r="S410" s="38" t="inlineStr">
        <is>
          <t>Республика Татарстан</t>
        </is>
      </c>
      <c r="T410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«Флагман», где это исправлено, и показать. Собрать?</t>
        </is>
      </c>
      <c r="U410" s="38">
        <f>B410&amp;IF(D410&lt;&gt;""," · "&amp;D410,"")&amp;IF(F410&lt;&gt;"",CHAR(10)&amp;F410,"")</f>
        <v/>
      </c>
      <c r="V410" s="38">
        <f>IF(OR(F410="просрочено",F410="сегодня",F410="укажи дату",LEFT(F410,6)="молчит"),1,0)</f>
        <v/>
      </c>
    </row>
    <row r="411" ht="24" customHeight="1">
      <c r="A411" s="38" t="n">
        <v>410</v>
      </c>
      <c r="B411" s="32" t="inlineStr">
        <is>
          <t>Идея</t>
        </is>
      </c>
      <c r="C411" s="49" t="inlineStr">
        <is>
          <t>Очередь</t>
        </is>
      </c>
      <c r="D411" s="49" t="n"/>
      <c r="E411" s="50" t="n"/>
      <c r="F411" s="51">
        <f>IF(OR(C411="",C411="Очередь",C411="Клиент",C411="Отказ",C411="Не писать"),"",IF(E411="",IF(AND(C411="Отправлено",I411&lt;&gt;"",TODAY()-INT(I411)&gt;=3),"молчит "&amp;(TODAY()-INT(I411))&amp;" дн.",IF(OR(C411="Перезвонить",C411="Созвон"),"укажи дату","")),IF(INT(E411)&lt;TODAY(),"просрочено",IF(INT(E411)=TODAY(),"сегодня",IF(INT(E411)=TODAY()+1,"завтра",TEXT(E411,"dd.mm"))))))</f>
        <v/>
      </c>
      <c r="G411" s="52" t="n"/>
      <c r="H411" s="36" t="inlineStr">
        <is>
          <t>79046752853</t>
        </is>
      </c>
      <c r="I411" s="53" t="n"/>
      <c r="J411" s="38">
        <f>IFERROR(MATCH(C411,'Справка'!$A$12:$A$21,0),99)</f>
        <v/>
      </c>
      <c r="K411" s="39">
        <f>HYPERLINK("https://wa.me/"&amp;H411&amp;"?text="&amp;ENCODEURL(T411),"✉ Написать")</f>
        <v/>
      </c>
      <c r="L411" s="39">
        <f>HYPERLINK("https://wa.me/"&amp;H411,"Открыть чат")</f>
        <v/>
      </c>
      <c r="M411" s="38" t="inlineStr">
        <is>
          <t>Казань</t>
        </is>
      </c>
      <c r="N411" s="38" t="n">
        <v>4.1</v>
      </c>
      <c r="O411" s="38" t="n">
        <v>13</v>
      </c>
      <c r="P411" s="38" t="inlineStr">
        <is>
          <t>Идеястроит.рф</t>
        </is>
      </c>
      <c r="Q411" s="38" t="inlineStr">
        <is>
          <t>есть сайт: сначала впиши в текст, что на нём не так</t>
        </is>
      </c>
      <c r="R411" s="38" t="n">
        <v>2</v>
      </c>
      <c r="S411" s="38" t="inlineStr">
        <is>
          <t>Республика Татарстан</t>
        </is>
      </c>
      <c r="T411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«Идея», где это исправлено, и показать. Собрать?</t>
        </is>
      </c>
      <c r="U411" s="38">
        <f>B411&amp;IF(D411&lt;&gt;""," · "&amp;D411,"")&amp;IF(F411&lt;&gt;"",CHAR(10)&amp;F411,"")</f>
        <v/>
      </c>
      <c r="V411" s="38">
        <f>IF(OR(F411="просрочено",F411="сегодня",F411="укажи дату",LEFT(F411,6)="молчит"),1,0)</f>
        <v/>
      </c>
    </row>
    <row r="412" ht="24" customHeight="1">
      <c r="A412" s="38" t="n">
        <v>411</v>
      </c>
      <c r="B412" s="32" t="inlineStr">
        <is>
          <t>Nako Строим</t>
        </is>
      </c>
      <c r="C412" s="49" t="inlineStr">
        <is>
          <t>Очередь</t>
        </is>
      </c>
      <c r="D412" s="49" t="n"/>
      <c r="E412" s="50" t="n"/>
      <c r="F412" s="51">
        <f>IF(OR(C412="",C412="Очередь",C412="Клиент",C412="Отказ",C412="Не писать"),"",IF(E412="",IF(AND(C412="Отправлено",I412&lt;&gt;"",TODAY()-INT(I412)&gt;=3),"молчит "&amp;(TODAY()-INT(I412))&amp;" дн.",IF(OR(C412="Перезвонить",C412="Созвон"),"укажи дату","")),IF(INT(E412)&lt;TODAY(),"просрочено",IF(INT(E412)=TODAY(),"сегодня",IF(INT(E412)=TODAY()+1,"завтра",TEXT(E412,"dd.mm"))))))</f>
        <v/>
      </c>
      <c r="G412" s="52" t="n"/>
      <c r="H412" s="36" t="inlineStr">
        <is>
          <t>79093099981</t>
        </is>
      </c>
      <c r="I412" s="53" t="n"/>
      <c r="J412" s="38">
        <f>IFERROR(MATCH(C412,'Справка'!$A$12:$A$21,0),99)</f>
        <v/>
      </c>
      <c r="K412" s="39">
        <f>HYPERLINK("https://wa.me/"&amp;H412&amp;"?text="&amp;ENCODEURL(T412),"✉ Написать")</f>
        <v/>
      </c>
      <c r="L412" s="39">
        <f>HYPERLINK("https://wa.me/"&amp;H412,"Открыть чат")</f>
        <v/>
      </c>
      <c r="M412" s="38" t="inlineStr">
        <is>
          <t>Казань</t>
        </is>
      </c>
      <c r="N412" s="38" t="n">
        <v>5</v>
      </c>
      <c r="O412" s="38" t="n">
        <v>10</v>
      </c>
      <c r="P412" s="38" t="inlineStr">
        <is>
          <t>nakogroup.ru</t>
        </is>
      </c>
      <c r="Q412" s="38" t="inlineStr">
        <is>
          <t>есть сайт: сначала впиши в текст, что на нём не так</t>
        </is>
      </c>
      <c r="R412" s="38" t="n">
        <v>2</v>
      </c>
      <c r="S412" s="38" t="inlineStr">
        <is>
          <t>Республика Татарстан</t>
        </is>
      </c>
      <c r="T412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«Nako Строим», где это исправлено, и показать. Собрать?</t>
        </is>
      </c>
      <c r="U412" s="38">
        <f>B412&amp;IF(D412&lt;&gt;""," · "&amp;D412,"")&amp;IF(F412&lt;&gt;"",CHAR(10)&amp;F412,"")</f>
        <v/>
      </c>
      <c r="V412" s="38">
        <f>IF(OR(F412="просрочено",F412="сегодня",F412="укажи дату",LEFT(F412,6)="молчит"),1,0)</f>
        <v/>
      </c>
    </row>
    <row r="413" ht="24" customHeight="1">
      <c r="A413" s="38" t="n">
        <v>412</v>
      </c>
      <c r="B413" s="32" t="inlineStr">
        <is>
          <t>Новая Высота</t>
        </is>
      </c>
      <c r="C413" s="49" t="inlineStr">
        <is>
          <t>Очередь</t>
        </is>
      </c>
      <c r="D413" s="49" t="n"/>
      <c r="E413" s="50" t="n"/>
      <c r="F413" s="51">
        <f>IF(OR(C413="",C413="Очередь",C413="Клиент",C413="Отказ",C413="Не писать"),"",IF(E413="",IF(AND(C413="Отправлено",I413&lt;&gt;"",TODAY()-INT(I413)&gt;=3),"молчит "&amp;(TODAY()-INT(I413))&amp;" дн.",IF(OR(C413="Перезвонить",C413="Созвон"),"укажи дату","")),IF(INT(E413)&lt;TODAY(),"просрочено",IF(INT(E413)=TODAY(),"сегодня",IF(INT(E413)=TODAY()+1,"завтра",TEXT(E413,"dd.mm"))))))</f>
        <v/>
      </c>
      <c r="G413" s="52" t="n"/>
      <c r="H413" s="36" t="inlineStr">
        <is>
          <t>79033057082</t>
        </is>
      </c>
      <c r="I413" s="53" t="n"/>
      <c r="J413" s="38">
        <f>IFERROR(MATCH(C413,'Справка'!$A$12:$A$21,0),99)</f>
        <v/>
      </c>
      <c r="K413" s="39">
        <f>HYPERLINK("https://wa.me/"&amp;H413&amp;"?text="&amp;ENCODEURL(T413),"✉ Написать")</f>
        <v/>
      </c>
      <c r="L413" s="39">
        <f>HYPERLINK("https://wa.me/"&amp;H413,"Открыть чат")</f>
        <v/>
      </c>
      <c r="M413" s="38" t="inlineStr">
        <is>
          <t>Казань</t>
        </is>
      </c>
      <c r="N413" s="38" t="n">
        <v>5</v>
      </c>
      <c r="O413" s="38" t="n">
        <v>8</v>
      </c>
      <c r="P413" s="38" t="inlineStr">
        <is>
          <t>novv116.ru</t>
        </is>
      </c>
      <c r="Q413" s="38" t="inlineStr">
        <is>
          <t>есть сайт: сначала впиши в текст, что на нём не так</t>
        </is>
      </c>
      <c r="R413" s="38" t="n">
        <v>2</v>
      </c>
      <c r="S413" s="38" t="inlineStr">
        <is>
          <t>Республика Татарстан</t>
        </is>
      </c>
      <c r="T413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«Новая Высота», где это исправлено, и показать. Собрать?</t>
        </is>
      </c>
      <c r="U413" s="38">
        <f>B413&amp;IF(D413&lt;&gt;""," · "&amp;D413,"")&amp;IF(F413&lt;&gt;"",CHAR(10)&amp;F413,"")</f>
        <v/>
      </c>
      <c r="V413" s="38">
        <f>IF(OR(F413="просрочено",F413="сегодня",F413="укажи дату",LEFT(F413,6)="молчит"),1,0)</f>
        <v/>
      </c>
    </row>
    <row r="414" ht="24" customHeight="1">
      <c r="A414" s="38" t="n">
        <v>413</v>
      </c>
      <c r="B414" s="32" t="inlineStr">
        <is>
          <t>Дома.Рт</t>
        </is>
      </c>
      <c r="C414" s="49" t="inlineStr">
        <is>
          <t>Очередь</t>
        </is>
      </c>
      <c r="D414" s="49" t="n"/>
      <c r="E414" s="50" t="n"/>
      <c r="F414" s="51">
        <f>IF(OR(C414="",C414="Очередь",C414="Клиент",C414="Отказ",C414="Не писать"),"",IF(E414="",IF(AND(C414="Отправлено",I414&lt;&gt;"",TODAY()-INT(I414)&gt;=3),"молчит "&amp;(TODAY()-INT(I414))&amp;" дн.",IF(OR(C414="Перезвонить",C414="Созвон"),"укажи дату","")),IF(INT(E414)&lt;TODAY(),"просрочено",IF(INT(E414)=TODAY(),"сегодня",IF(INT(E414)=TODAY()+1,"завтра",TEXT(E414,"dd.mm"))))))</f>
        <v/>
      </c>
      <c r="G414" s="52" t="n"/>
      <c r="H414" s="36" t="inlineStr">
        <is>
          <t>79600776600</t>
        </is>
      </c>
      <c r="I414" s="53" t="n"/>
      <c r="J414" s="38">
        <f>IFERROR(MATCH(C414,'Справка'!$A$12:$A$21,0),99)</f>
        <v/>
      </c>
      <c r="K414" s="39">
        <f>HYPERLINK("https://wa.me/"&amp;H414&amp;"?text="&amp;ENCODEURL(T414),"✉ Написать")</f>
        <v/>
      </c>
      <c r="L414" s="39">
        <f>HYPERLINK("https://wa.me/"&amp;H414,"Открыть чат")</f>
        <v/>
      </c>
      <c r="M414" s="38" t="inlineStr">
        <is>
          <t>Казань</t>
        </is>
      </c>
      <c r="N414" s="38" t="n">
        <v>5</v>
      </c>
      <c r="O414" s="38" t="n">
        <v>6</v>
      </c>
      <c r="P414" s="38" t="inlineStr">
        <is>
          <t>domart.tatar</t>
        </is>
      </c>
      <c r="Q414" s="38" t="inlineStr">
        <is>
          <t>есть сайт: сначала впиши в текст, что на нём не так</t>
        </is>
      </c>
      <c r="R414" s="38" t="n">
        <v>2</v>
      </c>
      <c r="S414" s="38" t="inlineStr">
        <is>
          <t>Республика Татарстан</t>
        </is>
      </c>
      <c r="T414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«Дома.Рт», где это исправлено, и показать. Собрать?</t>
        </is>
      </c>
      <c r="U414" s="38">
        <f>B414&amp;IF(D414&lt;&gt;""," · "&amp;D414,"")&amp;IF(F414&lt;&gt;"",CHAR(10)&amp;F414,"")</f>
        <v/>
      </c>
      <c r="V414" s="38">
        <f>IF(OR(F414="просрочено",F414="сегодня",F414="укажи дату",LEFT(F414,6)="молчит"),1,0)</f>
        <v/>
      </c>
    </row>
    <row r="415" ht="24" customHeight="1">
      <c r="A415" s="38" t="n">
        <v>414</v>
      </c>
      <c r="B415" s="32" t="inlineStr">
        <is>
          <t>ТехСтрой</t>
        </is>
      </c>
      <c r="C415" s="49" t="inlineStr">
        <is>
          <t>Очередь</t>
        </is>
      </c>
      <c r="D415" s="49" t="n"/>
      <c r="E415" s="50" t="n"/>
      <c r="F415" s="51">
        <f>IF(OR(C415="",C415="Очередь",C415="Клиент",C415="Отказ",C415="Не писать"),"",IF(E415="",IF(AND(C415="Отправлено",I415&lt;&gt;"",TODAY()-INT(I415)&gt;=3),"молчит "&amp;(TODAY()-INT(I415))&amp;" дн.",IF(OR(C415="Перезвонить",C415="Созвон"),"укажи дату","")),IF(INT(E415)&lt;TODAY(),"просрочено",IF(INT(E415)=TODAY(),"сегодня",IF(INT(E415)=TODAY()+1,"завтра",TEXT(E415,"dd.mm"))))))</f>
        <v/>
      </c>
      <c r="G415" s="52" t="n"/>
      <c r="H415" s="36" t="inlineStr">
        <is>
          <t>79196296337</t>
        </is>
      </c>
      <c r="I415" s="53" t="n"/>
      <c r="J415" s="38">
        <f>IFERROR(MATCH(C415,'Справка'!$A$12:$A$21,0),99)</f>
        <v/>
      </c>
      <c r="K415" s="39">
        <f>HYPERLINK("https://wa.me/"&amp;H415&amp;"?text="&amp;ENCODEURL(T415),"✉ Написать")</f>
        <v/>
      </c>
      <c r="L415" s="39">
        <f>HYPERLINK("https://wa.me/"&amp;H415,"Открыть чат")</f>
        <v/>
      </c>
      <c r="M415" s="38" t="inlineStr">
        <is>
          <t>Казань</t>
        </is>
      </c>
      <c r="N415" s="38" t="n">
        <v>5</v>
      </c>
      <c r="O415" s="38" t="n">
        <v>6</v>
      </c>
      <c r="P415" s="38" t="inlineStr">
        <is>
          <t>texstroi.com</t>
        </is>
      </c>
      <c r="Q415" s="38" t="inlineStr">
        <is>
          <t>есть сайт: сначала впиши в текст, что на нём не так</t>
        </is>
      </c>
      <c r="R415" s="38" t="n">
        <v>2</v>
      </c>
      <c r="S415" s="38" t="inlineStr">
        <is>
          <t>Республика Татарстан</t>
        </is>
      </c>
      <c r="T415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«ТехСтрой», где это исправлено, и показать. Собрать?</t>
        </is>
      </c>
      <c r="U415" s="38">
        <f>B415&amp;IF(D415&lt;&gt;""," · "&amp;D415,"")&amp;IF(F415&lt;&gt;"",CHAR(10)&amp;F415,"")</f>
        <v/>
      </c>
      <c r="V415" s="38">
        <f>IF(OR(F415="просрочено",F415="сегодня",F415="укажи дату",LEFT(F415,6)="молчит"),1,0)</f>
        <v/>
      </c>
    </row>
    <row r="416" ht="24" customHeight="1">
      <c r="A416" s="38" t="n">
        <v>415</v>
      </c>
      <c r="B416" s="32" t="inlineStr">
        <is>
          <t>Тёплый Дом</t>
        </is>
      </c>
      <c r="C416" s="49" t="inlineStr">
        <is>
          <t>Очередь</t>
        </is>
      </c>
      <c r="D416" s="49" t="n"/>
      <c r="E416" s="50" t="n"/>
      <c r="F416" s="51">
        <f>IF(OR(C416="",C416="Очередь",C416="Клиент",C416="Отказ",C416="Не писать"),"",IF(E416="",IF(AND(C416="Отправлено",I416&lt;&gt;"",TODAY()-INT(I416)&gt;=3),"молчит "&amp;(TODAY()-INT(I416))&amp;" дн.",IF(OR(C416="Перезвонить",C416="Созвон"),"укажи дату","")),IF(INT(E416)&lt;TODAY(),"просрочено",IF(INT(E416)=TODAY(),"сегодня",IF(INT(E416)=TODAY()+1,"завтра",TEXT(E416,"dd.mm"))))))</f>
        <v/>
      </c>
      <c r="G416" s="52" t="n"/>
      <c r="H416" s="36" t="inlineStr">
        <is>
          <t>79276770277</t>
        </is>
      </c>
      <c r="I416" s="53" t="n"/>
      <c r="J416" s="38">
        <f>IFERROR(MATCH(C416,'Справка'!$A$12:$A$21,0),99)</f>
        <v/>
      </c>
      <c r="K416" s="39">
        <f>HYPERLINK("https://wa.me/"&amp;H416&amp;"?text="&amp;ENCODEURL(T416),"✉ Написать")</f>
        <v/>
      </c>
      <c r="L416" s="39">
        <f>HYPERLINK("https://wa.me/"&amp;H416,"Открыть чат")</f>
        <v/>
      </c>
      <c r="M416" s="38" t="inlineStr">
        <is>
          <t>Казань</t>
        </is>
      </c>
      <c r="N416" s="38" t="n">
        <v>4</v>
      </c>
      <c r="O416" s="38" t="n">
        <v>5</v>
      </c>
      <c r="P416" s="38" t="inlineStr">
        <is>
          <t>tepliy-dom116.ru</t>
        </is>
      </c>
      <c r="Q416" s="38" t="inlineStr">
        <is>
          <t>есть сайт: сначала впиши в текст, что на нём не так</t>
        </is>
      </c>
      <c r="R416" s="38" t="n">
        <v>2</v>
      </c>
      <c r="S416" s="38" t="inlineStr">
        <is>
          <t>Республика Татарстан</t>
        </is>
      </c>
      <c r="T416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«Тёплый Дом», где это исправлено, и показать. Собрать?</t>
        </is>
      </c>
      <c r="U416" s="38">
        <f>B416&amp;IF(D416&lt;&gt;""," · "&amp;D416,"")&amp;IF(F416&lt;&gt;"",CHAR(10)&amp;F416,"")</f>
        <v/>
      </c>
      <c r="V416" s="38">
        <f>IF(OR(F416="просрочено",F416="сегодня",F416="укажи дату",LEFT(F416,6)="молчит"),1,0)</f>
        <v/>
      </c>
    </row>
    <row r="417" ht="24" customHeight="1">
      <c r="A417" s="38" t="n">
        <v>416</v>
      </c>
      <c r="B417" s="32" t="inlineStr">
        <is>
          <t>Седьмое небо</t>
        </is>
      </c>
      <c r="C417" s="49" t="inlineStr">
        <is>
          <t>Очередь</t>
        </is>
      </c>
      <c r="D417" s="49" t="n"/>
      <c r="E417" s="50" t="n"/>
      <c r="F417" s="51">
        <f>IF(OR(C417="",C417="Очередь",C417="Клиент",C417="Отказ",C417="Не писать"),"",IF(E417="",IF(AND(C417="Отправлено",I417&lt;&gt;"",TODAY()-INT(I417)&gt;=3),"молчит "&amp;(TODAY()-INT(I417))&amp;" дн.",IF(OR(C417="Перезвонить",C417="Созвон"),"укажи дату","")),IF(INT(E417)&lt;TODAY(),"просрочено",IF(INT(E417)=TODAY(),"сегодня",IF(INT(E417)=TODAY()+1,"завтра",TEXT(E417,"dd.mm"))))))</f>
        <v/>
      </c>
      <c r="G417" s="52" t="n"/>
      <c r="H417" s="36" t="inlineStr">
        <is>
          <t>79196472929</t>
        </is>
      </c>
      <c r="I417" s="53" t="n"/>
      <c r="J417" s="38">
        <f>IFERROR(MATCH(C417,'Справка'!$A$12:$A$21,0),99)</f>
        <v/>
      </c>
      <c r="K417" s="39">
        <f>HYPERLINK("https://wa.me/"&amp;H417&amp;"?text="&amp;ENCODEURL(T417),"✉ Написать")</f>
        <v/>
      </c>
      <c r="L417" s="39">
        <f>HYPERLINK("https://wa.me/"&amp;H417,"Открыть чат")</f>
        <v/>
      </c>
      <c r="M417" s="38" t="inlineStr">
        <is>
          <t>Казань</t>
        </is>
      </c>
      <c r="N417" s="38" t="n">
        <v>5</v>
      </c>
      <c r="O417" s="38" t="n">
        <v>4</v>
      </c>
      <c r="P417" s="38" t="inlineStr">
        <is>
          <t>sk-7nebo.ru</t>
        </is>
      </c>
      <c r="Q417" s="38" t="inlineStr">
        <is>
          <t>есть сайт: сначала впиши в текст, что на нём не так</t>
        </is>
      </c>
      <c r="R417" s="38" t="n">
        <v>2</v>
      </c>
      <c r="S417" s="38" t="inlineStr">
        <is>
          <t>Республика Татарстан</t>
        </is>
      </c>
      <c r="T417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«Седьмое небо», где это исправлено, и показать. Собрать?</t>
        </is>
      </c>
      <c r="U417" s="38">
        <f>B417&amp;IF(D417&lt;&gt;""," · "&amp;D417,"")&amp;IF(F417&lt;&gt;"",CHAR(10)&amp;F417,"")</f>
        <v/>
      </c>
      <c r="V417" s="38">
        <f>IF(OR(F417="просрочено",F417="сегодня",F417="укажи дату",LEFT(F417,6)="молчит"),1,0)</f>
        <v/>
      </c>
    </row>
    <row r="418" ht="24" customHeight="1">
      <c r="A418" s="38" t="n">
        <v>417</v>
      </c>
      <c r="B418" s="32" t="inlineStr">
        <is>
          <t>Волга-Альп</t>
        </is>
      </c>
      <c r="C418" s="49" t="inlineStr">
        <is>
          <t>Очередь</t>
        </is>
      </c>
      <c r="D418" s="49" t="n"/>
      <c r="E418" s="50" t="n"/>
      <c r="F418" s="51">
        <f>IF(OR(C418="",C418="Очередь",C418="Клиент",C418="Отказ",C418="Не писать"),"",IF(E418="",IF(AND(C418="Отправлено",I418&lt;&gt;"",TODAY()-INT(I418)&gt;=3),"молчит "&amp;(TODAY()-INT(I418))&amp;" дн.",IF(OR(C418="Перезвонить",C418="Созвон"),"укажи дату","")),IF(INT(E418)&lt;TODAY(),"просрочено",IF(INT(E418)=TODAY(),"сегодня",IF(INT(E418)=TODAY()+1,"завтра",TEXT(E418,"dd.mm"))))))</f>
        <v/>
      </c>
      <c r="G418" s="52" t="n"/>
      <c r="H418" s="36" t="inlineStr">
        <is>
          <t>79625535098</t>
        </is>
      </c>
      <c r="I418" s="53" t="n"/>
      <c r="J418" s="38">
        <f>IFERROR(MATCH(C418,'Справка'!$A$12:$A$21,0),99)</f>
        <v/>
      </c>
      <c r="K418" s="39">
        <f>HYPERLINK("https://wa.me/"&amp;H418&amp;"?text="&amp;ENCODEURL(T418),"✉ Написать")</f>
        <v/>
      </c>
      <c r="L418" s="39">
        <f>HYPERLINK("https://wa.me/"&amp;H418,"Открыть чат")</f>
        <v/>
      </c>
      <c r="M418" s="38" t="inlineStr">
        <is>
          <t>Казань</t>
        </is>
      </c>
      <c r="N418" s="38" t="n">
        <v>4</v>
      </c>
      <c r="O418" s="38" t="n">
        <v>4</v>
      </c>
      <c r="P418" s="38" t="inlineStr">
        <is>
          <t>volga-alp.ru</t>
        </is>
      </c>
      <c r="Q418" s="38" t="inlineStr">
        <is>
          <t>есть сайт: сначала впиши в текст, что на нём не так</t>
        </is>
      </c>
      <c r="R418" s="38" t="n">
        <v>2</v>
      </c>
      <c r="S418" s="38" t="inlineStr">
        <is>
          <t>Республика Татарстан</t>
        </is>
      </c>
      <c r="T418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«Волга-Альп», где это исправлено, и показать. Собрать?</t>
        </is>
      </c>
      <c r="U418" s="38">
        <f>B418&amp;IF(D418&lt;&gt;""," · "&amp;D418,"")&amp;IF(F418&lt;&gt;"",CHAR(10)&amp;F418,"")</f>
        <v/>
      </c>
      <c r="V418" s="38">
        <f>IF(OR(F418="просрочено",F418="сегодня",F418="укажи дату",LEFT(F418,6)="молчит"),1,0)</f>
        <v/>
      </c>
    </row>
    <row r="419" ht="24" customHeight="1">
      <c r="A419" s="38" t="n">
        <v>418</v>
      </c>
      <c r="B419" s="32" t="inlineStr">
        <is>
          <t>Сайдинг Казань</t>
        </is>
      </c>
      <c r="C419" s="49" t="inlineStr">
        <is>
          <t>Очередь</t>
        </is>
      </c>
      <c r="D419" s="49" t="n"/>
      <c r="E419" s="50" t="n"/>
      <c r="F419" s="51">
        <f>IF(OR(C419="",C419="Очередь",C419="Клиент",C419="Отказ",C419="Не писать"),"",IF(E419="",IF(AND(C419="Отправлено",I419&lt;&gt;"",TODAY()-INT(I419)&gt;=3),"молчит "&amp;(TODAY()-INT(I419))&amp;" дн.",IF(OR(C419="Перезвонить",C419="Созвон"),"укажи дату","")),IF(INT(E419)&lt;TODAY(),"просрочено",IF(INT(E419)=TODAY(),"сегодня",IF(INT(E419)=TODAY()+1,"завтра",TEXT(E419,"dd.mm"))))))</f>
        <v/>
      </c>
      <c r="G419" s="52" t="n"/>
      <c r="H419" s="36" t="inlineStr">
        <is>
          <t>79503188454</t>
        </is>
      </c>
      <c r="I419" s="53" t="n"/>
      <c r="J419" s="38">
        <f>IFERROR(MATCH(C419,'Справка'!$A$12:$A$21,0),99)</f>
        <v/>
      </c>
      <c r="K419" s="39">
        <f>HYPERLINK("https://wa.me/"&amp;H419&amp;"?text="&amp;ENCODEURL(T419),"✉ Написать")</f>
        <v/>
      </c>
      <c r="L419" s="39">
        <f>HYPERLINK("https://wa.me/"&amp;H419,"Открыть чат")</f>
        <v/>
      </c>
      <c r="M419" s="38" t="inlineStr">
        <is>
          <t>Казань</t>
        </is>
      </c>
      <c r="N419" s="38" t="n">
        <v>5</v>
      </c>
      <c r="O419" s="38" t="n">
        <v>3</v>
      </c>
      <c r="P419" s="38" t="inlineStr">
        <is>
          <t>Перейти в Telegram-канал</t>
        </is>
      </c>
      <c r="Q419" s="38" t="inlineStr">
        <is>
          <t>есть сайт: сначала впиши в текст, что на нём не так</t>
        </is>
      </c>
      <c r="R419" s="38" t="n">
        <v>2</v>
      </c>
      <c r="S419" s="38" t="inlineStr">
        <is>
          <t>Республика Татарстан</t>
        </is>
      </c>
      <c r="T419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«Сайдинг Казань», где это исправлено, и показать. Собрать?</t>
        </is>
      </c>
      <c r="U419" s="38">
        <f>B419&amp;IF(D419&lt;&gt;""," · "&amp;D419,"")&amp;IF(F419&lt;&gt;"",CHAR(10)&amp;F419,"")</f>
        <v/>
      </c>
      <c r="V419" s="38">
        <f>IF(OR(F419="просрочено",F419="сегодня",F419="укажи дату",LEFT(F419,6)="молчит"),1,0)</f>
        <v/>
      </c>
    </row>
    <row r="420" ht="24" customHeight="1">
      <c r="A420" s="38" t="n">
        <v>419</v>
      </c>
      <c r="B420" s="32" t="inlineStr">
        <is>
          <t>Ремстройактив</t>
        </is>
      </c>
      <c r="C420" s="49" t="inlineStr">
        <is>
          <t>Очередь</t>
        </is>
      </c>
      <c r="D420" s="49" t="n"/>
      <c r="E420" s="50" t="n"/>
      <c r="F420" s="51">
        <f>IF(OR(C420="",C420="Очередь",C420="Клиент",C420="Отказ",C420="Не писать"),"",IF(E420="",IF(AND(C420="Отправлено",I420&lt;&gt;"",TODAY()-INT(I420)&gt;=3),"молчит "&amp;(TODAY()-INT(I420))&amp;" дн.",IF(OR(C420="Перезвонить",C420="Созвон"),"укажи дату","")),IF(INT(E420)&lt;TODAY(),"просрочено",IF(INT(E420)=TODAY(),"сегодня",IF(INT(E420)=TODAY()+1,"завтра",TEXT(E420,"dd.mm"))))))</f>
        <v/>
      </c>
      <c r="G420" s="52" t="n"/>
      <c r="H420" s="36" t="inlineStr">
        <is>
          <t>79033051704</t>
        </is>
      </c>
      <c r="I420" s="53" t="n"/>
      <c r="J420" s="38">
        <f>IFERROR(MATCH(C420,'Справка'!$A$12:$A$21,0),99)</f>
        <v/>
      </c>
      <c r="K420" s="39">
        <f>HYPERLINK("https://wa.me/"&amp;H420&amp;"?text="&amp;ENCODEURL(T420),"✉ Написать")</f>
        <v/>
      </c>
      <c r="L420" s="39">
        <f>HYPERLINK("https://wa.me/"&amp;H420,"Открыть чат")</f>
        <v/>
      </c>
      <c r="M420" s="38" t="inlineStr">
        <is>
          <t>Казань</t>
        </is>
      </c>
      <c r="N420" s="38" t="n">
        <v>3</v>
      </c>
      <c r="O420" s="38" t="n">
        <v>2</v>
      </c>
      <c r="P420" s="38" t="inlineStr">
        <is>
          <t>sub-comfort.ru</t>
        </is>
      </c>
      <c r="Q420" s="38" t="inlineStr">
        <is>
          <t>есть сайт: сначала впиши в текст, что на нём не так</t>
        </is>
      </c>
      <c r="R420" s="38" t="n">
        <v>2</v>
      </c>
      <c r="S420" s="38" t="inlineStr">
        <is>
          <t>Республика Татарстан</t>
        </is>
      </c>
      <c r="T420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«Ремстройактив», где это исправлено, и показать. Собрать?</t>
        </is>
      </c>
      <c r="U420" s="38">
        <f>B420&amp;IF(D420&lt;&gt;""," · "&amp;D420,"")&amp;IF(F420&lt;&gt;"",CHAR(10)&amp;F420,"")</f>
        <v/>
      </c>
      <c r="V420" s="38">
        <f>IF(OR(F420="просрочено",F420="сегодня",F420="укажи дату",LEFT(F420,6)="молчит"),1,0)</f>
        <v/>
      </c>
    </row>
    <row r="421" ht="24" customHeight="1">
      <c r="A421" s="38" t="n">
        <v>420</v>
      </c>
      <c r="B421" s="32" t="inlineStr">
        <is>
          <t>Гратек плюс</t>
        </is>
      </c>
      <c r="C421" s="49" t="inlineStr">
        <is>
          <t>Очередь</t>
        </is>
      </c>
      <c r="D421" s="49" t="n"/>
      <c r="E421" s="50" t="n"/>
      <c r="F421" s="51">
        <f>IF(OR(C421="",C421="Очередь",C421="Клиент",C421="Отказ",C421="Не писать"),"",IF(E421="",IF(AND(C421="Отправлено",I421&lt;&gt;"",TODAY()-INT(I421)&gt;=3),"молчит "&amp;(TODAY()-INT(I421))&amp;" дн.",IF(OR(C421="Перезвонить",C421="Созвон"),"укажи дату","")),IF(INT(E421)&lt;TODAY(),"просрочено",IF(INT(E421)=TODAY(),"сегодня",IF(INT(E421)=TODAY()+1,"завтра",TEXT(E421,"dd.mm"))))))</f>
        <v/>
      </c>
      <c r="G421" s="52" t="n"/>
      <c r="H421" s="36" t="inlineStr">
        <is>
          <t>79375235123</t>
        </is>
      </c>
      <c r="I421" s="53" t="n"/>
      <c r="J421" s="38">
        <f>IFERROR(MATCH(C421,'Справка'!$A$12:$A$21,0),99)</f>
        <v/>
      </c>
      <c r="K421" s="39">
        <f>HYPERLINK("https://wa.me/"&amp;H421&amp;"?text="&amp;ENCODEURL(T421),"✉ Написать")</f>
        <v/>
      </c>
      <c r="L421" s="39">
        <f>HYPERLINK("https://wa.me/"&amp;H421,"Открыть чат")</f>
        <v/>
      </c>
      <c r="M421" s="38" t="inlineStr">
        <is>
          <t>Казань</t>
        </is>
      </c>
      <c r="N421" s="38" t="n">
        <v>5</v>
      </c>
      <c r="O421" s="38" t="n">
        <v>2</v>
      </c>
      <c r="P421" s="38" t="inlineStr">
        <is>
          <t>gratech.ru</t>
        </is>
      </c>
      <c r="Q421" s="38" t="inlineStr">
        <is>
          <t>есть сайт: сначала впиши в текст, что на нём не так</t>
        </is>
      </c>
      <c r="R421" s="38" t="n">
        <v>2</v>
      </c>
      <c r="S421" s="38" t="inlineStr">
        <is>
          <t>Республика Татарстан</t>
        </is>
      </c>
      <c r="T421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«Гратек плюс», где это исправлено, и показать. Собрать?</t>
        </is>
      </c>
      <c r="U421" s="38">
        <f>B421&amp;IF(D421&lt;&gt;""," · "&amp;D421,"")&amp;IF(F421&lt;&gt;"",CHAR(10)&amp;F421,"")</f>
        <v/>
      </c>
      <c r="V421" s="38">
        <f>IF(OR(F421="просрочено",F421="сегодня",F421="укажи дату",LEFT(F421,6)="молчит"),1,0)</f>
        <v/>
      </c>
    </row>
    <row r="422" ht="24" customHeight="1">
      <c r="A422" s="38" t="n">
        <v>421</v>
      </c>
      <c r="B422" s="32" t="inlineStr">
        <is>
          <t>Скаткров</t>
        </is>
      </c>
      <c r="C422" s="49" t="inlineStr">
        <is>
          <t>Очередь</t>
        </is>
      </c>
      <c r="D422" s="49" t="n"/>
      <c r="E422" s="50" t="n"/>
      <c r="F422" s="51">
        <f>IF(OR(C422="",C422="Очередь",C422="Клиент",C422="Отказ",C422="Не писать"),"",IF(E422="",IF(AND(C422="Отправлено",I422&lt;&gt;"",TODAY()-INT(I422)&gt;=3),"молчит "&amp;(TODAY()-INT(I422))&amp;" дн.",IF(OR(C422="Перезвонить",C422="Созвон"),"укажи дату","")),IF(INT(E422)&lt;TODAY(),"просрочено",IF(INT(E422)=TODAY(),"сегодня",IF(INT(E422)=TODAY()+1,"завтра",TEXT(E422,"dd.mm"))))))</f>
        <v/>
      </c>
      <c r="G422" s="52" t="n"/>
      <c r="H422" s="36" t="inlineStr">
        <is>
          <t>79600451100</t>
        </is>
      </c>
      <c r="I422" s="53" t="n"/>
      <c r="J422" s="38">
        <f>IFERROR(MATCH(C422,'Справка'!$A$12:$A$21,0),99)</f>
        <v/>
      </c>
      <c r="K422" s="39">
        <f>HYPERLINK("https://wa.me/"&amp;H422&amp;"?text="&amp;ENCODEURL(T422),"✉ Написать")</f>
        <v/>
      </c>
      <c r="L422" s="39">
        <f>HYPERLINK("https://wa.me/"&amp;H422,"Открыть чат")</f>
        <v/>
      </c>
      <c r="M422" s="38" t="inlineStr">
        <is>
          <t>Казань</t>
        </is>
      </c>
      <c r="N422" s="38" t="n">
        <v>5</v>
      </c>
      <c r="O422" s="38" t="n">
        <v>1</v>
      </c>
      <c r="P422" s="38" t="inlineStr">
        <is>
          <t>skatkrov.ru</t>
        </is>
      </c>
      <c r="Q422" s="38" t="inlineStr">
        <is>
          <t>есть сайт: сначала впиши в текст, что на нём не так</t>
        </is>
      </c>
      <c r="R422" s="38" t="n">
        <v>2</v>
      </c>
      <c r="S422" s="38" t="inlineStr">
        <is>
          <t>Республика Татарстан</t>
        </is>
      </c>
      <c r="T422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«Скаткров», где это исправлено, и показать. Собрать?</t>
        </is>
      </c>
      <c r="U422" s="38">
        <f>B422&amp;IF(D422&lt;&gt;""," · "&amp;D422,"")&amp;IF(F422&lt;&gt;"",CHAR(10)&amp;F422,"")</f>
        <v/>
      </c>
      <c r="V422" s="38">
        <f>IF(OR(F422="просрочено",F422="сегодня",F422="укажи дату",LEFT(F422,6)="молчит"),1,0)</f>
        <v/>
      </c>
    </row>
    <row r="423" ht="24" customHeight="1">
      <c r="A423" s="38" t="n">
        <v>422</v>
      </c>
      <c r="B423" s="32" t="inlineStr">
        <is>
          <t>Гратодом</t>
        </is>
      </c>
      <c r="C423" s="49" t="inlineStr">
        <is>
          <t>Очередь</t>
        </is>
      </c>
      <c r="D423" s="49" t="n"/>
      <c r="E423" s="50" t="n"/>
      <c r="F423" s="51">
        <f>IF(OR(C423="",C423="Очередь",C423="Клиент",C423="Отказ",C423="Не писать"),"",IF(E423="",IF(AND(C423="Отправлено",I423&lt;&gt;"",TODAY()-INT(I423)&gt;=3),"молчит "&amp;(TODAY()-INT(I423))&amp;" дн.",IF(OR(C423="Перезвонить",C423="Созвон"),"укажи дату","")),IF(INT(E423)&lt;TODAY(),"просрочено",IF(INT(E423)=TODAY(),"сегодня",IF(INT(E423)=TODAY()+1,"завтра",TEXT(E423,"dd.mm"))))))</f>
        <v/>
      </c>
      <c r="G423" s="52" t="n"/>
      <c r="H423" s="36" t="inlineStr">
        <is>
          <t>79872900797</t>
        </is>
      </c>
      <c r="I423" s="53" t="n"/>
      <c r="J423" s="38">
        <f>IFERROR(MATCH(C423,'Справка'!$A$12:$A$21,0),99)</f>
        <v/>
      </c>
      <c r="K423" s="39">
        <f>HYPERLINK("https://wa.me/"&amp;H423&amp;"?text="&amp;ENCODEURL(T423),"✉ Написать")</f>
        <v/>
      </c>
      <c r="L423" s="39">
        <f>HYPERLINK("https://wa.me/"&amp;H423,"Открыть чат")</f>
        <v/>
      </c>
      <c r="M423" s="38" t="inlineStr">
        <is>
          <t>Казань</t>
        </is>
      </c>
      <c r="N423" s="38" t="n">
        <v>5</v>
      </c>
      <c r="O423" s="38" t="n">
        <v>1</v>
      </c>
      <c r="P423" s="38" t="inlineStr">
        <is>
          <t>gratobrus.ru</t>
        </is>
      </c>
      <c r="Q423" s="38" t="inlineStr">
        <is>
          <t>есть сайт: сначала впиши в текст, что на нём не так</t>
        </is>
      </c>
      <c r="R423" s="38" t="n">
        <v>2</v>
      </c>
      <c r="S423" s="38" t="inlineStr">
        <is>
          <t>Республика Татарстан</t>
        </is>
      </c>
      <c r="T423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«Гратодом», где это исправлено, и показать. Собрать?</t>
        </is>
      </c>
      <c r="U423" s="38">
        <f>B423&amp;IF(D423&lt;&gt;""," · "&amp;D423,"")&amp;IF(F423&lt;&gt;"",CHAR(10)&amp;F423,"")</f>
        <v/>
      </c>
      <c r="V423" s="38">
        <f>IF(OR(F423="просрочено",F423="сегодня",F423="укажи дату",LEFT(F423,6)="молчит"),1,0)</f>
        <v/>
      </c>
    </row>
    <row r="424" ht="24" customHeight="1">
      <c r="A424" s="38" t="n">
        <v>423</v>
      </c>
      <c r="B424" s="32" t="inlineStr">
        <is>
          <t>Счастливый дом</t>
        </is>
      </c>
      <c r="C424" s="49" t="inlineStr">
        <is>
          <t>Очередь</t>
        </is>
      </c>
      <c r="D424" s="49" t="n"/>
      <c r="E424" s="50" t="n"/>
      <c r="F424" s="51">
        <f>IF(OR(C424="",C424="Очередь",C424="Клиент",C424="Отказ",C424="Не писать"),"",IF(E424="",IF(AND(C424="Отправлено",I424&lt;&gt;"",TODAY()-INT(I424)&gt;=3),"молчит "&amp;(TODAY()-INT(I424))&amp;" дн.",IF(OR(C424="Перезвонить",C424="Созвон"),"укажи дату","")),IF(INT(E424)&lt;TODAY(),"просрочено",IF(INT(E424)=TODAY(),"сегодня",IF(INT(E424)=TODAY()+1,"завтра",TEXT(E424,"dd.mm"))))))</f>
        <v/>
      </c>
      <c r="G424" s="52" t="n"/>
      <c r="H424" s="36" t="inlineStr">
        <is>
          <t>79178648469</t>
        </is>
      </c>
      <c r="I424" s="53" t="n"/>
      <c r="J424" s="38">
        <f>IFERROR(MATCH(C424,'Справка'!$A$12:$A$21,0),99)</f>
        <v/>
      </c>
      <c r="K424" s="39">
        <f>HYPERLINK("https://wa.me/"&amp;H424&amp;"?text="&amp;ENCODEURL(T424),"✉ Написать")</f>
        <v/>
      </c>
      <c r="L424" s="39">
        <f>HYPERLINK("https://wa.me/"&amp;H424,"Открыть чат")</f>
        <v/>
      </c>
      <c r="M424" s="38" t="inlineStr">
        <is>
          <t>Казань</t>
        </is>
      </c>
      <c r="N424" s="38" t="n">
        <v>5</v>
      </c>
      <c r="O424" s="38" t="n">
        <v>1</v>
      </c>
      <c r="P424" s="38" t="inlineStr">
        <is>
          <t>Перейти в Telegram-канал</t>
        </is>
      </c>
      <c r="Q424" s="38" t="inlineStr">
        <is>
          <t>есть сайт: сначала впиши в текст, что на нём не так</t>
        </is>
      </c>
      <c r="R424" s="38" t="n">
        <v>2</v>
      </c>
      <c r="S424" s="38" t="inlineStr">
        <is>
          <t>Республика Татарстан</t>
        </is>
      </c>
      <c r="T424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«Счастливый дом», где это исправлено, и показать. Собрать?</t>
        </is>
      </c>
      <c r="U424" s="38">
        <f>B424&amp;IF(D424&lt;&gt;""," · "&amp;D424,"")&amp;IF(F424&lt;&gt;"",CHAR(10)&amp;F424,"")</f>
        <v/>
      </c>
      <c r="V424" s="38">
        <f>IF(OR(F424="просрочено",F424="сегодня",F424="укажи дату",LEFT(F424,6)="молчит"),1,0)</f>
        <v/>
      </c>
    </row>
    <row r="425" ht="24" customHeight="1">
      <c r="A425" s="38" t="n">
        <v>424</v>
      </c>
      <c r="B425" s="32" t="inlineStr">
        <is>
          <t>Roof Development</t>
        </is>
      </c>
      <c r="C425" s="49" t="inlineStr">
        <is>
          <t>Очередь</t>
        </is>
      </c>
      <c r="D425" s="49" t="n"/>
      <c r="E425" s="50" t="n"/>
      <c r="F425" s="51">
        <f>IF(OR(C425="",C425="Очередь",C425="Клиент",C425="Отказ",C425="Не писать"),"",IF(E425="",IF(AND(C425="Отправлено",I425&lt;&gt;"",TODAY()-INT(I425)&gt;=3),"молчит "&amp;(TODAY()-INT(I425))&amp;" дн.",IF(OR(C425="Перезвонить",C425="Созвон"),"укажи дату","")),IF(INT(E425)&lt;TODAY(),"просрочено",IF(INT(E425)=TODAY(),"сегодня",IF(INT(E425)=TODAY()+1,"завтра",TEXT(E425,"dd.mm"))))))</f>
        <v/>
      </c>
      <c r="G425" s="52" t="n"/>
      <c r="H425" s="36" t="inlineStr">
        <is>
          <t>79393726007</t>
        </is>
      </c>
      <c r="I425" s="53" t="n"/>
      <c r="J425" s="38">
        <f>IFERROR(MATCH(C425,'Справка'!$A$12:$A$21,0),99)</f>
        <v/>
      </c>
      <c r="K425" s="39">
        <f>HYPERLINK("https://wa.me/"&amp;H425&amp;"?text="&amp;ENCODEURL(T425),"✉ Написать")</f>
        <v/>
      </c>
      <c r="L425" s="39">
        <f>HYPERLINK("https://wa.me/"&amp;H425,"Открыть чат")</f>
        <v/>
      </c>
      <c r="M425" s="38" t="inlineStr">
        <is>
          <t>Казань</t>
        </is>
      </c>
      <c r="N425" s="38" t="n"/>
      <c r="O425" s="38" t="n"/>
      <c r="P425" s="38" t="inlineStr">
        <is>
          <t>rdkazan.ru</t>
        </is>
      </c>
      <c r="Q425" s="38" t="inlineStr">
        <is>
          <t>есть сайт: сначала впиши в текст, что на нём не так</t>
        </is>
      </c>
      <c r="R425" s="38" t="n">
        <v>2</v>
      </c>
      <c r="S425" s="38" t="inlineStr">
        <is>
          <t>Республика Татарстан</t>
        </is>
      </c>
      <c r="T425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«Roof Development», где это исправлено, и показать. Собрать?</t>
        </is>
      </c>
      <c r="U425" s="38">
        <f>B425&amp;IF(D425&lt;&gt;""," · "&amp;D425,"")&amp;IF(F425&lt;&gt;"",CHAR(10)&amp;F425,"")</f>
        <v/>
      </c>
      <c r="V425" s="38">
        <f>IF(OR(F425="просрочено",F425="сегодня",F425="укажи дату",LEFT(F425,6)="молчит"),1,0)</f>
        <v/>
      </c>
    </row>
    <row r="426" ht="24" customHeight="1">
      <c r="A426" s="38" t="n">
        <v>425</v>
      </c>
      <c r="B426" s="32" t="inlineStr">
        <is>
          <t>Альянс Ст</t>
        </is>
      </c>
      <c r="C426" s="49" t="inlineStr">
        <is>
          <t>Очередь</t>
        </is>
      </c>
      <c r="D426" s="49" t="n"/>
      <c r="E426" s="50" t="n"/>
      <c r="F426" s="51">
        <f>IF(OR(C426="",C426="Очередь",C426="Клиент",C426="Отказ",C426="Не писать"),"",IF(E426="",IF(AND(C426="Отправлено",I426&lt;&gt;"",TODAY()-INT(I426)&gt;=3),"молчит "&amp;(TODAY()-INT(I426))&amp;" дн.",IF(OR(C426="Перезвонить",C426="Созвон"),"укажи дату","")),IF(INT(E426)&lt;TODAY(),"просрочено",IF(INT(E426)=TODAY(),"сегодня",IF(INT(E426)=TODAY()+1,"завтра",TEXT(E426,"dd.mm"))))))</f>
        <v/>
      </c>
      <c r="G426" s="52" t="n"/>
      <c r="H426" s="36" t="inlineStr">
        <is>
          <t>79503277536</t>
        </is>
      </c>
      <c r="I426" s="53" t="n"/>
      <c r="J426" s="38">
        <f>IFERROR(MATCH(C426,'Справка'!$A$12:$A$21,0),99)</f>
        <v/>
      </c>
      <c r="K426" s="39">
        <f>HYPERLINK("https://wa.me/"&amp;H426&amp;"?text="&amp;ENCODEURL(T426),"✉ Написать")</f>
        <v/>
      </c>
      <c r="L426" s="39">
        <f>HYPERLINK("https://wa.me/"&amp;H426,"Открыть чат")</f>
        <v/>
      </c>
      <c r="M426" s="38" t="inlineStr">
        <is>
          <t>Казань</t>
        </is>
      </c>
      <c r="N426" s="38" t="n"/>
      <c r="O426" s="38" t="n"/>
      <c r="P426" s="38" t="inlineStr">
        <is>
          <t>ast-st.ru</t>
        </is>
      </c>
      <c r="Q426" s="38" t="inlineStr">
        <is>
          <t>есть сайт: сначала впиши в текст, что на нём не так</t>
        </is>
      </c>
      <c r="R426" s="38" t="n">
        <v>2</v>
      </c>
      <c r="S426" s="38" t="inlineStr">
        <is>
          <t>Республика Татарстан</t>
        </is>
      </c>
      <c r="T426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«Альянс Ст», где это исправлено, и показать. Собрать?</t>
        </is>
      </c>
      <c r="U426" s="38">
        <f>B426&amp;IF(D426&lt;&gt;""," · "&amp;D426,"")&amp;IF(F426&lt;&gt;"",CHAR(10)&amp;F426,"")</f>
        <v/>
      </c>
      <c r="V426" s="38">
        <f>IF(OR(F426="просрочено",F426="сегодня",F426="укажи дату",LEFT(F426,6)="молчит"),1,0)</f>
        <v/>
      </c>
    </row>
    <row r="427" ht="24" customHeight="1">
      <c r="A427" s="38" t="n">
        <v>426</v>
      </c>
      <c r="B427" s="32" t="inlineStr">
        <is>
          <t>Руфмастер</t>
        </is>
      </c>
      <c r="C427" s="49" t="inlineStr">
        <is>
          <t>Очередь</t>
        </is>
      </c>
      <c r="D427" s="49" t="n"/>
      <c r="E427" s="50" t="n"/>
      <c r="F427" s="51">
        <f>IF(OR(C427="",C427="Очередь",C427="Клиент",C427="Отказ",C427="Не писать"),"",IF(E427="",IF(AND(C427="Отправлено",I427&lt;&gt;"",TODAY()-INT(I427)&gt;=3),"молчит "&amp;(TODAY()-INT(I427))&amp;" дн.",IF(OR(C427="Перезвонить",C427="Созвон"),"укажи дату","")),IF(INT(E427)&lt;TODAY(),"просрочено",IF(INT(E427)=TODAY(),"сегодня",IF(INT(E427)=TODAY()+1,"завтра",TEXT(E427,"dd.mm"))))))</f>
        <v/>
      </c>
      <c r="G427" s="52" t="n"/>
      <c r="H427" s="36" t="inlineStr">
        <is>
          <t>79510632888</t>
        </is>
      </c>
      <c r="I427" s="53" t="n"/>
      <c r="J427" s="38">
        <f>IFERROR(MATCH(C427,'Справка'!$A$12:$A$21,0),99)</f>
        <v/>
      </c>
      <c r="K427" s="39">
        <f>HYPERLINK("https://wa.me/"&amp;H427&amp;"?text="&amp;ENCODEURL(T427),"✉ Написать")</f>
        <v/>
      </c>
      <c r="L427" s="39">
        <f>HYPERLINK("https://wa.me/"&amp;H427,"Открыть чат")</f>
        <v/>
      </c>
      <c r="M427" s="38" t="inlineStr">
        <is>
          <t>Казань</t>
        </is>
      </c>
      <c r="N427" s="38" t="n"/>
      <c r="O427" s="38" t="n"/>
      <c r="P427" s="38" t="inlineStr">
        <is>
          <t>roofmaster-kazan.ru/</t>
        </is>
      </c>
      <c r="Q427" s="38" t="inlineStr">
        <is>
          <t>есть сайт: сначала впиши в текст, что на нём не так</t>
        </is>
      </c>
      <c r="R427" s="38" t="n">
        <v>2</v>
      </c>
      <c r="S427" s="38" t="inlineStr">
        <is>
          <t>Республика Татарстан</t>
        </is>
      </c>
      <c r="T427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«Руфмастер», где это исправлено, и показать. Собрать?</t>
        </is>
      </c>
      <c r="U427" s="38">
        <f>B427&amp;IF(D427&lt;&gt;""," · "&amp;D427,"")&amp;IF(F427&lt;&gt;"",CHAR(10)&amp;F427,"")</f>
        <v/>
      </c>
      <c r="V427" s="38">
        <f>IF(OR(F427="просрочено",F427="сегодня",F427="укажи дату",LEFT(F427,6)="молчит"),1,0)</f>
        <v/>
      </c>
    </row>
    <row r="428" ht="24" customHeight="1">
      <c r="A428" s="38" t="n">
        <v>427</v>
      </c>
      <c r="B428" s="32" t="inlineStr">
        <is>
          <t>Универсал строй</t>
        </is>
      </c>
      <c r="C428" s="49" t="inlineStr">
        <is>
          <t>Очередь</t>
        </is>
      </c>
      <c r="D428" s="49" t="n"/>
      <c r="E428" s="50" t="n"/>
      <c r="F428" s="51">
        <f>IF(OR(C428="",C428="Очередь",C428="Клиент",C428="Отказ",C428="Не писать"),"",IF(E428="",IF(AND(C428="Отправлено",I428&lt;&gt;"",TODAY()-INT(I428)&gt;=3),"молчит "&amp;(TODAY()-INT(I428))&amp;" дн.",IF(OR(C428="Перезвонить",C428="Созвон"),"укажи дату","")),IF(INT(E428)&lt;TODAY(),"просрочено",IF(INT(E428)=TODAY(),"сегодня",IF(INT(E428)=TODAY()+1,"завтра",TEXT(E428,"dd.mm"))))))</f>
        <v/>
      </c>
      <c r="G428" s="52" t="n"/>
      <c r="H428" s="36" t="inlineStr">
        <is>
          <t>79172857095</t>
        </is>
      </c>
      <c r="I428" s="53" t="n"/>
      <c r="J428" s="38">
        <f>IFERROR(MATCH(C428,'Справка'!$A$12:$A$21,0),99)</f>
        <v/>
      </c>
      <c r="K428" s="39">
        <f>HYPERLINK("https://wa.me/"&amp;H428&amp;"?text="&amp;ENCODEURL(T428),"✉ Написать")</f>
        <v/>
      </c>
      <c r="L428" s="39">
        <f>HYPERLINK("https://wa.me/"&amp;H428,"Открыть чат")</f>
        <v/>
      </c>
      <c r="M428" s="38" t="inlineStr">
        <is>
          <t>Казань</t>
        </is>
      </c>
      <c r="N428" s="38" t="n"/>
      <c r="O428" s="38" t="n"/>
      <c r="P428" s="38" t="inlineStr">
        <is>
          <t>yniversalstroi.ru</t>
        </is>
      </c>
      <c r="Q428" s="38" t="inlineStr">
        <is>
          <t>есть сайт: сначала впиши в текст, что на нём не так</t>
        </is>
      </c>
      <c r="R428" s="38" t="n">
        <v>2</v>
      </c>
      <c r="S428" s="38" t="inlineStr">
        <is>
          <t>Республика Татарстан</t>
        </is>
      </c>
      <c r="T428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«Универсал строй», где это исправлено, и показать. Собрать?</t>
        </is>
      </c>
      <c r="U428" s="38">
        <f>B428&amp;IF(D428&lt;&gt;""," · "&amp;D428,"")&amp;IF(F428&lt;&gt;"",CHAR(10)&amp;F428,"")</f>
        <v/>
      </c>
      <c r="V428" s="38">
        <f>IF(OR(F428="просрочено",F428="сегодня",F428="укажи дату",LEFT(F428,6)="молчит"),1,0)</f>
        <v/>
      </c>
    </row>
    <row r="429" ht="24" customHeight="1">
      <c r="A429" s="38" t="n">
        <v>428</v>
      </c>
      <c r="B429" s="32" t="inlineStr">
        <is>
          <t>Юг-кровля</t>
        </is>
      </c>
      <c r="C429" s="49" t="inlineStr">
        <is>
          <t>Очередь</t>
        </is>
      </c>
      <c r="D429" s="49" t="n"/>
      <c r="E429" s="50" t="n"/>
      <c r="F429" s="51">
        <f>IF(OR(C429="",C429="Очередь",C429="Клиент",C429="Отказ",C429="Не писать"),"",IF(E429="",IF(AND(C429="Отправлено",I429&lt;&gt;"",TODAY()-INT(I429)&gt;=3),"молчит "&amp;(TODAY()-INT(I429))&amp;" дн.",IF(OR(C429="Перезвонить",C429="Созвон"),"укажи дату","")),IF(INT(E429)&lt;TODAY(),"просрочено",IF(INT(E429)=TODAY(),"сегодня",IF(INT(E429)=TODAY()+1,"завтра",TEXT(E429,"dd.mm"))))))</f>
        <v/>
      </c>
      <c r="G429" s="52" t="n"/>
      <c r="H429" s="36" t="inlineStr">
        <is>
          <t>79282705816</t>
        </is>
      </c>
      <c r="I429" s="53" t="n"/>
      <c r="J429" s="38">
        <f>IFERROR(MATCH(C429,'Справка'!$A$12:$A$21,0),99)</f>
        <v/>
      </c>
      <c r="K429" s="39">
        <f>HYPERLINK("https://wa.me/"&amp;H429&amp;"?text="&amp;ENCODEURL(T429),"✉ Написать")</f>
        <v/>
      </c>
      <c r="L429" s="39">
        <f>HYPERLINK("https://wa.me/"&amp;H429,"Открыть чат")</f>
        <v/>
      </c>
      <c r="M429" s="38" t="inlineStr">
        <is>
          <t>пос. Верхнетемерницкий</t>
        </is>
      </c>
      <c r="N429" s="38" t="n">
        <v>4.8</v>
      </c>
      <c r="O429" s="38" t="n">
        <v>24</v>
      </c>
      <c r="P429" s="38" t="inlineStr">
        <is>
          <t>yug-krovlyarostov.ru</t>
        </is>
      </c>
      <c r="Q429" s="38" t="inlineStr">
        <is>
          <t>есть сайт: сначала впиши в текст, что на нём не так</t>
        </is>
      </c>
      <c r="R429" s="38" t="n">
        <v>2</v>
      </c>
      <c r="S429" s="38" t="inlineStr">
        <is>
          <t>Ростовская область</t>
        </is>
      </c>
      <c r="T429" s="38" t="inlineStr">
        <is>
          <t>Здравствуйте! Смотрел в 2ГИС кровельные компании в Ростовской области, зашёл на ваш сайт с телефона: [ЧТО НЕ ТАК НА САЙТЕ].
Могу за вечер собрать вариант под «Юг-кровля», где это исправлено, и показать. Собрать?</t>
        </is>
      </c>
      <c r="U429" s="38">
        <f>B429&amp;IF(D429&lt;&gt;""," · "&amp;D429,"")&amp;IF(F429&lt;&gt;"",CHAR(10)&amp;F429,"")</f>
        <v/>
      </c>
      <c r="V429" s="38">
        <f>IF(OR(F429="просрочено",F429="сегодня",F429="укажи дату",LEFT(F429,6)="молчит"),1,0)</f>
        <v/>
      </c>
    </row>
    <row r="430" ht="24" customHeight="1">
      <c r="A430" s="38" t="n">
        <v>429</v>
      </c>
      <c r="B430" s="32" t="inlineStr">
        <is>
          <t>Тандем</t>
        </is>
      </c>
      <c r="C430" s="49" t="inlineStr">
        <is>
          <t>Очередь</t>
        </is>
      </c>
      <c r="D430" s="49" t="n"/>
      <c r="E430" s="50" t="n"/>
      <c r="F430" s="51">
        <f>IF(OR(C430="",C430="Очередь",C430="Клиент",C430="Отказ",C430="Не писать"),"",IF(E430="",IF(AND(C430="Отправлено",I430&lt;&gt;"",TODAY()-INT(I430)&gt;=3),"молчит "&amp;(TODAY()-INT(I430))&amp;" дн.",IF(OR(C430="Перезвонить",C430="Созвон"),"укажи дату","")),IF(INT(E430)&lt;TODAY(),"просрочено",IF(INT(E430)=TODAY(),"сегодня",IF(INT(E430)=TODAY()+1,"завтра",TEXT(E430,"dd.mm"))))))</f>
        <v/>
      </c>
      <c r="G430" s="52" t="n"/>
      <c r="H430" s="36" t="inlineStr">
        <is>
          <t>79110743258</t>
        </is>
      </c>
      <c r="I430" s="53" t="n"/>
      <c r="J430" s="38">
        <f>IFERROR(MATCH(C430,'Справка'!$A$12:$A$21,0),99)</f>
        <v/>
      </c>
      <c r="K430" s="39">
        <f>HYPERLINK("https://wa.me/"&amp;H430&amp;"?text="&amp;ENCODEURL(T430),"✉ Написать")</f>
        <v/>
      </c>
      <c r="L430" s="39">
        <f>HYPERLINK("https://wa.me/"&amp;H430,"Открыть чат")</f>
        <v/>
      </c>
      <c r="M430" s="38" t="inlineStr">
        <is>
          <t>Ростов-на-Дону</t>
        </is>
      </c>
      <c r="N430" s="38" t="n">
        <v>4.7</v>
      </c>
      <c r="O430" s="38" t="n">
        <v>13</v>
      </c>
      <c r="P430" s="38" t="inlineStr">
        <is>
          <t>montazh-krysha.ru/</t>
        </is>
      </c>
      <c r="Q430" s="38" t="inlineStr">
        <is>
          <t>есть сайт: сначала впиши в текст, что на нём не так</t>
        </is>
      </c>
      <c r="R430" s="38" t="n">
        <v>2</v>
      </c>
      <c r="S430" s="38" t="inlineStr">
        <is>
          <t>Ростовская область</t>
        </is>
      </c>
      <c r="T430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«Тандем», где это исправлено, и показать. Собрать?</t>
        </is>
      </c>
      <c r="U430" s="38">
        <f>B430&amp;IF(D430&lt;&gt;""," · "&amp;D430,"")&amp;IF(F430&lt;&gt;"",CHAR(10)&amp;F430,"")</f>
        <v/>
      </c>
      <c r="V430" s="38">
        <f>IF(OR(F430="просрочено",F430="сегодня",F430="укажи дату",LEFT(F430,6)="молчит"),1,0)</f>
        <v/>
      </c>
    </row>
    <row r="431" ht="24" customHeight="1">
      <c r="A431" s="38" t="n">
        <v>430</v>
      </c>
      <c r="B431" s="32" t="inlineStr">
        <is>
          <t>Первая Честная Строительная Компания</t>
        </is>
      </c>
      <c r="C431" s="49" t="inlineStr">
        <is>
          <t>Очередь</t>
        </is>
      </c>
      <c r="D431" s="49" t="n"/>
      <c r="E431" s="50" t="n"/>
      <c r="F431" s="51">
        <f>IF(OR(C431="",C431="Очередь",C431="Клиент",C431="Отказ",C431="Не писать"),"",IF(E431="",IF(AND(C431="Отправлено",I431&lt;&gt;"",TODAY()-INT(I431)&gt;=3),"молчит "&amp;(TODAY()-INT(I431))&amp;" дн.",IF(OR(C431="Перезвонить",C431="Созвон"),"укажи дату","")),IF(INT(E431)&lt;TODAY(),"просрочено",IF(INT(E431)=TODAY(),"сегодня",IF(INT(E431)=TODAY()+1,"завтра",TEXT(E431,"dd.mm"))))))</f>
        <v/>
      </c>
      <c r="G431" s="52" t="n"/>
      <c r="H431" s="36" t="inlineStr">
        <is>
          <t>79281864448</t>
        </is>
      </c>
      <c r="I431" s="53" t="n"/>
      <c r="J431" s="38">
        <f>IFERROR(MATCH(C431,'Справка'!$A$12:$A$21,0),99)</f>
        <v/>
      </c>
      <c r="K431" s="39">
        <f>HYPERLINK("https://wa.me/"&amp;H431&amp;"?text="&amp;ENCODEURL(T431),"✉ Написать")</f>
        <v/>
      </c>
      <c r="L431" s="39">
        <f>HYPERLINK("https://wa.me/"&amp;H431,"Открыть чат")</f>
        <v/>
      </c>
      <c r="M431" s="38" t="inlineStr">
        <is>
          <t>Ростов-на-Дону</t>
        </is>
      </c>
      <c r="N431" s="38" t="n">
        <v>4.8</v>
      </c>
      <c r="O431" s="38" t="n">
        <v>12</v>
      </c>
      <c r="P431" s="38" t="inlineStr">
        <is>
          <t>пчск.рф</t>
        </is>
      </c>
      <c r="Q431" s="38" t="inlineStr">
        <is>
          <t>есть сайт: сначала впиши в текст, что на нём не так</t>
        </is>
      </c>
      <c r="R431" s="38" t="n">
        <v>2</v>
      </c>
      <c r="S431" s="38" t="inlineStr">
        <is>
          <t>Ростовская область</t>
        </is>
      </c>
      <c r="T431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«Первая Честная Строительная Компания», где это исправлено, и показать. Собрать?</t>
        </is>
      </c>
      <c r="U431" s="38">
        <f>B431&amp;IF(D431&lt;&gt;""," · "&amp;D431,"")&amp;IF(F431&lt;&gt;"",CHAR(10)&amp;F431,"")</f>
        <v/>
      </c>
      <c r="V431" s="38">
        <f>IF(OR(F431="просрочено",F431="сегодня",F431="укажи дату",LEFT(F431,6)="молчит"),1,0)</f>
        <v/>
      </c>
    </row>
    <row r="432" ht="24" customHeight="1">
      <c r="A432" s="38" t="n">
        <v>431</v>
      </c>
      <c r="B432" s="32" t="inlineStr">
        <is>
          <t>Ремолл</t>
        </is>
      </c>
      <c r="C432" s="49" t="inlineStr">
        <is>
          <t>Очередь</t>
        </is>
      </c>
      <c r="D432" s="49" t="n"/>
      <c r="E432" s="50" t="n"/>
      <c r="F432" s="51">
        <f>IF(OR(C432="",C432="Очередь",C432="Клиент",C432="Отказ",C432="Не писать"),"",IF(E432="",IF(AND(C432="Отправлено",I432&lt;&gt;"",TODAY()-INT(I432)&gt;=3),"молчит "&amp;(TODAY()-INT(I432))&amp;" дн.",IF(OR(C432="Перезвонить",C432="Созвон"),"укажи дату","")),IF(INT(E432)&lt;TODAY(),"просрочено",IF(INT(E432)=TODAY(),"сегодня",IF(INT(E432)=TODAY()+1,"завтра",TEXT(E432,"dd.mm"))))))</f>
        <v/>
      </c>
      <c r="G432" s="52" t="n"/>
      <c r="H432" s="36" t="inlineStr">
        <is>
          <t>79286000110</t>
        </is>
      </c>
      <c r="I432" s="53" t="n"/>
      <c r="J432" s="38">
        <f>IFERROR(MATCH(C432,'Справка'!$A$12:$A$21,0),99)</f>
        <v/>
      </c>
      <c r="K432" s="39">
        <f>HYPERLINK("https://wa.me/"&amp;H432&amp;"?text="&amp;ENCODEURL(T432),"✉ Написать")</f>
        <v/>
      </c>
      <c r="L432" s="39">
        <f>HYPERLINK("https://wa.me/"&amp;H432,"Открыть чат")</f>
        <v/>
      </c>
      <c r="M432" s="38" t="inlineStr">
        <is>
          <t>Ростов-на-Дону</t>
        </is>
      </c>
      <c r="N432" s="38" t="n">
        <v>4.7</v>
      </c>
      <c r="O432" s="38" t="n">
        <v>8</v>
      </c>
      <c r="P432" s="38" t="inlineStr">
        <is>
          <t>remall.design</t>
        </is>
      </c>
      <c r="Q432" s="38" t="inlineStr">
        <is>
          <t>есть сайт: сначала впиши в текст, что на нём не так</t>
        </is>
      </c>
      <c r="R432" s="38" t="n">
        <v>2</v>
      </c>
      <c r="S432" s="38" t="inlineStr">
        <is>
          <t>Ростовская область</t>
        </is>
      </c>
      <c r="T432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«Ремолл», где это исправлено, и показать. Собрать?</t>
        </is>
      </c>
      <c r="U432" s="38">
        <f>B432&amp;IF(D432&lt;&gt;""," · "&amp;D432,"")&amp;IF(F432&lt;&gt;"",CHAR(10)&amp;F432,"")</f>
        <v/>
      </c>
      <c r="V432" s="38">
        <f>IF(OR(F432="просрочено",F432="сегодня",F432="укажи дату",LEFT(F432,6)="молчит"),1,0)</f>
        <v/>
      </c>
    </row>
    <row r="433" ht="24" customHeight="1">
      <c r="A433" s="38" t="n">
        <v>432</v>
      </c>
      <c r="B433" s="32" t="inlineStr">
        <is>
          <t>Зодчий дом</t>
        </is>
      </c>
      <c r="C433" s="49" t="inlineStr">
        <is>
          <t>Очередь</t>
        </is>
      </c>
      <c r="D433" s="49" t="n"/>
      <c r="E433" s="50" t="n"/>
      <c r="F433" s="51">
        <f>IF(OR(C433="",C433="Очередь",C433="Клиент",C433="Отказ",C433="Не писать"),"",IF(E433="",IF(AND(C433="Отправлено",I433&lt;&gt;"",TODAY()-INT(I433)&gt;=3),"молчит "&amp;(TODAY()-INT(I433))&amp;" дн.",IF(OR(C433="Перезвонить",C433="Созвон"),"укажи дату","")),IF(INT(E433)&lt;TODAY(),"просрочено",IF(INT(E433)=TODAY(),"сегодня",IF(INT(E433)=TODAY()+1,"завтра",TEXT(E433,"dd.mm"))))))</f>
        <v/>
      </c>
      <c r="G433" s="52" t="n"/>
      <c r="H433" s="36" t="inlineStr">
        <is>
          <t>79613020775</t>
        </is>
      </c>
      <c r="I433" s="53" t="n"/>
      <c r="J433" s="38">
        <f>IFERROR(MATCH(C433,'Справка'!$A$12:$A$21,0),99)</f>
        <v/>
      </c>
      <c r="K433" s="39">
        <f>HYPERLINK("https://wa.me/"&amp;H433&amp;"?text="&amp;ENCODEURL(T433),"✉ Написать")</f>
        <v/>
      </c>
      <c r="L433" s="39">
        <f>HYPERLINK("https://wa.me/"&amp;H433,"Открыть чат")</f>
        <v/>
      </c>
      <c r="M433" s="38" t="inlineStr">
        <is>
          <t>Ростов-на-Дону</t>
        </is>
      </c>
      <c r="N433" s="38" t="n">
        <v>5</v>
      </c>
      <c r="O433" s="38" t="n">
        <v>8</v>
      </c>
      <c r="P433" s="38" t="inlineStr">
        <is>
          <t>зодчий-дом.рф</t>
        </is>
      </c>
      <c r="Q433" s="38" t="inlineStr">
        <is>
          <t>есть сайт: сначала впиши в текст, что на нём не так</t>
        </is>
      </c>
      <c r="R433" s="38" t="n">
        <v>2</v>
      </c>
      <c r="S433" s="38" t="inlineStr">
        <is>
          <t>Ростовская область</t>
        </is>
      </c>
      <c r="T433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«Зодчий дом», где это исправлено, и показать. Собрать?</t>
        </is>
      </c>
      <c r="U433" s="38">
        <f>B433&amp;IF(D433&lt;&gt;""," · "&amp;D433,"")&amp;IF(F433&lt;&gt;"",CHAR(10)&amp;F433,"")</f>
        <v/>
      </c>
      <c r="V433" s="38">
        <f>IF(OR(F433="просрочено",F433="сегодня",F433="укажи дату",LEFT(F433,6)="молчит"),1,0)</f>
        <v/>
      </c>
    </row>
    <row r="434" ht="24" customHeight="1">
      <c r="A434" s="38" t="n">
        <v>433</v>
      </c>
      <c r="B434" s="32" t="inlineStr">
        <is>
          <t>Кровля Юга</t>
        </is>
      </c>
      <c r="C434" s="49" t="inlineStr">
        <is>
          <t>Очередь</t>
        </is>
      </c>
      <c r="D434" s="49" t="n"/>
      <c r="E434" s="50" t="n"/>
      <c r="F434" s="51">
        <f>IF(OR(C434="",C434="Очередь",C434="Клиент",C434="Отказ",C434="Не писать"),"",IF(E434="",IF(AND(C434="Отправлено",I434&lt;&gt;"",TODAY()-INT(I434)&gt;=3),"молчит "&amp;(TODAY()-INT(I434))&amp;" дн.",IF(OR(C434="Перезвонить",C434="Созвон"),"укажи дату","")),IF(INT(E434)&lt;TODAY(),"просрочено",IF(INT(E434)=TODAY(),"сегодня",IF(INT(E434)=TODAY()+1,"завтра",TEXT(E434,"dd.mm"))))))</f>
        <v/>
      </c>
      <c r="G434" s="52" t="n"/>
      <c r="H434" s="36" t="inlineStr">
        <is>
          <t>79518484843</t>
        </is>
      </c>
      <c r="I434" s="53" t="n"/>
      <c r="J434" s="38">
        <f>IFERROR(MATCH(C434,'Справка'!$A$12:$A$21,0),99)</f>
        <v/>
      </c>
      <c r="K434" s="39">
        <f>HYPERLINK("https://wa.me/"&amp;H434&amp;"?text="&amp;ENCODEURL(T434),"✉ Написать")</f>
        <v/>
      </c>
      <c r="L434" s="39">
        <f>HYPERLINK("https://wa.me/"&amp;H434,"Открыть чат")</f>
        <v/>
      </c>
      <c r="M434" s="38" t="inlineStr">
        <is>
          <t>Ростов-на-Дону</t>
        </is>
      </c>
      <c r="N434" s="38" t="n">
        <v>5</v>
      </c>
      <c r="O434" s="38" t="n">
        <v>5</v>
      </c>
      <c r="P434" s="38" t="inlineStr">
        <is>
          <t>www.krovlya-yuga.ru</t>
        </is>
      </c>
      <c r="Q434" s="38" t="inlineStr">
        <is>
          <t>есть сайт: сначала впиши в текст, что на нём не так</t>
        </is>
      </c>
      <c r="R434" s="38" t="n">
        <v>2</v>
      </c>
      <c r="S434" s="38" t="inlineStr">
        <is>
          <t>Ростовская область</t>
        </is>
      </c>
      <c r="T434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«Кровля Юга», где это исправлено, и показать. Собрать?</t>
        </is>
      </c>
      <c r="U434" s="38">
        <f>B434&amp;IF(D434&lt;&gt;""," · "&amp;D434,"")&amp;IF(F434&lt;&gt;"",CHAR(10)&amp;F434,"")</f>
        <v/>
      </c>
      <c r="V434" s="38">
        <f>IF(OR(F434="просрочено",F434="сегодня",F434="укажи дату",LEFT(F434,6)="молчит"),1,0)</f>
        <v/>
      </c>
    </row>
    <row r="435" ht="24" customHeight="1">
      <c r="A435" s="38" t="n">
        <v>434</v>
      </c>
      <c r="B435" s="32" t="inlineStr">
        <is>
          <t>СтройДомСад</t>
        </is>
      </c>
      <c r="C435" s="49" t="inlineStr">
        <is>
          <t>Очередь</t>
        </is>
      </c>
      <c r="D435" s="49" t="n"/>
      <c r="E435" s="50" t="n"/>
      <c r="F435" s="51">
        <f>IF(OR(C435="",C435="Очередь",C435="Клиент",C435="Отказ",C435="Не писать"),"",IF(E435="",IF(AND(C435="Отправлено",I435&lt;&gt;"",TODAY()-INT(I435)&gt;=3),"молчит "&amp;(TODAY()-INT(I435))&amp;" дн.",IF(OR(C435="Перезвонить",C435="Созвон"),"укажи дату","")),IF(INT(E435)&lt;TODAY(),"просрочено",IF(INT(E435)=TODAY(),"сегодня",IF(INT(E435)=TODAY()+1,"завтра",TEXT(E435,"dd.mm"))))))</f>
        <v/>
      </c>
      <c r="G435" s="52" t="n"/>
      <c r="H435" s="36" t="inlineStr">
        <is>
          <t>79185873397</t>
        </is>
      </c>
      <c r="I435" s="53" t="n"/>
      <c r="J435" s="38">
        <f>IFERROR(MATCH(C435,'Справка'!$A$12:$A$21,0),99)</f>
        <v/>
      </c>
      <c r="K435" s="39">
        <f>HYPERLINK("https://wa.me/"&amp;H435&amp;"?text="&amp;ENCODEURL(T435),"✉ Написать")</f>
        <v/>
      </c>
      <c r="L435" s="39">
        <f>HYPERLINK("https://wa.me/"&amp;H435,"Открыть чат")</f>
        <v/>
      </c>
      <c r="M435" s="38" t="inlineStr">
        <is>
          <t>Ростов-на-Дону</t>
        </is>
      </c>
      <c r="N435" s="38" t="n">
        <v>5</v>
      </c>
      <c r="O435" s="38" t="n">
        <v>4</v>
      </c>
      <c r="P435" s="38" t="inlineStr">
        <is>
          <t>strojdomsad.clients.site/</t>
        </is>
      </c>
      <c r="Q435" s="38" t="inlineStr">
        <is>
          <t>есть сайт: сначала впиши в текст, что на нём не так</t>
        </is>
      </c>
      <c r="R435" s="38" t="n">
        <v>2</v>
      </c>
      <c r="S435" s="38" t="inlineStr">
        <is>
          <t>Ростовская область</t>
        </is>
      </c>
      <c r="T435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«СтройДомСад», где это исправлено, и показать. Собрать?</t>
        </is>
      </c>
      <c r="U435" s="38">
        <f>B435&amp;IF(D435&lt;&gt;""," · "&amp;D435,"")&amp;IF(F435&lt;&gt;"",CHAR(10)&amp;F435,"")</f>
        <v/>
      </c>
      <c r="V435" s="38">
        <f>IF(OR(F435="просрочено",F435="сегодня",F435="укажи дату",LEFT(F435,6)="молчит"),1,0)</f>
        <v/>
      </c>
    </row>
    <row r="436" ht="24" customHeight="1">
      <c r="A436" s="38" t="n">
        <v>435</v>
      </c>
      <c r="B436" s="32" t="inlineStr">
        <is>
          <t>Кровля Ростов</t>
        </is>
      </c>
      <c r="C436" s="49" t="inlineStr">
        <is>
          <t>Очередь</t>
        </is>
      </c>
      <c r="D436" s="49" t="n"/>
      <c r="E436" s="50" t="n"/>
      <c r="F436" s="51">
        <f>IF(OR(C436="",C436="Очередь",C436="Клиент",C436="Отказ",C436="Не писать"),"",IF(E436="",IF(AND(C436="Отправлено",I436&lt;&gt;"",TODAY()-INT(I436)&gt;=3),"молчит "&amp;(TODAY()-INT(I436))&amp;" дн.",IF(OR(C436="Перезвонить",C436="Созвон"),"укажи дату","")),IF(INT(E436)&lt;TODAY(),"просрочено",IF(INT(E436)=TODAY(),"сегодня",IF(INT(E436)=TODAY()+1,"завтра",TEXT(E436,"dd.mm"))))))</f>
        <v/>
      </c>
      <c r="G436" s="52" t="n"/>
      <c r="H436" s="36" t="inlineStr">
        <is>
          <t>79061825114</t>
        </is>
      </c>
      <c r="I436" s="53" t="n"/>
      <c r="J436" s="38">
        <f>IFERROR(MATCH(C436,'Справка'!$A$12:$A$21,0),99)</f>
        <v/>
      </c>
      <c r="K436" s="39">
        <f>HYPERLINK("https://wa.me/"&amp;H436&amp;"?text="&amp;ENCODEURL(T436),"✉ Написать")</f>
        <v/>
      </c>
      <c r="L436" s="39">
        <f>HYPERLINK("https://wa.me/"&amp;H436,"Открыть чат")</f>
        <v/>
      </c>
      <c r="M436" s="38" t="inlineStr">
        <is>
          <t>Ростов-на-Дону</t>
        </is>
      </c>
      <c r="N436" s="38" t="n">
        <v>3</v>
      </c>
      <c r="O436" s="38" t="n">
        <v>3</v>
      </c>
      <c r="P436" s="38" t="inlineStr">
        <is>
          <t>кровля-ростов.рф</t>
        </is>
      </c>
      <c r="Q436" s="38" t="inlineStr">
        <is>
          <t>есть сайт: сначала впиши в текст, что на нём не так</t>
        </is>
      </c>
      <c r="R436" s="38" t="n">
        <v>2</v>
      </c>
      <c r="S436" s="38" t="inlineStr">
        <is>
          <t>Ростовская область</t>
        </is>
      </c>
      <c r="T436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«Кровля Ростов», где это исправлено, и показать. Собрать?</t>
        </is>
      </c>
      <c r="U436" s="38">
        <f>B436&amp;IF(D436&lt;&gt;""," · "&amp;D436,"")&amp;IF(F436&lt;&gt;"",CHAR(10)&amp;F436,"")</f>
        <v/>
      </c>
      <c r="V436" s="38">
        <f>IF(OR(F436="просрочено",F436="сегодня",F436="укажи дату",LEFT(F436,6)="молчит"),1,0)</f>
        <v/>
      </c>
    </row>
    <row r="437" ht="24" customHeight="1">
      <c r="A437" s="38" t="n">
        <v>436</v>
      </c>
      <c r="B437" s="32" t="inlineStr">
        <is>
          <t>Пенетрон</t>
        </is>
      </c>
      <c r="C437" s="49" t="inlineStr">
        <is>
          <t>Очередь</t>
        </is>
      </c>
      <c r="D437" s="49" t="n"/>
      <c r="E437" s="50" t="n"/>
      <c r="F437" s="51">
        <f>IF(OR(C437="",C437="Очередь",C437="Клиент",C437="Отказ",C437="Не писать"),"",IF(E437="",IF(AND(C437="Отправлено",I437&lt;&gt;"",TODAY()-INT(I437)&gt;=3),"молчит "&amp;(TODAY()-INT(I437))&amp;" дн.",IF(OR(C437="Перезвонить",C437="Созвон"),"укажи дату","")),IF(INT(E437)&lt;TODAY(),"просрочено",IF(INT(E437)=TODAY(),"сегодня",IF(INT(E437)=TODAY()+1,"завтра",TEXT(E437,"dd.mm"))))))</f>
        <v/>
      </c>
      <c r="G437" s="52" t="n"/>
      <c r="H437" s="36" t="inlineStr">
        <is>
          <t>79515267499</t>
        </is>
      </c>
      <c r="I437" s="53" t="n"/>
      <c r="J437" s="38">
        <f>IFERROR(MATCH(C437,'Справка'!$A$12:$A$21,0),99)</f>
        <v/>
      </c>
      <c r="K437" s="39">
        <f>HYPERLINK("https://wa.me/"&amp;H437&amp;"?text="&amp;ENCODEURL(T437),"✉ Написать")</f>
        <v/>
      </c>
      <c r="L437" s="39">
        <f>HYPERLINK("https://wa.me/"&amp;H437,"Открыть чат")</f>
        <v/>
      </c>
      <c r="M437" s="38" t="inlineStr">
        <is>
          <t>Ростов-на-Дону</t>
        </is>
      </c>
      <c r="N437" s="38" t="n">
        <v>5</v>
      </c>
      <c r="O437" s="38" t="n">
        <v>1</v>
      </c>
      <c r="P437" s="38" t="inlineStr">
        <is>
          <t>гидроизоляция161.рф/</t>
        </is>
      </c>
      <c r="Q437" s="38" t="inlineStr">
        <is>
          <t>есть сайт: сначала впиши в текст, что на нём не так</t>
        </is>
      </c>
      <c r="R437" s="38" t="n">
        <v>2</v>
      </c>
      <c r="S437" s="38" t="inlineStr">
        <is>
          <t>Ростовская область</t>
        </is>
      </c>
      <c r="T437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«Пенетрон», где это исправлено, и показать. Собрать?</t>
        </is>
      </c>
      <c r="U437" s="38">
        <f>B437&amp;IF(D437&lt;&gt;""," · "&amp;D437,"")&amp;IF(F437&lt;&gt;"",CHAR(10)&amp;F437,"")</f>
        <v/>
      </c>
      <c r="V437" s="38">
        <f>IF(OR(F437="просрочено",F437="сегодня",F437="укажи дату",LEFT(F437,6)="молчит"),1,0)</f>
        <v/>
      </c>
    </row>
    <row r="438" ht="24" customHeight="1">
      <c r="A438" s="38" t="n">
        <v>437</v>
      </c>
      <c r="B438" s="32" t="inlineStr">
        <is>
          <t>Спецзащита</t>
        </is>
      </c>
      <c r="C438" s="49" t="inlineStr">
        <is>
          <t>Очередь</t>
        </is>
      </c>
      <c r="D438" s="49" t="n"/>
      <c r="E438" s="50" t="n"/>
      <c r="F438" s="51">
        <f>IF(OR(C438="",C438="Очередь",C438="Клиент",C438="Отказ",C438="Не писать"),"",IF(E438="",IF(AND(C438="Отправлено",I438&lt;&gt;"",TODAY()-INT(I438)&gt;=3),"молчит "&amp;(TODAY()-INT(I438))&amp;" дн.",IF(OR(C438="Перезвонить",C438="Созвон"),"укажи дату","")),IF(INT(E438)&lt;TODAY(),"просрочено",IF(INT(E438)=TODAY(),"сегодня",IF(INT(E438)=TODAY()+1,"завтра",TEXT(E438,"dd.mm"))))))</f>
        <v/>
      </c>
      <c r="G438" s="52" t="n"/>
      <c r="H438" s="36" t="inlineStr">
        <is>
          <t>79525695595</t>
        </is>
      </c>
      <c r="I438" s="53" t="n"/>
      <c r="J438" s="38">
        <f>IFERROR(MATCH(C438,'Справка'!$A$12:$A$21,0),99)</f>
        <v/>
      </c>
      <c r="K438" s="39">
        <f>HYPERLINK("https://wa.me/"&amp;H438&amp;"?text="&amp;ENCODEURL(T438),"✉ Написать")</f>
        <v/>
      </c>
      <c r="L438" s="39">
        <f>HYPERLINK("https://wa.me/"&amp;H438,"Открыть чат")</f>
        <v/>
      </c>
      <c r="M438" s="38" t="inlineStr">
        <is>
          <t>Аксай</t>
        </is>
      </c>
      <c r="N438" s="38" t="n">
        <v>1</v>
      </c>
      <c r="O438" s="38" t="n">
        <v>1</v>
      </c>
      <c r="P438" s="38" t="inlineStr">
        <is>
          <t>www.vector-s.ru</t>
        </is>
      </c>
      <c r="Q438" s="38" t="inlineStr">
        <is>
          <t>есть сайт: сначала впиши в текст, что на нём не так</t>
        </is>
      </c>
      <c r="R438" s="38" t="n">
        <v>2</v>
      </c>
      <c r="S438" s="38" t="inlineStr">
        <is>
          <t>Ростовская область</t>
        </is>
      </c>
      <c r="T438" s="38" t="inlineStr">
        <is>
          <t>Здравствуйте! Смотрел в 2ГИС кровельные компании в Аксае, зашёл на ваш сайт с телефона: [ЧТО НЕ ТАК НА САЙТЕ].
Могу за вечер собрать вариант под «Спецзащита», где это исправлено, и показать. Собрать?</t>
        </is>
      </c>
      <c r="U438" s="38">
        <f>B438&amp;IF(D438&lt;&gt;""," · "&amp;D438,"")&amp;IF(F438&lt;&gt;"",CHAR(10)&amp;F438,"")</f>
        <v/>
      </c>
      <c r="V438" s="38">
        <f>IF(OR(F438="просрочено",F438="сегодня",F438="укажи дату",LEFT(F438,6)="молчит"),1,0)</f>
        <v/>
      </c>
    </row>
    <row r="439" ht="24" customHeight="1">
      <c r="A439" s="38" t="n">
        <v>438</v>
      </c>
      <c r="B439" s="32" t="inlineStr">
        <is>
          <t>Стройдом</t>
        </is>
      </c>
      <c r="C439" s="49" t="inlineStr">
        <is>
          <t>Очередь</t>
        </is>
      </c>
      <c r="D439" s="49" t="n"/>
      <c r="E439" s="50" t="n"/>
      <c r="F439" s="51">
        <f>IF(OR(C439="",C439="Очередь",C439="Клиент",C439="Отказ",C439="Не писать"),"",IF(E439="",IF(AND(C439="Отправлено",I439&lt;&gt;"",TODAY()-INT(I439)&gt;=3),"молчит "&amp;(TODAY()-INT(I439))&amp;" дн.",IF(OR(C439="Перезвонить",C439="Созвон"),"укажи дату","")),IF(INT(E439)&lt;TODAY(),"просрочено",IF(INT(E439)=TODAY(),"сегодня",IF(INT(E439)=TODAY()+1,"завтра",TEXT(E439,"dd.mm"))))))</f>
        <v/>
      </c>
      <c r="G439" s="52" t="n"/>
      <c r="H439" s="36" t="inlineStr">
        <is>
          <t>79010066555</t>
        </is>
      </c>
      <c r="I439" s="53" t="n"/>
      <c r="J439" s="38">
        <f>IFERROR(MATCH(C439,'Справка'!$A$12:$A$21,0),99)</f>
        <v/>
      </c>
      <c r="K439" s="39">
        <f>HYPERLINK("https://wa.me/"&amp;H439&amp;"?text="&amp;ENCODEURL(T439),"✉ Написать")</f>
        <v/>
      </c>
      <c r="L439" s="39">
        <f>HYPERLINK("https://wa.me/"&amp;H439,"Открыть чат")</f>
        <v/>
      </c>
      <c r="M439" s="38" t="inlineStr">
        <is>
          <t>Ростов-на-Дону</t>
        </is>
      </c>
      <c r="N439" s="38" t="n"/>
      <c r="O439" s="38" t="n"/>
      <c r="P439" s="38" t="inlineStr">
        <is>
          <t>stroidom-rostov.ru</t>
        </is>
      </c>
      <c r="Q439" s="38" t="inlineStr">
        <is>
          <t>есть сайт: сначала впиши в текст, что на нём не так</t>
        </is>
      </c>
      <c r="R439" s="38" t="n">
        <v>2</v>
      </c>
      <c r="S439" s="38" t="inlineStr">
        <is>
          <t>Ростовская область</t>
        </is>
      </c>
      <c r="T439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«Стройдом», где это исправлено, и показать. Собрать?</t>
        </is>
      </c>
      <c r="U439" s="38">
        <f>B439&amp;IF(D439&lt;&gt;""," · "&amp;D439,"")&amp;IF(F439&lt;&gt;"",CHAR(10)&amp;F439,"")</f>
        <v/>
      </c>
      <c r="V439" s="38">
        <f>IF(OR(F439="просрочено",F439="сегодня",F439="укажи дату",LEFT(F439,6)="молчит"),1,0)</f>
        <v/>
      </c>
    </row>
    <row r="440" ht="24" customHeight="1">
      <c r="A440" s="38" t="n">
        <v>439</v>
      </c>
      <c r="B440" s="32" t="inlineStr">
        <is>
          <t>Строительная фирма Галс</t>
        </is>
      </c>
      <c r="C440" s="49" t="inlineStr">
        <is>
          <t>Очередь</t>
        </is>
      </c>
      <c r="D440" s="49" t="n"/>
      <c r="E440" s="50" t="n"/>
      <c r="F440" s="51">
        <f>IF(OR(C440="",C440="Очередь",C440="Клиент",C440="Отказ",C440="Не писать"),"",IF(E440="",IF(AND(C440="Отправлено",I440&lt;&gt;"",TODAY()-INT(I440)&gt;=3),"молчит "&amp;(TODAY()-INT(I440))&amp;" дн.",IF(OR(C440="Перезвонить",C440="Созвон"),"укажи дату","")),IF(INT(E440)&lt;TODAY(),"просрочено",IF(INT(E440)=TODAY(),"сегодня",IF(INT(E440)=TODAY()+1,"завтра",TEXT(E440,"dd.mm"))))))</f>
        <v/>
      </c>
      <c r="G440" s="52" t="n"/>
      <c r="H440" s="36" t="inlineStr">
        <is>
          <t>79895111472</t>
        </is>
      </c>
      <c r="I440" s="53" t="n"/>
      <c r="J440" s="38">
        <f>IFERROR(MATCH(C440,'Справка'!$A$12:$A$21,0),99)</f>
        <v/>
      </c>
      <c r="K440" s="39">
        <f>HYPERLINK("https://wa.me/"&amp;H440&amp;"?text="&amp;ENCODEURL(T440),"✉ Написать")</f>
        <v/>
      </c>
      <c r="L440" s="39">
        <f>HYPERLINK("https://wa.me/"&amp;H440,"Открыть чат")</f>
        <v/>
      </c>
      <c r="M440" s="38" t="inlineStr">
        <is>
          <t>Ростов-на-Дону</t>
        </is>
      </c>
      <c r="N440" s="38" t="n"/>
      <c r="O440" s="38" t="n"/>
      <c r="P440" s="38" t="inlineStr">
        <is>
          <t>sfgals.ru/</t>
        </is>
      </c>
      <c r="Q440" s="38" t="inlineStr">
        <is>
          <t>есть сайт: сначала впиши в текст, что на нём не так</t>
        </is>
      </c>
      <c r="R440" s="38" t="n">
        <v>2</v>
      </c>
      <c r="S440" s="38" t="inlineStr">
        <is>
          <t>Ростовская область</t>
        </is>
      </c>
      <c r="T440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«Строительная фирма Галс», где это исправлено, и показать. Собрать?</t>
        </is>
      </c>
      <c r="U440" s="38">
        <f>B440&amp;IF(D440&lt;&gt;""," · "&amp;D440,"")&amp;IF(F440&lt;&gt;"",CHAR(10)&amp;F440,"")</f>
        <v/>
      </c>
      <c r="V440" s="38">
        <f>IF(OR(F440="просрочено",F440="сегодня",F440="укажи дату",LEFT(F440,6)="молчит"),1,0)</f>
        <v/>
      </c>
    </row>
    <row r="441" ht="24" customHeight="1">
      <c r="A441" s="38" t="n">
        <v>440</v>
      </c>
      <c r="B441" s="32" t="inlineStr">
        <is>
          <t>Мирман Компани</t>
        </is>
      </c>
      <c r="C441" s="49" t="inlineStr">
        <is>
          <t>Очередь</t>
        </is>
      </c>
      <c r="D441" s="49" t="n"/>
      <c r="E441" s="50" t="n"/>
      <c r="F441" s="51">
        <f>IF(OR(C441="",C441="Очередь",C441="Клиент",C441="Отказ",C441="Не писать"),"",IF(E441="",IF(AND(C441="Отправлено",I441&lt;&gt;"",TODAY()-INT(I441)&gt;=3),"молчит "&amp;(TODAY()-INT(I441))&amp;" дн.",IF(OR(C441="Перезвонить",C441="Созвон"),"укажи дату","")),IF(INT(E441)&lt;TODAY(),"просрочено",IF(INT(E441)=TODAY(),"сегодня",IF(INT(E441)=TODAY()+1,"завтра",TEXT(E441,"dd.mm"))))))</f>
        <v/>
      </c>
      <c r="G441" s="52" t="n"/>
      <c r="H441" s="36" t="inlineStr">
        <is>
          <t>79054535484</t>
        </is>
      </c>
      <c r="I441" s="53" t="n"/>
      <c r="J441" s="38">
        <f>IFERROR(MATCH(C441,'Справка'!$A$12:$A$21,0),99)</f>
        <v/>
      </c>
      <c r="K441" s="39">
        <f>HYPERLINK("https://wa.me/"&amp;H441&amp;"?text="&amp;ENCODEURL(T441),"✉ Написать")</f>
        <v/>
      </c>
      <c r="L441" s="39">
        <f>HYPERLINK("https://wa.me/"&amp;H441,"Открыть чат")</f>
        <v/>
      </c>
      <c r="M441" s="38" t="inlineStr">
        <is>
          <t>Ростов-на-Дону</t>
        </is>
      </c>
      <c r="N441" s="38" t="n"/>
      <c r="O441" s="38" t="n"/>
      <c r="P441" s="38" t="inlineStr">
        <is>
          <t>mirmancompany.ru</t>
        </is>
      </c>
      <c r="Q441" s="38" t="inlineStr">
        <is>
          <t>есть сайт: сначала впиши в текст, что на нём не так</t>
        </is>
      </c>
      <c r="R441" s="38" t="n">
        <v>2</v>
      </c>
      <c r="S441" s="38" t="inlineStr">
        <is>
          <t>Ростовская область</t>
        </is>
      </c>
      <c r="T441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«Мирман Компани», где это исправлено, и показать. Собрать?</t>
        </is>
      </c>
      <c r="U441" s="38">
        <f>B441&amp;IF(D441&lt;&gt;""," · "&amp;D441,"")&amp;IF(F441&lt;&gt;"",CHAR(10)&amp;F441,"")</f>
        <v/>
      </c>
      <c r="V441" s="38">
        <f>IF(OR(F441="просрочено",F441="сегодня",F441="укажи дату",LEFT(F441,6)="молчит"),1,0)</f>
        <v/>
      </c>
    </row>
    <row r="442" ht="24" customHeight="1">
      <c r="A442" s="38" t="n">
        <v>441</v>
      </c>
      <c r="B442" s="32" t="inlineStr">
        <is>
          <t>Deluxe</t>
        </is>
      </c>
      <c r="C442" s="49" t="inlineStr">
        <is>
          <t>Очередь</t>
        </is>
      </c>
      <c r="D442" s="49" t="n"/>
      <c r="E442" s="50" t="n"/>
      <c r="F442" s="51">
        <f>IF(OR(C442="",C442="Очередь",C442="Клиент",C442="Отказ",C442="Не писать"),"",IF(E442="",IF(AND(C442="Отправлено",I442&lt;&gt;"",TODAY()-INT(I442)&gt;=3),"молчит "&amp;(TODAY()-INT(I442))&amp;" дн.",IF(OR(C442="Перезвонить",C442="Созвон"),"укажи дату","")),IF(INT(E442)&lt;TODAY(),"просрочено",IF(INT(E442)=TODAY(),"сегодня",IF(INT(E442)=TODAY()+1,"завтра",TEXT(E442,"dd.mm"))))))</f>
        <v/>
      </c>
      <c r="G442" s="52" t="n"/>
      <c r="H442" s="36" t="inlineStr">
        <is>
          <t>79185549042</t>
        </is>
      </c>
      <c r="I442" s="53" t="n"/>
      <c r="J442" s="38">
        <f>IFERROR(MATCH(C442,'Справка'!$A$12:$A$21,0),99)</f>
        <v/>
      </c>
      <c r="K442" s="39">
        <f>HYPERLINK("https://wa.me/"&amp;H442&amp;"?text="&amp;ENCODEURL(T442),"✉ Написать")</f>
        <v/>
      </c>
      <c r="L442" s="39">
        <f>HYPERLINK("https://wa.me/"&amp;H442,"Открыть чат")</f>
        <v/>
      </c>
      <c r="M442" s="38" t="inlineStr">
        <is>
          <t>Ростов-на-Дону</t>
        </is>
      </c>
      <c r="N442" s="38" t="n"/>
      <c r="O442" s="38" t="n"/>
      <c r="P442" s="38" t="inlineStr">
        <is>
          <t>xn--b1adduaedwri5lta.xn--p1ai/</t>
        </is>
      </c>
      <c r="Q442" s="38" t="inlineStr">
        <is>
          <t>есть сайт: сначала впиши в текст, что на нём не так</t>
        </is>
      </c>
      <c r="R442" s="38" t="n">
        <v>2</v>
      </c>
      <c r="S442" s="38" t="inlineStr">
        <is>
          <t>Ростовская область</t>
        </is>
      </c>
      <c r="T442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«Deluxe», где это исправлено, и показать. Собрать?</t>
        </is>
      </c>
      <c r="U442" s="38">
        <f>B442&amp;IF(D442&lt;&gt;""," · "&amp;D442,"")&amp;IF(F442&lt;&gt;"",CHAR(10)&amp;F442,"")</f>
        <v/>
      </c>
      <c r="V442" s="38">
        <f>IF(OR(F442="просрочено",F442="сегодня",F442="укажи дату",LEFT(F442,6)="молчит"),1,0)</f>
        <v/>
      </c>
    </row>
    <row r="443" ht="24" customHeight="1">
      <c r="A443" s="38" t="n">
        <v>442</v>
      </c>
      <c r="B443" s="32" t="inlineStr">
        <is>
          <t>Кровельщик Дона</t>
        </is>
      </c>
      <c r="C443" s="49" t="inlineStr">
        <is>
          <t>Очередь</t>
        </is>
      </c>
      <c r="D443" s="49" t="n"/>
      <c r="E443" s="50" t="n"/>
      <c r="F443" s="51">
        <f>IF(OR(C443="",C443="Очередь",C443="Клиент",C443="Отказ",C443="Не писать"),"",IF(E443="",IF(AND(C443="Отправлено",I443&lt;&gt;"",TODAY()-INT(I443)&gt;=3),"молчит "&amp;(TODAY()-INT(I443))&amp;" дн.",IF(OR(C443="Перезвонить",C443="Созвон"),"укажи дату","")),IF(INT(E443)&lt;TODAY(),"просрочено",IF(INT(E443)=TODAY(),"сегодня",IF(INT(E443)=TODAY()+1,"завтра",TEXT(E443,"dd.mm"))))))</f>
        <v/>
      </c>
      <c r="G443" s="52" t="n"/>
      <c r="H443" s="36" t="inlineStr">
        <is>
          <t>79614101452</t>
        </is>
      </c>
      <c r="I443" s="53" t="n"/>
      <c r="J443" s="38">
        <f>IFERROR(MATCH(C443,'Справка'!$A$12:$A$21,0),99)</f>
        <v/>
      </c>
      <c r="K443" s="39">
        <f>HYPERLINK("https://wa.me/"&amp;H443&amp;"?text="&amp;ENCODEURL(T443),"✉ Написать")</f>
        <v/>
      </c>
      <c r="L443" s="39">
        <f>HYPERLINK("https://wa.me/"&amp;H443,"Открыть чат")</f>
        <v/>
      </c>
      <c r="M443" s="38" t="inlineStr">
        <is>
          <t>Ростов-на-Дону</t>
        </is>
      </c>
      <c r="N443" s="38" t="n"/>
      <c r="O443" s="38" t="n"/>
      <c r="P443" s="38" t="inlineStr">
        <is>
          <t>krovelshik-dona.ru</t>
        </is>
      </c>
      <c r="Q443" s="38" t="inlineStr">
        <is>
          <t>есть сайт: сначала впиши в текст, что на нём не так</t>
        </is>
      </c>
      <c r="R443" s="38" t="n">
        <v>2</v>
      </c>
      <c r="S443" s="38" t="inlineStr">
        <is>
          <t>Ростовская область</t>
        </is>
      </c>
      <c r="T443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«Кровельщик Дона», где это исправлено, и показать. Собрать?</t>
        </is>
      </c>
      <c r="U443" s="38">
        <f>B443&amp;IF(D443&lt;&gt;""," · "&amp;D443,"")&amp;IF(F443&lt;&gt;"",CHAR(10)&amp;F443,"")</f>
        <v/>
      </c>
      <c r="V443" s="38">
        <f>IF(OR(F443="просрочено",F443="сегодня",F443="укажи дату",LEFT(F443,6)="молчит"),1,0)</f>
        <v/>
      </c>
    </row>
    <row r="444" ht="24" customHeight="1">
      <c r="A444" s="38" t="n">
        <v>443</v>
      </c>
      <c r="B444" s="32" t="inlineStr">
        <is>
          <t>Дом под ключ</t>
        </is>
      </c>
      <c r="C444" s="49" t="inlineStr">
        <is>
          <t>Очередь</t>
        </is>
      </c>
      <c r="D444" s="49" t="n"/>
      <c r="E444" s="50" t="n"/>
      <c r="F444" s="51">
        <f>IF(OR(C444="",C444="Очередь",C444="Клиент",C444="Отказ",C444="Не писать"),"",IF(E444="",IF(AND(C444="Отправлено",I444&lt;&gt;"",TODAY()-INT(I444)&gt;=3),"молчит "&amp;(TODAY()-INT(I444))&amp;" дн.",IF(OR(C444="Перезвонить",C444="Созвон"),"укажи дату","")),IF(INT(E444)&lt;TODAY(),"просрочено",IF(INT(E444)=TODAY(),"сегодня",IF(INT(E444)=TODAY()+1,"завтра",TEXT(E444,"dd.mm"))))))</f>
        <v/>
      </c>
      <c r="G444" s="52" t="n"/>
      <c r="H444" s="36" t="inlineStr">
        <is>
          <t>79613011150</t>
        </is>
      </c>
      <c r="I444" s="53" t="n"/>
      <c r="J444" s="38">
        <f>IFERROR(MATCH(C444,'Справка'!$A$12:$A$21,0),99)</f>
        <v/>
      </c>
      <c r="K444" s="39">
        <f>HYPERLINK("https://wa.me/"&amp;H444&amp;"?text="&amp;ENCODEURL(T444),"✉ Написать")</f>
        <v/>
      </c>
      <c r="L444" s="39">
        <f>HYPERLINK("https://wa.me/"&amp;H444,"Открыть чат")</f>
        <v/>
      </c>
      <c r="M444" s="38" t="inlineStr">
        <is>
          <t>Батайск</t>
        </is>
      </c>
      <c r="N444" s="38" t="n"/>
      <c r="O444" s="38" t="n"/>
      <c r="P444" s="38" t="inlineStr">
        <is>
          <t>гк-домподключ.рф</t>
        </is>
      </c>
      <c r="Q444" s="38" t="inlineStr">
        <is>
          <t>есть сайт: сначала впиши в текст, что на нём не так</t>
        </is>
      </c>
      <c r="R444" s="38" t="n">
        <v>2</v>
      </c>
      <c r="S444" s="38" t="inlineStr">
        <is>
          <t>Ростовская область</t>
        </is>
      </c>
      <c r="T444" s="38" t="inlineStr">
        <is>
          <t>Здравствуйте! Смотрел в 2ГИС кровельные компании в Батайске, зашёл на ваш сайт с телефона: [ЧТО НЕ ТАК НА САЙТЕ].
Могу за вечер собрать вариант под «Дом под ключ», где это исправлено, и показать. Собрать?</t>
        </is>
      </c>
      <c r="U444" s="38">
        <f>B444&amp;IF(D444&lt;&gt;""," · "&amp;D444,"")&amp;IF(F444&lt;&gt;"",CHAR(10)&amp;F444,"")</f>
        <v/>
      </c>
      <c r="V444" s="38">
        <f>IF(OR(F444="просрочено",F444="сегодня",F444="укажи дату",LEFT(F444,6)="молчит"),1,0)</f>
        <v/>
      </c>
    </row>
    <row r="445" ht="24" customHeight="1">
      <c r="A445" s="38" t="n">
        <v>444</v>
      </c>
      <c r="B445" s="32" t="inlineStr">
        <is>
          <t>Монолит</t>
        </is>
      </c>
      <c r="C445" s="49" t="inlineStr">
        <is>
          <t>Очередь</t>
        </is>
      </c>
      <c r="D445" s="49" t="n"/>
      <c r="E445" s="50" t="n"/>
      <c r="F445" s="51">
        <f>IF(OR(C445="",C445="Очередь",C445="Клиент",C445="Отказ",C445="Не писать"),"",IF(E445="",IF(AND(C445="Отправлено",I445&lt;&gt;"",TODAY()-INT(I445)&gt;=3),"молчит "&amp;(TODAY()-INT(I445))&amp;" дн.",IF(OR(C445="Перезвонить",C445="Созвон"),"укажи дату","")),IF(INT(E445)&lt;TODAY(),"просрочено",IF(INT(E445)=TODAY(),"сегодня",IF(INT(E445)=TODAY()+1,"завтра",TEXT(E445,"dd.mm"))))))</f>
        <v/>
      </c>
      <c r="G445" s="52" t="n"/>
      <c r="H445" s="36" t="inlineStr">
        <is>
          <t>79381799909</t>
        </is>
      </c>
      <c r="I445" s="53" t="n"/>
      <c r="J445" s="38">
        <f>IFERROR(MATCH(C445,'Справка'!$A$12:$A$21,0),99)</f>
        <v/>
      </c>
      <c r="K445" s="39">
        <f>HYPERLINK("https://wa.me/"&amp;H445&amp;"?text="&amp;ENCODEURL(T445),"✉ Написать")</f>
        <v/>
      </c>
      <c r="L445" s="39">
        <f>HYPERLINK("https://wa.me/"&amp;H445,"Открыть чат")</f>
        <v/>
      </c>
      <c r="M445" s="38" t="inlineStr">
        <is>
          <t>Новочеркасск</t>
        </is>
      </c>
      <c r="N445" s="38" t="n"/>
      <c r="O445" s="38" t="n"/>
      <c r="P445" s="38" t="inlineStr">
        <is>
          <t>monolit-n-161.ru/</t>
        </is>
      </c>
      <c r="Q445" s="38" t="inlineStr">
        <is>
          <t>есть сайт: сначала впиши в текст, что на нём не так</t>
        </is>
      </c>
      <c r="R445" s="38" t="n">
        <v>2</v>
      </c>
      <c r="S445" s="38" t="inlineStr">
        <is>
          <t>Ростовская область</t>
        </is>
      </c>
      <c r="T445" s="38" t="inlineStr">
        <is>
          <t>Здравствуйте! Смотрел в 2ГИС кровельные компании в Новочеркасске, зашёл на ваш сайт с телефона: [ЧТО НЕ ТАК НА САЙТЕ].
Могу за вечер собрать вариант под «Монолит», где это исправлено, и показать. Собрать?</t>
        </is>
      </c>
      <c r="U445" s="38">
        <f>B445&amp;IF(D445&lt;&gt;""," · "&amp;D445,"")&amp;IF(F445&lt;&gt;"",CHAR(10)&amp;F445,"")</f>
        <v/>
      </c>
      <c r="V445" s="38">
        <f>IF(OR(F445="просрочено",F445="сегодня",F445="укажи дату",LEFT(F445,6)="молчит"),1,0)</f>
        <v/>
      </c>
    </row>
    <row r="446" ht="24" customHeight="1">
      <c r="A446" s="38" t="n">
        <v>445</v>
      </c>
      <c r="B446" s="32" t="inlineStr">
        <is>
          <t>Кровля Металл</t>
        </is>
      </c>
      <c r="C446" s="49" t="inlineStr">
        <is>
          <t>Очередь</t>
        </is>
      </c>
      <c r="D446" s="49" t="n"/>
      <c r="E446" s="50" t="n"/>
      <c r="F446" s="51">
        <f>IF(OR(C446="",C446="Очередь",C446="Клиент",C446="Отказ",C446="Не писать"),"",IF(E446="",IF(AND(C446="Отправлено",I446&lt;&gt;"",TODAY()-INT(I446)&gt;=3),"молчит "&amp;(TODAY()-INT(I446))&amp;" дн.",IF(OR(C446="Перезвонить",C446="Созвон"),"укажи дату","")),IF(INT(E446)&lt;TODAY(),"просрочено",IF(INT(E446)=TODAY(),"сегодня",IF(INT(E446)=TODAY()+1,"завтра",TEXT(E446,"dd.mm"))))))</f>
        <v/>
      </c>
      <c r="G446" s="52" t="n"/>
      <c r="H446" s="36" t="inlineStr">
        <is>
          <t>79889989041</t>
        </is>
      </c>
      <c r="I446" s="53" t="n"/>
      <c r="J446" s="38">
        <f>IFERROR(MATCH(C446,'Справка'!$A$12:$A$21,0),99)</f>
        <v/>
      </c>
      <c r="K446" s="39">
        <f>HYPERLINK("https://wa.me/"&amp;H446&amp;"?text="&amp;ENCODEURL(T446),"✉ Написать")</f>
        <v/>
      </c>
      <c r="L446" s="39">
        <f>HYPERLINK("https://wa.me/"&amp;H446,"Открыть чат")</f>
        <v/>
      </c>
      <c r="M446" s="38" t="inlineStr">
        <is>
          <t>Сальск</t>
        </is>
      </c>
      <c r="N446" s="38" t="n"/>
      <c r="O446" s="38" t="n"/>
      <c r="P446" s="38" t="inlineStr">
        <is>
          <t>krovlya-metall-salsk.ru</t>
        </is>
      </c>
      <c r="Q446" s="38" t="inlineStr">
        <is>
          <t>есть сайт: сначала впиши в текст, что на нём не так</t>
        </is>
      </c>
      <c r="R446" s="38" t="n">
        <v>2</v>
      </c>
      <c r="S446" s="38" t="inlineStr">
        <is>
          <t>Ростовская область</t>
        </is>
      </c>
      <c r="T446" s="38" t="inlineStr">
        <is>
          <t>Здравствуйте! Смотрел в 2ГИС кровельные компании в Сальске, зашёл на ваш сайт с телефона: [ЧТО НЕ ТАК НА САЙТЕ].
Могу за вечер собрать вариант под «Кровля Металл», где это исправлено, и показать. Собрать?</t>
        </is>
      </c>
      <c r="U446" s="38">
        <f>B446&amp;IF(D446&lt;&gt;""," · "&amp;D446,"")&amp;IF(F446&lt;&gt;"",CHAR(10)&amp;F446,"")</f>
        <v/>
      </c>
      <c r="V446" s="38">
        <f>IF(OR(F446="просрочено",F446="сегодня",F446="укажи дату",LEFT(F446,6)="молчит"),1,0)</f>
        <v/>
      </c>
    </row>
    <row r="447" ht="24" customHeight="1">
      <c r="A447" s="38" t="n">
        <v>446</v>
      </c>
      <c r="B447" s="32" t="inlineStr">
        <is>
          <t>Мкн</t>
        </is>
      </c>
      <c r="C447" s="49" t="inlineStr">
        <is>
          <t>Очередь</t>
        </is>
      </c>
      <c r="D447" s="49" t="n"/>
      <c r="E447" s="50" t="n"/>
      <c r="F447" s="51">
        <f>IF(OR(C447="",C447="Очередь",C447="Клиент",C447="Отказ",C447="Не писать"),"",IF(E447="",IF(AND(C447="Отправлено",I447&lt;&gt;"",TODAY()-INT(I447)&gt;=3),"молчит "&amp;(TODAY()-INT(I447))&amp;" дн.",IF(OR(C447="Перезвонить",C447="Созвон"),"укажи дату","")),IF(INT(E447)&lt;TODAY(),"просрочено",IF(INT(E447)=TODAY(),"сегодня",IF(INT(E447)=TODAY()+1,"завтра",TEXT(E447,"dd.mm"))))))</f>
        <v/>
      </c>
      <c r="G447" s="52" t="n"/>
      <c r="H447" s="36" t="inlineStr">
        <is>
          <t>79272608704</t>
        </is>
      </c>
      <c r="I447" s="53" t="n"/>
      <c r="J447" s="38">
        <f>IFERROR(MATCH(C447,'Справка'!$A$12:$A$21,0),99)</f>
        <v/>
      </c>
      <c r="K447" s="39">
        <f>HYPERLINK("https://wa.me/"&amp;H447&amp;"?text="&amp;ENCODEURL(T447),"✉ Написать")</f>
        <v/>
      </c>
      <c r="L447" s="39">
        <f>HYPERLINK("https://wa.me/"&amp;H447,"Открыть чат")</f>
        <v/>
      </c>
      <c r="M447" s="38" t="inlineStr">
        <is>
          <t>Самара</t>
        </is>
      </c>
      <c r="N447" s="38" t="n">
        <v>5</v>
      </c>
      <c r="O447" s="38" t="n">
        <v>8</v>
      </c>
      <c r="P447" s="38" t="inlineStr">
        <is>
          <t>www.mk-house.ru</t>
        </is>
      </c>
      <c r="Q447" s="38" t="inlineStr">
        <is>
          <t>есть сайт: сначала впиши в текст, что на нём не так</t>
        </is>
      </c>
      <c r="R447" s="38" t="n">
        <v>2</v>
      </c>
      <c r="S447" s="38" t="inlineStr">
        <is>
          <t>Самарская область</t>
        </is>
      </c>
      <c r="T447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«Мкн», где это исправлено, и показать. Собрать?</t>
        </is>
      </c>
      <c r="U447" s="38">
        <f>B447&amp;IF(D447&lt;&gt;""," · "&amp;D447,"")&amp;IF(F447&lt;&gt;"",CHAR(10)&amp;F447,"")</f>
        <v/>
      </c>
      <c r="V447" s="38">
        <f>IF(OR(F447="просрочено",F447="сегодня",F447="укажи дату",LEFT(F447,6)="молчит"),1,0)</f>
        <v/>
      </c>
    </row>
    <row r="448" ht="24" customHeight="1">
      <c r="A448" s="38" t="n">
        <v>447</v>
      </c>
      <c r="B448" s="32" t="inlineStr">
        <is>
          <t>ДСК63</t>
        </is>
      </c>
      <c r="C448" s="49" t="inlineStr">
        <is>
          <t>Очередь</t>
        </is>
      </c>
      <c r="D448" s="49" t="n"/>
      <c r="E448" s="50" t="n"/>
      <c r="F448" s="51">
        <f>IF(OR(C448="",C448="Очередь",C448="Клиент",C448="Отказ",C448="Не писать"),"",IF(E448="",IF(AND(C448="Отправлено",I448&lt;&gt;"",TODAY()-INT(I448)&gt;=3),"молчит "&amp;(TODAY()-INT(I448))&amp;" дн.",IF(OR(C448="Перезвонить",C448="Созвон"),"укажи дату","")),IF(INT(E448)&lt;TODAY(),"просрочено",IF(INT(E448)=TODAY(),"сегодня",IF(INT(E448)=TODAY()+1,"завтра",TEXT(E448,"dd.mm"))))))</f>
        <v/>
      </c>
      <c r="G448" s="52" t="n"/>
      <c r="H448" s="36" t="inlineStr">
        <is>
          <t>79608314950</t>
        </is>
      </c>
      <c r="I448" s="53" t="n"/>
      <c r="J448" s="38">
        <f>IFERROR(MATCH(C448,'Справка'!$A$12:$A$21,0),99)</f>
        <v/>
      </c>
      <c r="K448" s="39">
        <f>HYPERLINK("https://wa.me/"&amp;H448&amp;"?text="&amp;ENCODEURL(T448),"✉ Написать")</f>
        <v/>
      </c>
      <c r="L448" s="39">
        <f>HYPERLINK("https://wa.me/"&amp;H448,"Открыть чат")</f>
        <v/>
      </c>
      <c r="M448" s="38" t="inlineStr">
        <is>
          <t>Самара</t>
        </is>
      </c>
      <c r="N448" s="38" t="n">
        <v>5</v>
      </c>
      <c r="O448" s="38" t="n">
        <v>7</v>
      </c>
      <c r="P448" s="38" t="inlineStr">
        <is>
          <t>dsk63.ru</t>
        </is>
      </c>
      <c r="Q448" s="38" t="inlineStr">
        <is>
          <t>есть сайт: сначала впиши в текст, что на нём не так</t>
        </is>
      </c>
      <c r="R448" s="38" t="n">
        <v>2</v>
      </c>
      <c r="S448" s="38" t="inlineStr">
        <is>
          <t>Самарская область</t>
        </is>
      </c>
      <c r="T448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«ДСК63», где это исправлено, и показать. Собрать?</t>
        </is>
      </c>
      <c r="U448" s="38">
        <f>B448&amp;IF(D448&lt;&gt;""," · "&amp;D448,"")&amp;IF(F448&lt;&gt;"",CHAR(10)&amp;F448,"")</f>
        <v/>
      </c>
      <c r="V448" s="38">
        <f>IF(OR(F448="просрочено",F448="сегодня",F448="укажи дату",LEFT(F448,6)="молчит"),1,0)</f>
        <v/>
      </c>
    </row>
    <row r="449" ht="24" customHeight="1">
      <c r="A449" s="38" t="n">
        <v>448</v>
      </c>
      <c r="B449" s="32" t="inlineStr">
        <is>
          <t>Сервис по строительству и ремонту</t>
        </is>
      </c>
      <c r="C449" s="49" t="inlineStr">
        <is>
          <t>Очередь</t>
        </is>
      </c>
      <c r="D449" s="49" t="n"/>
      <c r="E449" s="50" t="n"/>
      <c r="F449" s="51">
        <f>IF(OR(C449="",C449="Очередь",C449="Клиент",C449="Отказ",C449="Не писать"),"",IF(E449="",IF(AND(C449="Отправлено",I449&lt;&gt;"",TODAY()-INT(I449)&gt;=3),"молчит "&amp;(TODAY()-INT(I449))&amp;" дн.",IF(OR(C449="Перезвонить",C449="Созвон"),"укажи дату","")),IF(INT(E449)&lt;TODAY(),"просрочено",IF(INT(E449)=TODAY(),"сегодня",IF(INT(E449)=TODAY()+1,"завтра",TEXT(E449,"dd.mm"))))))</f>
        <v/>
      </c>
      <c r="G449" s="52" t="n"/>
      <c r="H449" s="36" t="inlineStr">
        <is>
          <t>79053032266</t>
        </is>
      </c>
      <c r="I449" s="53" t="n"/>
      <c r="J449" s="38">
        <f>IFERROR(MATCH(C449,'Справка'!$A$12:$A$21,0),99)</f>
        <v/>
      </c>
      <c r="K449" s="39">
        <f>HYPERLINK("https://wa.me/"&amp;H449&amp;"?text="&amp;ENCODEURL(T449),"✉ Написать")</f>
        <v/>
      </c>
      <c r="L449" s="39">
        <f>HYPERLINK("https://wa.me/"&amp;H449,"Открыть чат")</f>
        <v/>
      </c>
      <c r="M449" s="38" t="inlineStr">
        <is>
          <t>Самара</t>
        </is>
      </c>
      <c r="N449" s="38" t="n">
        <v>5</v>
      </c>
      <c r="O449" s="38" t="n">
        <v>6</v>
      </c>
      <c r="P449" s="38" t="inlineStr">
        <is>
          <t>кровля163.рф</t>
        </is>
      </c>
      <c r="Q449" s="38" t="inlineStr">
        <is>
          <t>есть сайт: сначала впиши в текст, что на нём не так</t>
        </is>
      </c>
      <c r="R449" s="38" t="n">
        <v>2</v>
      </c>
      <c r="S449" s="38" t="inlineStr">
        <is>
          <t>Самарская область</t>
        </is>
      </c>
      <c r="T449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«Сервис по строительству и ремонту», где это исправлено, и показать. Собрать?</t>
        </is>
      </c>
      <c r="U449" s="38">
        <f>B449&amp;IF(D449&lt;&gt;""," · "&amp;D449,"")&amp;IF(F449&lt;&gt;"",CHAR(10)&amp;F449,"")</f>
        <v/>
      </c>
      <c r="V449" s="38">
        <f>IF(OR(F449="просрочено",F449="сегодня",F449="укажи дату",LEFT(F449,6)="молчит"),1,0)</f>
        <v/>
      </c>
    </row>
    <row r="450" ht="24" customHeight="1">
      <c r="A450" s="38" t="n">
        <v>449</v>
      </c>
      <c r="B450" s="32" t="inlineStr">
        <is>
          <t>Сск-дом</t>
        </is>
      </c>
      <c r="C450" s="49" t="inlineStr">
        <is>
          <t>Очередь</t>
        </is>
      </c>
      <c r="D450" s="49" t="n"/>
      <c r="E450" s="50" t="n"/>
      <c r="F450" s="51">
        <f>IF(OR(C450="",C450="Очередь",C450="Клиент",C450="Отказ",C450="Не писать"),"",IF(E450="",IF(AND(C450="Отправлено",I450&lt;&gt;"",TODAY()-INT(I450)&gt;=3),"молчит "&amp;(TODAY()-INT(I450))&amp;" дн.",IF(OR(C450="Перезвонить",C450="Созвон"),"укажи дату","")),IF(INT(E450)&lt;TODAY(),"просрочено",IF(INT(E450)=TODAY(),"сегодня",IF(INT(E450)=TODAY()+1,"завтра",TEXT(E450,"dd.mm"))))))</f>
        <v/>
      </c>
      <c r="G450" s="52" t="n"/>
      <c r="H450" s="36" t="inlineStr">
        <is>
          <t>79372033637</t>
        </is>
      </c>
      <c r="I450" s="53" t="n"/>
      <c r="J450" s="38">
        <f>IFERROR(MATCH(C450,'Справка'!$A$12:$A$21,0),99)</f>
        <v/>
      </c>
      <c r="K450" s="39">
        <f>HYPERLINK("https://wa.me/"&amp;H450&amp;"?text="&amp;ENCODEURL(T450),"✉ Написать")</f>
        <v/>
      </c>
      <c r="L450" s="39">
        <f>HYPERLINK("https://wa.me/"&amp;H450,"Открыть чат")</f>
        <v/>
      </c>
      <c r="M450" s="38" t="inlineStr">
        <is>
          <t>Самара</t>
        </is>
      </c>
      <c r="N450" s="38" t="n">
        <v>4.7</v>
      </c>
      <c r="O450" s="38" t="n">
        <v>6</v>
      </c>
      <c r="P450" s="38" t="inlineStr">
        <is>
          <t>сск-дом.рф</t>
        </is>
      </c>
      <c r="Q450" s="38" t="inlineStr">
        <is>
          <t>есть сайт: сначала впиши в текст, что на нём не так</t>
        </is>
      </c>
      <c r="R450" s="38" t="n">
        <v>2</v>
      </c>
      <c r="S450" s="38" t="inlineStr">
        <is>
          <t>Самарская область</t>
        </is>
      </c>
      <c r="T450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«Сск-дом», где это исправлено, и показать. Собрать?</t>
        </is>
      </c>
      <c r="U450" s="38">
        <f>B450&amp;IF(D450&lt;&gt;""," · "&amp;D450,"")&amp;IF(F450&lt;&gt;"",CHAR(10)&amp;F450,"")</f>
        <v/>
      </c>
      <c r="V450" s="38">
        <f>IF(OR(F450="просрочено",F450="сегодня",F450="укажи дату",LEFT(F450,6)="молчит"),1,0)</f>
        <v/>
      </c>
    </row>
    <row r="451" ht="24" customHeight="1">
      <c r="A451" s="38" t="n">
        <v>450</v>
      </c>
      <c r="B451" s="32" t="inlineStr">
        <is>
          <t>Профилен</t>
        </is>
      </c>
      <c r="C451" s="49" t="inlineStr">
        <is>
          <t>Очередь</t>
        </is>
      </c>
      <c r="D451" s="49" t="n"/>
      <c r="E451" s="50" t="n"/>
      <c r="F451" s="51">
        <f>IF(OR(C451="",C451="Очередь",C451="Клиент",C451="Отказ",C451="Не писать"),"",IF(E451="",IF(AND(C451="Отправлено",I451&lt;&gt;"",TODAY()-INT(I451)&gt;=3),"молчит "&amp;(TODAY()-INT(I451))&amp;" дн.",IF(OR(C451="Перезвонить",C451="Созвон"),"укажи дату","")),IF(INT(E451)&lt;TODAY(),"просрочено",IF(INT(E451)=TODAY(),"сегодня",IF(INT(E451)=TODAY()+1,"завтра",TEXT(E451,"dd.mm"))))))</f>
        <v/>
      </c>
      <c r="G451" s="52" t="n"/>
      <c r="H451" s="36" t="inlineStr">
        <is>
          <t>79270042092</t>
        </is>
      </c>
      <c r="I451" s="53" t="n"/>
      <c r="J451" s="38">
        <f>IFERROR(MATCH(C451,'Справка'!$A$12:$A$21,0),99)</f>
        <v/>
      </c>
      <c r="K451" s="39">
        <f>HYPERLINK("https://wa.me/"&amp;H451&amp;"?text="&amp;ENCODEURL(T451),"✉ Написать")</f>
        <v/>
      </c>
      <c r="L451" s="39">
        <f>HYPERLINK("https://wa.me/"&amp;H451,"Открыть чат")</f>
        <v/>
      </c>
      <c r="M451" s="38" t="inlineStr">
        <is>
          <t>Самара</t>
        </is>
      </c>
      <c r="N451" s="38" t="n">
        <v>5</v>
      </c>
      <c r="O451" s="38" t="n">
        <v>6</v>
      </c>
      <c r="P451" s="38" t="inlineStr">
        <is>
          <t>profilen163.ru</t>
        </is>
      </c>
      <c r="Q451" s="38" t="inlineStr">
        <is>
          <t>есть сайт: сначала впиши в текст, что на нём не так</t>
        </is>
      </c>
      <c r="R451" s="38" t="n">
        <v>2</v>
      </c>
      <c r="S451" s="38" t="inlineStr">
        <is>
          <t>Самарская область</t>
        </is>
      </c>
      <c r="T451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«Профилен», где это исправлено, и показать. Собрать?</t>
        </is>
      </c>
      <c r="U451" s="38">
        <f>B451&amp;IF(D451&lt;&gt;""," · "&amp;D451,"")&amp;IF(F451&lt;&gt;"",CHAR(10)&amp;F451,"")</f>
        <v/>
      </c>
      <c r="V451" s="38">
        <f>IF(OR(F451="просрочено",F451="сегодня",F451="укажи дату",LEFT(F451,6)="молчит"),1,0)</f>
        <v/>
      </c>
    </row>
    <row r="452" ht="24" customHeight="1">
      <c r="A452" s="38" t="n">
        <v>451</v>
      </c>
      <c r="B452" s="32" t="inlineStr">
        <is>
          <t>Технострой</t>
        </is>
      </c>
      <c r="C452" s="49" t="inlineStr">
        <is>
          <t>Очередь</t>
        </is>
      </c>
      <c r="D452" s="49" t="n"/>
      <c r="E452" s="50" t="n"/>
      <c r="F452" s="51">
        <f>IF(OR(C452="",C452="Очередь",C452="Клиент",C452="Отказ",C452="Не писать"),"",IF(E452="",IF(AND(C452="Отправлено",I452&lt;&gt;"",TODAY()-INT(I452)&gt;=3),"молчит "&amp;(TODAY()-INT(I452))&amp;" дн.",IF(OR(C452="Перезвонить",C452="Созвон"),"укажи дату","")),IF(INT(E452)&lt;TODAY(),"просрочено",IF(INT(E452)=TODAY(),"сегодня",IF(INT(E452)=TODAY()+1,"завтра",TEXT(E452,"dd.mm"))))))</f>
        <v/>
      </c>
      <c r="G452" s="52" t="n"/>
      <c r="H452" s="36" t="inlineStr">
        <is>
          <t>79033035656</t>
        </is>
      </c>
      <c r="I452" s="53" t="n"/>
      <c r="J452" s="38">
        <f>IFERROR(MATCH(C452,'Справка'!$A$12:$A$21,0),99)</f>
        <v/>
      </c>
      <c r="K452" s="39">
        <f>HYPERLINK("https://wa.me/"&amp;H452&amp;"?text="&amp;ENCODEURL(T452),"✉ Написать")</f>
        <v/>
      </c>
      <c r="L452" s="39">
        <f>HYPERLINK("https://wa.me/"&amp;H452,"Открыть чат")</f>
        <v/>
      </c>
      <c r="M452" s="38" t="inlineStr">
        <is>
          <t>Самара</t>
        </is>
      </c>
      <c r="N452" s="38" t="n">
        <v>3.4</v>
      </c>
      <c r="O452" s="38" t="n">
        <v>5</v>
      </c>
      <c r="P452" s="38" t="inlineStr">
        <is>
          <t>tehnostroydom.ru</t>
        </is>
      </c>
      <c r="Q452" s="38" t="inlineStr">
        <is>
          <t>есть сайт: сначала впиши в текст, что на нём не так</t>
        </is>
      </c>
      <c r="R452" s="38" t="n">
        <v>2</v>
      </c>
      <c r="S452" s="38" t="inlineStr">
        <is>
          <t>Самарская область</t>
        </is>
      </c>
      <c r="T452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«Технострой», где это исправлено, и показать. Собрать?</t>
        </is>
      </c>
      <c r="U452" s="38">
        <f>B452&amp;IF(D452&lt;&gt;""," · "&amp;D452,"")&amp;IF(F452&lt;&gt;"",CHAR(10)&amp;F452,"")</f>
        <v/>
      </c>
      <c r="V452" s="38">
        <f>IF(OR(F452="просрочено",F452="сегодня",F452="укажи дату",LEFT(F452,6)="молчит"),1,0)</f>
        <v/>
      </c>
    </row>
    <row r="453" ht="24" customHeight="1">
      <c r="A453" s="38" t="n">
        <v>452</v>
      </c>
      <c r="B453" s="32" t="inlineStr">
        <is>
          <t>Волга дом</t>
        </is>
      </c>
      <c r="C453" s="49" t="inlineStr">
        <is>
          <t>Очередь</t>
        </is>
      </c>
      <c r="D453" s="49" t="n"/>
      <c r="E453" s="50" t="n"/>
      <c r="F453" s="51">
        <f>IF(OR(C453="",C453="Очередь",C453="Клиент",C453="Отказ",C453="Не писать"),"",IF(E453="",IF(AND(C453="Отправлено",I453&lt;&gt;"",TODAY()-INT(I453)&gt;=3),"молчит "&amp;(TODAY()-INT(I453))&amp;" дн.",IF(OR(C453="Перезвонить",C453="Созвон"),"укажи дату","")),IF(INT(E453)&lt;TODAY(),"просрочено",IF(INT(E453)=TODAY(),"сегодня",IF(INT(E453)=TODAY()+1,"завтра",TEXT(E453,"dd.mm"))))))</f>
        <v/>
      </c>
      <c r="G453" s="52" t="n"/>
      <c r="H453" s="36" t="inlineStr">
        <is>
          <t>79276910202</t>
        </is>
      </c>
      <c r="I453" s="53" t="n"/>
      <c r="J453" s="38">
        <f>IFERROR(MATCH(C453,'Справка'!$A$12:$A$21,0),99)</f>
        <v/>
      </c>
      <c r="K453" s="39">
        <f>HYPERLINK("https://wa.me/"&amp;H453&amp;"?text="&amp;ENCODEURL(T453),"✉ Написать")</f>
        <v/>
      </c>
      <c r="L453" s="39">
        <f>HYPERLINK("https://wa.me/"&amp;H453,"Открыть чат")</f>
        <v/>
      </c>
      <c r="M453" s="38" t="inlineStr">
        <is>
          <t>Самара</t>
        </is>
      </c>
      <c r="N453" s="38" t="n">
        <v>5</v>
      </c>
      <c r="O453" s="38" t="n">
        <v>4</v>
      </c>
      <c r="P453" s="38" t="inlineStr">
        <is>
          <t>волга-дом.рус</t>
        </is>
      </c>
      <c r="Q453" s="38" t="inlineStr">
        <is>
          <t>есть сайт: сначала впиши в текст, что на нём не так</t>
        </is>
      </c>
      <c r="R453" s="38" t="n">
        <v>2</v>
      </c>
      <c r="S453" s="38" t="inlineStr">
        <is>
          <t>Самарская область</t>
        </is>
      </c>
      <c r="T453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«Волга дом», где это исправлено, и показать. Собрать?</t>
        </is>
      </c>
      <c r="U453" s="38">
        <f>B453&amp;IF(D453&lt;&gt;""," · "&amp;D453,"")&amp;IF(F453&lt;&gt;"",CHAR(10)&amp;F453,"")</f>
        <v/>
      </c>
      <c r="V453" s="38">
        <f>IF(OR(F453="просрочено",F453="сегодня",F453="укажи дату",LEFT(F453,6)="молчит"),1,0)</f>
        <v/>
      </c>
    </row>
    <row r="454" ht="24" customHeight="1">
      <c r="A454" s="38" t="n">
        <v>453</v>
      </c>
      <c r="B454" s="32" t="inlineStr">
        <is>
          <t>Авангард</t>
        </is>
      </c>
      <c r="C454" s="49" t="inlineStr">
        <is>
          <t>Очередь</t>
        </is>
      </c>
      <c r="D454" s="49" t="n"/>
      <c r="E454" s="50" t="n"/>
      <c r="F454" s="51">
        <f>IF(OR(C454="",C454="Очередь",C454="Клиент",C454="Отказ",C454="Не писать"),"",IF(E454="",IF(AND(C454="Отправлено",I454&lt;&gt;"",TODAY()-INT(I454)&gt;=3),"молчит "&amp;(TODAY()-INT(I454))&amp;" дн.",IF(OR(C454="Перезвонить",C454="Созвон"),"укажи дату","")),IF(INT(E454)&lt;TODAY(),"просрочено",IF(INT(E454)=TODAY(),"сегодня",IF(INT(E454)=TODAY()+1,"завтра",TEXT(E454,"dd.mm"))))))</f>
        <v/>
      </c>
      <c r="G454" s="52" t="n"/>
      <c r="H454" s="36" t="inlineStr">
        <is>
          <t>79277486868</t>
        </is>
      </c>
      <c r="I454" s="53" t="n"/>
      <c r="J454" s="38">
        <f>IFERROR(MATCH(C454,'Справка'!$A$12:$A$21,0),99)</f>
        <v/>
      </c>
      <c r="K454" s="39">
        <f>HYPERLINK("https://wa.me/"&amp;H454&amp;"?text="&amp;ENCODEURL(T454),"✉ Написать")</f>
        <v/>
      </c>
      <c r="L454" s="39">
        <f>HYPERLINK("https://wa.me/"&amp;H454,"Открыть чат")</f>
        <v/>
      </c>
      <c r="M454" s="38" t="inlineStr">
        <is>
          <t>Самара</t>
        </is>
      </c>
      <c r="N454" s="38" t="n">
        <v>5</v>
      </c>
      <c r="O454" s="38" t="n">
        <v>3</v>
      </c>
      <c r="P454" s="38" t="inlineStr">
        <is>
          <t>skavangard63.ru</t>
        </is>
      </c>
      <c r="Q454" s="38" t="inlineStr">
        <is>
          <t>есть сайт: сначала впиши в текст, что на нём не так</t>
        </is>
      </c>
      <c r="R454" s="38" t="n">
        <v>2</v>
      </c>
      <c r="S454" s="38" t="inlineStr">
        <is>
          <t>Самарская область</t>
        </is>
      </c>
      <c r="T454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«Авангард», где это исправлено, и показать. Собрать?</t>
        </is>
      </c>
      <c r="U454" s="38">
        <f>B454&amp;IF(D454&lt;&gt;""," · "&amp;D454,"")&amp;IF(F454&lt;&gt;"",CHAR(10)&amp;F454,"")</f>
        <v/>
      </c>
      <c r="V454" s="38">
        <f>IF(OR(F454="просрочено",F454="сегодня",F454="укажи дату",LEFT(F454,6)="молчит"),1,0)</f>
        <v/>
      </c>
    </row>
    <row r="455" ht="24" customHeight="1">
      <c r="A455" s="38" t="n">
        <v>454</v>
      </c>
      <c r="B455" s="32" t="inlineStr">
        <is>
          <t>Фасад</t>
        </is>
      </c>
      <c r="C455" s="49" t="inlineStr">
        <is>
          <t>Очередь</t>
        </is>
      </c>
      <c r="D455" s="49" t="n"/>
      <c r="E455" s="50" t="n"/>
      <c r="F455" s="51">
        <f>IF(OR(C455="",C455="Очередь",C455="Клиент",C455="Отказ",C455="Не писать"),"",IF(E455="",IF(AND(C455="Отправлено",I455&lt;&gt;"",TODAY()-INT(I455)&gt;=3),"молчит "&amp;(TODAY()-INT(I455))&amp;" дн.",IF(OR(C455="Перезвонить",C455="Созвон"),"укажи дату","")),IF(INT(E455)&lt;TODAY(),"просрочено",IF(INT(E455)=TODAY(),"сегодня",IF(INT(E455)=TODAY()+1,"завтра",TEXT(E455,"dd.mm"))))))</f>
        <v/>
      </c>
      <c r="G455" s="52" t="n"/>
      <c r="H455" s="36" t="inlineStr">
        <is>
          <t>79033000392</t>
        </is>
      </c>
      <c r="I455" s="53" t="n"/>
      <c r="J455" s="38">
        <f>IFERROR(MATCH(C455,'Справка'!$A$12:$A$21,0),99)</f>
        <v/>
      </c>
      <c r="K455" s="39">
        <f>HYPERLINK("https://wa.me/"&amp;H455&amp;"?text="&amp;ENCODEURL(T455),"✉ Написать")</f>
        <v/>
      </c>
      <c r="L455" s="39">
        <f>HYPERLINK("https://wa.me/"&amp;H455,"Открыть чат")</f>
        <v/>
      </c>
      <c r="M455" s="38" t="inlineStr">
        <is>
          <t>Самара</t>
        </is>
      </c>
      <c r="N455" s="38" t="n">
        <v>5</v>
      </c>
      <c r="O455" s="38" t="n">
        <v>3</v>
      </c>
      <c r="P455" s="38" t="inlineStr">
        <is>
          <t>fasad-samara.ru</t>
        </is>
      </c>
      <c r="Q455" s="38" t="inlineStr">
        <is>
          <t>есть сайт: сначала впиши в текст, что на нём не так</t>
        </is>
      </c>
      <c r="R455" s="38" t="n">
        <v>2</v>
      </c>
      <c r="S455" s="38" t="inlineStr">
        <is>
          <t>Самарская область</t>
        </is>
      </c>
      <c r="T455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«Фасад», где это исправлено, и показать. Собрать?</t>
        </is>
      </c>
      <c r="U455" s="38">
        <f>B455&amp;IF(D455&lt;&gt;""," · "&amp;D455,"")&amp;IF(F455&lt;&gt;"",CHAR(10)&amp;F455,"")</f>
        <v/>
      </c>
      <c r="V455" s="38">
        <f>IF(OR(F455="просрочено",F455="сегодня",F455="укажи дату",LEFT(F455,6)="молчит"),1,0)</f>
        <v/>
      </c>
    </row>
    <row r="456" ht="24" customHeight="1">
      <c r="A456" s="38" t="n">
        <v>455</v>
      </c>
      <c r="B456" s="32" t="inlineStr">
        <is>
          <t>Волга-мастер</t>
        </is>
      </c>
      <c r="C456" s="49" t="inlineStr">
        <is>
          <t>Очередь</t>
        </is>
      </c>
      <c r="D456" s="49" t="n"/>
      <c r="E456" s="50" t="n"/>
      <c r="F456" s="51">
        <f>IF(OR(C456="",C456="Очередь",C456="Клиент",C456="Отказ",C456="Не писать"),"",IF(E456="",IF(AND(C456="Отправлено",I456&lt;&gt;"",TODAY()-INT(I456)&gt;=3),"молчит "&amp;(TODAY()-INT(I456))&amp;" дн.",IF(OR(C456="Перезвонить",C456="Созвон"),"укажи дату","")),IF(INT(E456)&lt;TODAY(),"просрочено",IF(INT(E456)=TODAY(),"сегодня",IF(INT(E456)=TODAY()+1,"завтра",TEXT(E456,"dd.mm"))))))</f>
        <v/>
      </c>
      <c r="G456" s="52" t="n"/>
      <c r="H456" s="36" t="inlineStr">
        <is>
          <t>79879897485</t>
        </is>
      </c>
      <c r="I456" s="53" t="n"/>
      <c r="J456" s="38">
        <f>IFERROR(MATCH(C456,'Справка'!$A$12:$A$21,0),99)</f>
        <v/>
      </c>
      <c r="K456" s="39">
        <f>HYPERLINK("https://wa.me/"&amp;H456&amp;"?text="&amp;ENCODEURL(T456),"✉ Написать")</f>
        <v/>
      </c>
      <c r="L456" s="39">
        <f>HYPERLINK("https://wa.me/"&amp;H456,"Открыть чат")</f>
        <v/>
      </c>
      <c r="M456" s="38" t="inlineStr">
        <is>
          <t>Самара</t>
        </is>
      </c>
      <c r="N456" s="38" t="n">
        <v>3</v>
      </c>
      <c r="O456" s="38" t="n">
        <v>2</v>
      </c>
      <c r="P456" s="38" t="inlineStr">
        <is>
          <t>domik163.ru</t>
        </is>
      </c>
      <c r="Q456" s="38" t="inlineStr">
        <is>
          <t>есть сайт: сначала впиши в текст, что на нём не так</t>
        </is>
      </c>
      <c r="R456" s="38" t="n">
        <v>2</v>
      </c>
      <c r="S456" s="38" t="inlineStr">
        <is>
          <t>Самарская область</t>
        </is>
      </c>
      <c r="T456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«Волга-мастер», где это исправлено, и показать. Собрать?</t>
        </is>
      </c>
      <c r="U456" s="38">
        <f>B456&amp;IF(D456&lt;&gt;""," · "&amp;D456,"")&amp;IF(F456&lt;&gt;"",CHAR(10)&amp;F456,"")</f>
        <v/>
      </c>
      <c r="V456" s="38">
        <f>IF(OR(F456="просрочено",F456="сегодня",F456="укажи дату",LEFT(F456,6)="молчит"),1,0)</f>
        <v/>
      </c>
    </row>
    <row r="457" ht="24" customHeight="1">
      <c r="A457" s="38" t="n">
        <v>456</v>
      </c>
      <c r="B457" s="32" t="inlineStr">
        <is>
          <t>Дачный дом 63</t>
        </is>
      </c>
      <c r="C457" s="49" t="inlineStr">
        <is>
          <t>Очередь</t>
        </is>
      </c>
      <c r="D457" s="49" t="n"/>
      <c r="E457" s="50" t="n"/>
      <c r="F457" s="51">
        <f>IF(OR(C457="",C457="Очередь",C457="Клиент",C457="Отказ",C457="Не писать"),"",IF(E457="",IF(AND(C457="Отправлено",I457&lt;&gt;"",TODAY()-INT(I457)&gt;=3),"молчит "&amp;(TODAY()-INT(I457))&amp;" дн.",IF(OR(C457="Перезвонить",C457="Созвон"),"укажи дату","")),IF(INT(E457)&lt;TODAY(),"просрочено",IF(INT(E457)=TODAY(),"сегодня",IF(INT(E457)=TODAY()+1,"завтра",TEXT(E457,"dd.mm"))))))</f>
        <v/>
      </c>
      <c r="G457" s="52" t="n"/>
      <c r="H457" s="36" t="inlineStr">
        <is>
          <t>79083933811</t>
        </is>
      </c>
      <c r="I457" s="53" t="n"/>
      <c r="J457" s="38">
        <f>IFERROR(MATCH(C457,'Справка'!$A$12:$A$21,0),99)</f>
        <v/>
      </c>
      <c r="K457" s="39">
        <f>HYPERLINK("https://wa.me/"&amp;H457&amp;"?text="&amp;ENCODEURL(T457),"✉ Написать")</f>
        <v/>
      </c>
      <c r="L457" s="39">
        <f>HYPERLINK("https://wa.me/"&amp;H457,"Открыть чат")</f>
        <v/>
      </c>
      <c r="M457" s="38" t="inlineStr">
        <is>
          <t>Самара</t>
        </is>
      </c>
      <c r="N457" s="38" t="n">
        <v>5</v>
      </c>
      <c r="O457" s="38" t="n">
        <v>2</v>
      </c>
      <c r="P457" s="38" t="inlineStr">
        <is>
          <t>dachnyi-dom.ru</t>
        </is>
      </c>
      <c r="Q457" s="38" t="inlineStr">
        <is>
          <t>есть сайт: сначала впиши в текст, что на нём не так</t>
        </is>
      </c>
      <c r="R457" s="38" t="n">
        <v>2</v>
      </c>
      <c r="S457" s="38" t="inlineStr">
        <is>
          <t>Самарская область</t>
        </is>
      </c>
      <c r="T457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«Дачный дом 63», где это исправлено, и показать. Собрать?</t>
        </is>
      </c>
      <c r="U457" s="38">
        <f>B457&amp;IF(D457&lt;&gt;""," · "&amp;D457,"")&amp;IF(F457&lt;&gt;"",CHAR(10)&amp;F457,"")</f>
        <v/>
      </c>
      <c r="V457" s="38">
        <f>IF(OR(F457="просрочено",F457="сегодня",F457="укажи дату",LEFT(F457,6)="молчит"),1,0)</f>
        <v/>
      </c>
    </row>
    <row r="458" ht="24" customHeight="1">
      <c r="A458" s="38" t="n">
        <v>457</v>
      </c>
      <c r="B458" s="32" t="inlineStr">
        <is>
          <t>Mspro ltd</t>
        </is>
      </c>
      <c r="C458" s="49" t="inlineStr">
        <is>
          <t>Очередь</t>
        </is>
      </c>
      <c r="D458" s="49" t="n"/>
      <c r="E458" s="50" t="n"/>
      <c r="F458" s="51">
        <f>IF(OR(C458="",C458="Очередь",C458="Клиент",C458="Отказ",C458="Не писать"),"",IF(E458="",IF(AND(C458="Отправлено",I458&lt;&gt;"",TODAY()-INT(I458)&gt;=3),"молчит "&amp;(TODAY()-INT(I458))&amp;" дн.",IF(OR(C458="Перезвонить",C458="Созвон"),"укажи дату","")),IF(INT(E458)&lt;TODAY(),"просрочено",IF(INT(E458)=TODAY(),"сегодня",IF(INT(E458)=TODAY()+1,"завтра",TEXT(E458,"dd.mm"))))))</f>
        <v/>
      </c>
      <c r="G458" s="52" t="n"/>
      <c r="H458" s="36" t="inlineStr">
        <is>
          <t>79879092938</t>
        </is>
      </c>
      <c r="I458" s="53" t="n"/>
      <c r="J458" s="38">
        <f>IFERROR(MATCH(C458,'Справка'!$A$12:$A$21,0),99)</f>
        <v/>
      </c>
      <c r="K458" s="39">
        <f>HYPERLINK("https://wa.me/"&amp;H458&amp;"?text="&amp;ENCODEURL(T458),"✉ Написать")</f>
        <v/>
      </c>
      <c r="L458" s="39">
        <f>HYPERLINK("https://wa.me/"&amp;H458,"Открыть чат")</f>
        <v/>
      </c>
      <c r="M458" s="38" t="inlineStr">
        <is>
          <t>Самара</t>
        </is>
      </c>
      <c r="N458" s="38" t="n">
        <v>4</v>
      </c>
      <c r="O458" s="38" t="n">
        <v>2</v>
      </c>
      <c r="P458" s="38" t="inlineStr">
        <is>
          <t>mspro-ltd.ru</t>
        </is>
      </c>
      <c r="Q458" s="38" t="inlineStr">
        <is>
          <t>есть сайт: сначала впиши в текст, что на нём не так</t>
        </is>
      </c>
      <c r="R458" s="38" t="n">
        <v>2</v>
      </c>
      <c r="S458" s="38" t="inlineStr">
        <is>
          <t>Самарская область</t>
        </is>
      </c>
      <c r="T458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«Mspro ltd», где это исправлено, и показать. Собрать?</t>
        </is>
      </c>
      <c r="U458" s="38">
        <f>B458&amp;IF(D458&lt;&gt;""," · "&amp;D458,"")&amp;IF(F458&lt;&gt;"",CHAR(10)&amp;F458,"")</f>
        <v/>
      </c>
      <c r="V458" s="38">
        <f>IF(OR(F458="просрочено",F458="сегодня",F458="укажи дату",LEFT(F458,6)="молчит"),1,0)</f>
        <v/>
      </c>
    </row>
    <row r="459" ht="24" customHeight="1">
      <c r="A459" s="38" t="n">
        <v>458</v>
      </c>
      <c r="B459" s="32" t="inlineStr">
        <is>
          <t>Высота</t>
        </is>
      </c>
      <c r="C459" s="49" t="inlineStr">
        <is>
          <t>Очередь</t>
        </is>
      </c>
      <c r="D459" s="49" t="n"/>
      <c r="E459" s="50" t="n"/>
      <c r="F459" s="51">
        <f>IF(OR(C459="",C459="Очередь",C459="Клиент",C459="Отказ",C459="Не писать"),"",IF(E459="",IF(AND(C459="Отправлено",I459&lt;&gt;"",TODAY()-INT(I459)&gt;=3),"молчит "&amp;(TODAY()-INT(I459))&amp;" дн.",IF(OR(C459="Перезвонить",C459="Созвон"),"укажи дату","")),IF(INT(E459)&lt;TODAY(),"просрочено",IF(INT(E459)=TODAY(),"сегодня",IF(INT(E459)=TODAY()+1,"завтра",TEXT(E459,"dd.mm"))))))</f>
        <v/>
      </c>
      <c r="G459" s="52" t="n"/>
      <c r="H459" s="36" t="inlineStr">
        <is>
          <t>79170111244</t>
        </is>
      </c>
      <c r="I459" s="53" t="n"/>
      <c r="J459" s="38">
        <f>IFERROR(MATCH(C459,'Справка'!$A$12:$A$21,0),99)</f>
        <v/>
      </c>
      <c r="K459" s="39">
        <f>HYPERLINK("https://wa.me/"&amp;H459&amp;"?text="&amp;ENCODEURL(T459),"✉ Написать")</f>
        <v/>
      </c>
      <c r="L459" s="39">
        <f>HYPERLINK("https://wa.me/"&amp;H459,"Открыть чат")</f>
        <v/>
      </c>
      <c r="M459" s="38" t="inlineStr">
        <is>
          <t>Самара</t>
        </is>
      </c>
      <c r="N459" s="38" t="n">
        <v>5</v>
      </c>
      <c r="O459" s="38" t="n">
        <v>1</v>
      </c>
      <c r="P459" s="38" t="inlineStr">
        <is>
          <t>alp63.ru</t>
        </is>
      </c>
      <c r="Q459" s="38" t="inlineStr">
        <is>
          <t>есть сайт: сначала впиши в текст, что на нём не так</t>
        </is>
      </c>
      <c r="R459" s="38" t="n">
        <v>2</v>
      </c>
      <c r="S459" s="38" t="inlineStr">
        <is>
          <t>Самарская область</t>
        </is>
      </c>
      <c r="T459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«Высота», где это исправлено, и показать. Собрать?</t>
        </is>
      </c>
      <c r="U459" s="38">
        <f>B459&amp;IF(D459&lt;&gt;""," · "&amp;D459,"")&amp;IF(F459&lt;&gt;"",CHAR(10)&amp;F459,"")</f>
        <v/>
      </c>
      <c r="V459" s="38">
        <f>IF(OR(F459="просрочено",F459="сегодня",F459="укажи дату",LEFT(F459,6)="молчит"),1,0)</f>
        <v/>
      </c>
    </row>
    <row r="460" ht="24" customHeight="1">
      <c r="A460" s="38" t="n">
        <v>459</v>
      </c>
      <c r="B460" s="32" t="inlineStr">
        <is>
          <t>Кровмастер</t>
        </is>
      </c>
      <c r="C460" s="49" t="inlineStr">
        <is>
          <t>Очередь</t>
        </is>
      </c>
      <c r="D460" s="49" t="n"/>
      <c r="E460" s="50" t="n"/>
      <c r="F460" s="51">
        <f>IF(OR(C460="",C460="Очередь",C460="Клиент",C460="Отказ",C460="Не писать"),"",IF(E460="",IF(AND(C460="Отправлено",I460&lt;&gt;"",TODAY()-INT(I460)&gt;=3),"молчит "&amp;(TODAY()-INT(I460))&amp;" дн.",IF(OR(C460="Перезвонить",C460="Созвон"),"укажи дату","")),IF(INT(E460)&lt;TODAY(),"просрочено",IF(INT(E460)=TODAY(),"сегодня",IF(INT(E460)=TODAY()+1,"завтра",TEXT(E460,"dd.mm"))))))</f>
        <v/>
      </c>
      <c r="G460" s="52" t="n"/>
      <c r="H460" s="36" t="inlineStr">
        <is>
          <t>79272071202</t>
        </is>
      </c>
      <c r="I460" s="53" t="n"/>
      <c r="J460" s="38">
        <f>IFERROR(MATCH(C460,'Справка'!$A$12:$A$21,0),99)</f>
        <v/>
      </c>
      <c r="K460" s="39">
        <f>HYPERLINK("https://wa.me/"&amp;H460&amp;"?text="&amp;ENCODEURL(T460),"✉ Написать")</f>
        <v/>
      </c>
      <c r="L460" s="39">
        <f>HYPERLINK("https://wa.me/"&amp;H460,"Открыть чат")</f>
        <v/>
      </c>
      <c r="M460" s="38" t="inlineStr">
        <is>
          <t>Самара</t>
        </is>
      </c>
      <c r="N460" s="38" t="n">
        <v>5</v>
      </c>
      <c r="O460" s="38" t="n">
        <v>1</v>
      </c>
      <c r="P460" s="38" t="inlineStr">
        <is>
          <t>krovlymaster.ru</t>
        </is>
      </c>
      <c r="Q460" s="38" t="inlineStr">
        <is>
          <t>есть сайт: сначала впиши в текст, что на нём не так</t>
        </is>
      </c>
      <c r="R460" s="38" t="n">
        <v>2</v>
      </c>
      <c r="S460" s="38" t="inlineStr">
        <is>
          <t>Самарская область</t>
        </is>
      </c>
      <c r="T460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«Кровмастер», где это исправлено, и показать. Собрать?</t>
        </is>
      </c>
      <c r="U460" s="38">
        <f>B460&amp;IF(D460&lt;&gt;""," · "&amp;D460,"")&amp;IF(F460&lt;&gt;"",CHAR(10)&amp;F460,"")</f>
        <v/>
      </c>
      <c r="V460" s="38">
        <f>IF(OR(F460="просрочено",F460="сегодня",F460="укажи дату",LEFT(F460,6)="молчит"),1,0)</f>
        <v/>
      </c>
    </row>
    <row r="461" ht="24" customHeight="1">
      <c r="A461" s="38" t="n">
        <v>460</v>
      </c>
      <c r="B461" s="32" t="inlineStr">
        <is>
          <t>Аляска</t>
        </is>
      </c>
      <c r="C461" s="49" t="inlineStr">
        <is>
          <t>Очередь</t>
        </is>
      </c>
      <c r="D461" s="49" t="n"/>
      <c r="E461" s="50" t="n"/>
      <c r="F461" s="51">
        <f>IF(OR(C461="",C461="Очередь",C461="Клиент",C461="Отказ",C461="Не писать"),"",IF(E461="",IF(AND(C461="Отправлено",I461&lt;&gt;"",TODAY()-INT(I461)&gt;=3),"молчит "&amp;(TODAY()-INT(I461))&amp;" дн.",IF(OR(C461="Перезвонить",C461="Созвон"),"укажи дату","")),IF(INT(E461)&lt;TODAY(),"просрочено",IF(INT(E461)=TODAY(),"сегодня",IF(INT(E461)=TODAY()+1,"завтра",TEXT(E461,"dd.mm"))))))</f>
        <v/>
      </c>
      <c r="G461" s="52" t="n"/>
      <c r="H461" s="36" t="inlineStr">
        <is>
          <t>79270072907</t>
        </is>
      </c>
      <c r="I461" s="53" t="n"/>
      <c r="J461" s="38">
        <f>IFERROR(MATCH(C461,'Справка'!$A$12:$A$21,0),99)</f>
        <v/>
      </c>
      <c r="K461" s="39">
        <f>HYPERLINK("https://wa.me/"&amp;H461&amp;"?text="&amp;ENCODEURL(T461),"✉ Написать")</f>
        <v/>
      </c>
      <c r="L461" s="39">
        <f>HYPERLINK("https://wa.me/"&amp;H461,"Открыть чат")</f>
        <v/>
      </c>
      <c r="M461" s="38" t="inlineStr">
        <is>
          <t>Самара</t>
        </is>
      </c>
      <c r="N461" s="38" t="n">
        <v>5</v>
      </c>
      <c r="O461" s="38" t="n">
        <v>1</v>
      </c>
      <c r="P461" s="38" t="inlineStr">
        <is>
          <t>alyaskastroi.ru</t>
        </is>
      </c>
      <c r="Q461" s="38" t="inlineStr">
        <is>
          <t>есть сайт: сначала впиши в текст, что на нём не так</t>
        </is>
      </c>
      <c r="R461" s="38" t="n">
        <v>2</v>
      </c>
      <c r="S461" s="38" t="inlineStr">
        <is>
          <t>Самарская область</t>
        </is>
      </c>
      <c r="T461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«Аляска», где это исправлено, и показать. Собрать?</t>
        </is>
      </c>
      <c r="U461" s="38">
        <f>B461&amp;IF(D461&lt;&gt;""," · "&amp;D461,"")&amp;IF(F461&lt;&gt;"",CHAR(10)&amp;F461,"")</f>
        <v/>
      </c>
      <c r="V461" s="38">
        <f>IF(OR(F461="просрочено",F461="сегодня",F461="укажи дату",LEFT(F461,6)="молчит"),1,0)</f>
        <v/>
      </c>
    </row>
    <row r="462" ht="24" customHeight="1">
      <c r="A462" s="38" t="n">
        <v>461</v>
      </c>
      <c r="B462" s="32" t="inlineStr">
        <is>
          <t>Центр современной кровли</t>
        </is>
      </c>
      <c r="C462" s="49" t="inlineStr">
        <is>
          <t>Очередь</t>
        </is>
      </c>
      <c r="D462" s="49" t="n"/>
      <c r="E462" s="50" t="n"/>
      <c r="F462" s="51">
        <f>IF(OR(C462="",C462="Очередь",C462="Клиент",C462="Отказ",C462="Не писать"),"",IF(E462="",IF(AND(C462="Отправлено",I462&lt;&gt;"",TODAY()-INT(I462)&gt;=3),"молчит "&amp;(TODAY()-INT(I462))&amp;" дн.",IF(OR(C462="Перезвонить",C462="Созвон"),"укажи дату","")),IF(INT(E462)&lt;TODAY(),"просрочено",IF(INT(E462)=TODAY(),"сегодня",IF(INT(E462)=TODAY()+1,"завтра",TEXT(E462,"dd.mm"))))))</f>
        <v/>
      </c>
      <c r="G462" s="52" t="n"/>
      <c r="H462" s="36" t="inlineStr">
        <is>
          <t>79270014104</t>
        </is>
      </c>
      <c r="I462" s="53" t="n"/>
      <c r="J462" s="38">
        <f>IFERROR(MATCH(C462,'Справка'!$A$12:$A$21,0),99)</f>
        <v/>
      </c>
      <c r="K462" s="39">
        <f>HYPERLINK("https://wa.me/"&amp;H462&amp;"?text="&amp;ENCODEURL(T462),"✉ Написать")</f>
        <v/>
      </c>
      <c r="L462" s="39">
        <f>HYPERLINK("https://wa.me/"&amp;H462,"Открыть чат")</f>
        <v/>
      </c>
      <c r="M462" s="38" t="inlineStr">
        <is>
          <t>Самара</t>
        </is>
      </c>
      <c r="N462" s="38" t="n">
        <v>1</v>
      </c>
      <c r="O462" s="38" t="n">
        <v>1</v>
      </c>
      <c r="P462" s="38" t="inlineStr">
        <is>
          <t>www.krovly.ru</t>
        </is>
      </c>
      <c r="Q462" s="38" t="inlineStr">
        <is>
          <t>есть сайт: сначала впиши в текст, что на нём не так</t>
        </is>
      </c>
      <c r="R462" s="38" t="n">
        <v>2</v>
      </c>
      <c r="S462" s="38" t="inlineStr">
        <is>
          <t>Самарская область</t>
        </is>
      </c>
      <c r="T462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«Центр современной кровли», где это исправлено, и показать. Собрать?</t>
        </is>
      </c>
      <c r="U462" s="38">
        <f>B462&amp;IF(D462&lt;&gt;""," · "&amp;D462,"")&amp;IF(F462&lt;&gt;"",CHAR(10)&amp;F462,"")</f>
        <v/>
      </c>
      <c r="V462" s="38">
        <f>IF(OR(F462="просрочено",F462="сегодня",F462="укажи дату",LEFT(F462,6)="молчит"),1,0)</f>
        <v/>
      </c>
    </row>
    <row r="463" ht="24" customHeight="1">
      <c r="A463" s="38" t="n">
        <v>462</v>
      </c>
      <c r="B463" s="32" t="inlineStr">
        <is>
          <t>ДомаСтроим</t>
        </is>
      </c>
      <c r="C463" s="49" t="inlineStr">
        <is>
          <t>Очередь</t>
        </is>
      </c>
      <c r="D463" s="49" t="n"/>
      <c r="E463" s="50" t="n"/>
      <c r="F463" s="51">
        <f>IF(OR(C463="",C463="Очередь",C463="Клиент",C463="Отказ",C463="Не писать"),"",IF(E463="",IF(AND(C463="Отправлено",I463&lt;&gt;"",TODAY()-INT(I463)&gt;=3),"молчит "&amp;(TODAY()-INT(I463))&amp;" дн.",IF(OR(C463="Перезвонить",C463="Созвон"),"укажи дату","")),IF(INT(E463)&lt;TODAY(),"просрочено",IF(INT(E463)=TODAY(),"сегодня",IF(INT(E463)=TODAY()+1,"завтра",TEXT(E463,"dd.mm"))))))</f>
        <v/>
      </c>
      <c r="G463" s="52" t="n"/>
      <c r="H463" s="36" t="inlineStr">
        <is>
          <t>79874472579</t>
        </is>
      </c>
      <c r="I463" s="53" t="n"/>
      <c r="J463" s="38">
        <f>IFERROR(MATCH(C463,'Справка'!$A$12:$A$21,0),99)</f>
        <v/>
      </c>
      <c r="K463" s="39">
        <f>HYPERLINK("https://wa.me/"&amp;H463&amp;"?text="&amp;ENCODEURL(T463),"✉ Написать")</f>
        <v/>
      </c>
      <c r="L463" s="39">
        <f>HYPERLINK("https://wa.me/"&amp;H463,"Открыть чат")</f>
        <v/>
      </c>
      <c r="M463" s="38" t="inlineStr">
        <is>
          <t>пос. Подстепновка</t>
        </is>
      </c>
      <c r="N463" s="38" t="n">
        <v>5</v>
      </c>
      <c r="O463" s="38" t="n">
        <v>1</v>
      </c>
      <c r="P463" s="38" t="inlineStr">
        <is>
          <t>domastroim63.ru</t>
        </is>
      </c>
      <c r="Q463" s="38" t="inlineStr">
        <is>
          <t>есть сайт: сначала впиши в текст, что на нём не так</t>
        </is>
      </c>
      <c r="R463" s="38" t="n">
        <v>2</v>
      </c>
      <c r="S463" s="38" t="inlineStr">
        <is>
          <t>Самарская область</t>
        </is>
      </c>
      <c r="T463" s="38" t="inlineStr">
        <is>
          <t>Здравствуйте! Смотрел в 2ГИС кровельные компании в Самарской области, зашёл на ваш сайт с телефона: [ЧТО НЕ ТАК НА САЙТЕ].
Могу за вечер собрать вариант под «ДомаСтроим», где это исправлено, и показать. Собрать?</t>
        </is>
      </c>
      <c r="U463" s="38">
        <f>B463&amp;IF(D463&lt;&gt;""," · "&amp;D463,"")&amp;IF(F463&lt;&gt;"",CHAR(10)&amp;F463,"")</f>
        <v/>
      </c>
      <c r="V463" s="38">
        <f>IF(OR(F463="просрочено",F463="сегодня",F463="укажи дату",LEFT(F463,6)="молчит"),1,0)</f>
        <v/>
      </c>
    </row>
    <row r="464" ht="24" customHeight="1">
      <c r="A464" s="38" t="n">
        <v>463</v>
      </c>
      <c r="B464" s="32" t="inlineStr">
        <is>
          <t>Slom-house</t>
        </is>
      </c>
      <c r="C464" s="49" t="inlineStr">
        <is>
          <t>Очередь</t>
        </is>
      </c>
      <c r="D464" s="49" t="n"/>
      <c r="E464" s="50" t="n"/>
      <c r="F464" s="51">
        <f>IF(OR(C464="",C464="Очередь",C464="Клиент",C464="Отказ",C464="Не писать"),"",IF(E464="",IF(AND(C464="Отправлено",I464&lt;&gt;"",TODAY()-INT(I464)&gt;=3),"молчит "&amp;(TODAY()-INT(I464))&amp;" дн.",IF(OR(C464="Перезвонить",C464="Созвон"),"укажи дату","")),IF(INT(E464)&lt;TODAY(),"просрочено",IF(INT(E464)=TODAY(),"сегодня",IF(INT(E464)=TODAY()+1,"завтра",TEXT(E464,"dd.mm"))))))</f>
        <v/>
      </c>
      <c r="G464" s="52" t="n"/>
      <c r="H464" s="36" t="inlineStr">
        <is>
          <t>79270292777</t>
        </is>
      </c>
      <c r="I464" s="53" t="n"/>
      <c r="J464" s="38">
        <f>IFERROR(MATCH(C464,'Справка'!$A$12:$A$21,0),99)</f>
        <v/>
      </c>
      <c r="K464" s="39">
        <f>HYPERLINK("https://wa.me/"&amp;H464&amp;"?text="&amp;ENCODEURL(T464),"✉ Написать")</f>
        <v/>
      </c>
      <c r="L464" s="39">
        <f>HYPERLINK("https://wa.me/"&amp;H464,"Открыть чат")</f>
        <v/>
      </c>
      <c r="M464" s="38" t="inlineStr">
        <is>
          <t>Самара</t>
        </is>
      </c>
      <c r="N464" s="38" t="n"/>
      <c r="O464" s="38" t="n"/>
      <c r="P464" s="38" t="inlineStr">
        <is>
          <t>slom-house.ru</t>
        </is>
      </c>
      <c r="Q464" s="38" t="inlineStr">
        <is>
          <t>есть сайт: сначала впиши в текст, что на нём не так</t>
        </is>
      </c>
      <c r="R464" s="38" t="n">
        <v>2</v>
      </c>
      <c r="S464" s="38" t="inlineStr">
        <is>
          <t>Самарская область</t>
        </is>
      </c>
      <c r="T464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«Slom-house», где это исправлено, и показать. Собрать?</t>
        </is>
      </c>
      <c r="U464" s="38">
        <f>B464&amp;IF(D464&lt;&gt;""," · "&amp;D464,"")&amp;IF(F464&lt;&gt;"",CHAR(10)&amp;F464,"")</f>
        <v/>
      </c>
      <c r="V464" s="38">
        <f>IF(OR(F464="просрочено",F464="сегодня",F464="укажи дату",LEFT(F464,6)="молчит"),1,0)</f>
        <v/>
      </c>
    </row>
    <row r="465" ht="24" customHeight="1">
      <c r="A465" s="38" t="n">
        <v>464</v>
      </c>
      <c r="B465" s="32" t="inlineStr">
        <is>
          <t>Европейские технологии и строительство</t>
        </is>
      </c>
      <c r="C465" s="49" t="inlineStr">
        <is>
          <t>Очередь</t>
        </is>
      </c>
      <c r="D465" s="49" t="n"/>
      <c r="E465" s="50" t="n"/>
      <c r="F465" s="51">
        <f>IF(OR(C465="",C465="Очередь",C465="Клиент",C465="Отказ",C465="Не писать"),"",IF(E465="",IF(AND(C465="Отправлено",I465&lt;&gt;"",TODAY()-INT(I465)&gt;=3),"молчит "&amp;(TODAY()-INT(I465))&amp;" дн.",IF(OR(C465="Перезвонить",C465="Созвон"),"укажи дату","")),IF(INT(E465)&lt;TODAY(),"просрочено",IF(INT(E465)=TODAY(),"сегодня",IF(INT(E465)=TODAY()+1,"завтра",TEXT(E465,"dd.mm"))))))</f>
        <v/>
      </c>
      <c r="G465" s="52" t="n"/>
      <c r="H465" s="36" t="inlineStr">
        <is>
          <t>79272673742</t>
        </is>
      </c>
      <c r="I465" s="53" t="n"/>
      <c r="J465" s="38">
        <f>IFERROR(MATCH(C465,'Справка'!$A$12:$A$21,0),99)</f>
        <v/>
      </c>
      <c r="K465" s="39">
        <f>HYPERLINK("https://wa.me/"&amp;H465&amp;"?text="&amp;ENCODEURL(T465),"✉ Написать")</f>
        <v/>
      </c>
      <c r="L465" s="39">
        <f>HYPERLINK("https://wa.me/"&amp;H465,"Открыть чат")</f>
        <v/>
      </c>
      <c r="M465" s="38" t="inlineStr">
        <is>
          <t>Самара</t>
        </is>
      </c>
      <c r="N465" s="38" t="n"/>
      <c r="O465" s="38" t="n"/>
      <c r="P465" s="38" t="inlineStr">
        <is>
          <t>ets43.ru</t>
        </is>
      </c>
      <c r="Q465" s="38" t="inlineStr">
        <is>
          <t>есть сайт: сначала впиши в текст, что на нём не так</t>
        </is>
      </c>
      <c r="R465" s="38" t="n">
        <v>2</v>
      </c>
      <c r="S465" s="38" t="inlineStr">
        <is>
          <t>Самарская область</t>
        </is>
      </c>
      <c r="T465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«Европейские технологии и строительство», где это исправлено, и показать. Собрать?</t>
        </is>
      </c>
      <c r="U465" s="38">
        <f>B465&amp;IF(D465&lt;&gt;""," · "&amp;D465,"")&amp;IF(F465&lt;&gt;"",CHAR(10)&amp;F465,"")</f>
        <v/>
      </c>
      <c r="V465" s="38">
        <f>IF(OR(F465="просрочено",F465="сегодня",F465="укажи дату",LEFT(F465,6)="молчит"),1,0)</f>
        <v/>
      </c>
    </row>
    <row r="466" ht="24" customHeight="1">
      <c r="A466" s="38" t="n">
        <v>465</v>
      </c>
      <c r="B466" s="32" t="inlineStr">
        <is>
          <t>Кровля групп</t>
        </is>
      </c>
      <c r="C466" s="49" t="inlineStr">
        <is>
          <t>Очередь</t>
        </is>
      </c>
      <c r="D466" s="49" t="n"/>
      <c r="E466" s="50" t="n"/>
      <c r="F466" s="51">
        <f>IF(OR(C466="",C466="Очередь",C466="Клиент",C466="Отказ",C466="Не писать"),"",IF(E466="",IF(AND(C466="Отправлено",I466&lt;&gt;"",TODAY()-INT(I466)&gt;=3),"молчит "&amp;(TODAY()-INT(I466))&amp;" дн.",IF(OR(C466="Перезвонить",C466="Созвон"),"укажи дату","")),IF(INT(E466)&lt;TODAY(),"просрочено",IF(INT(E466)=TODAY(),"сегодня",IF(INT(E466)=TODAY()+1,"завтра",TEXT(E466,"dd.mm"))))))</f>
        <v/>
      </c>
      <c r="G466" s="52" t="n"/>
      <c r="H466" s="36" t="inlineStr">
        <is>
          <t>79376254118</t>
        </is>
      </c>
      <c r="I466" s="53" t="n"/>
      <c r="J466" s="38">
        <f>IFERROR(MATCH(C466,'Справка'!$A$12:$A$21,0),99)</f>
        <v/>
      </c>
      <c r="K466" s="39">
        <f>HYPERLINK("https://wa.me/"&amp;H466&amp;"?text="&amp;ENCODEURL(T466),"✉ Написать")</f>
        <v/>
      </c>
      <c r="L466" s="39">
        <f>HYPERLINK("https://wa.me/"&amp;H466,"Открыть чат")</f>
        <v/>
      </c>
      <c r="M466" s="38" t="inlineStr">
        <is>
          <t>Самара</t>
        </is>
      </c>
      <c r="N466" s="38" t="n"/>
      <c r="O466" s="38" t="n"/>
      <c r="P466" s="38" t="inlineStr">
        <is>
          <t>samara.krovlyaural.ru</t>
        </is>
      </c>
      <c r="Q466" s="38" t="inlineStr">
        <is>
          <t>есть сайт: сначала впиши в текст, что на нём не так</t>
        </is>
      </c>
      <c r="R466" s="38" t="n">
        <v>2</v>
      </c>
      <c r="S466" s="38" t="inlineStr">
        <is>
          <t>Самарская область</t>
        </is>
      </c>
      <c r="T466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«Кровля групп», где это исправлено, и показать. Собрать?</t>
        </is>
      </c>
      <c r="U466" s="38">
        <f>B466&amp;IF(D466&lt;&gt;""," · "&amp;D466,"")&amp;IF(F466&lt;&gt;"",CHAR(10)&amp;F466,"")</f>
        <v/>
      </c>
      <c r="V466" s="38">
        <f>IF(OR(F466="просрочено",F466="сегодня",F466="укажи дату",LEFT(F466,6)="молчит"),1,0)</f>
        <v/>
      </c>
    </row>
    <row r="467" ht="24" customHeight="1">
      <c r="A467" s="38" t="n">
        <v>466</v>
      </c>
      <c r="B467" s="32" t="inlineStr">
        <is>
          <t>Компания по гидроизоляции крыш и фундамента</t>
        </is>
      </c>
      <c r="C467" s="49" t="inlineStr">
        <is>
          <t>Очередь</t>
        </is>
      </c>
      <c r="D467" s="49" t="n"/>
      <c r="E467" s="50" t="n"/>
      <c r="F467" s="51">
        <f>IF(OR(C467="",C467="Очередь",C467="Клиент",C467="Отказ",C467="Не писать"),"",IF(E467="",IF(AND(C467="Отправлено",I467&lt;&gt;"",TODAY()-INT(I467)&gt;=3),"молчит "&amp;(TODAY()-INT(I467))&amp;" дн.",IF(OR(C467="Перезвонить",C467="Созвон"),"укажи дату","")),IF(INT(E467)&lt;TODAY(),"просрочено",IF(INT(E467)=TODAY(),"сегодня",IF(INT(E467)=TODAY()+1,"завтра",TEXT(E467,"dd.mm"))))))</f>
        <v/>
      </c>
      <c r="G467" s="52" t="n"/>
      <c r="H467" s="36" t="inlineStr">
        <is>
          <t>79376464151</t>
        </is>
      </c>
      <c r="I467" s="53" t="n"/>
      <c r="J467" s="38">
        <f>IFERROR(MATCH(C467,'Справка'!$A$12:$A$21,0),99)</f>
        <v/>
      </c>
      <c r="K467" s="39">
        <f>HYPERLINK("https://wa.me/"&amp;H467&amp;"?text="&amp;ENCODEURL(T467),"✉ Написать")</f>
        <v/>
      </c>
      <c r="L467" s="39">
        <f>HYPERLINK("https://wa.me/"&amp;H467,"Открыть чат")</f>
        <v/>
      </c>
      <c r="M467" s="38" t="inlineStr">
        <is>
          <t>Самара</t>
        </is>
      </c>
      <c r="N467" s="38" t="n"/>
      <c r="O467" s="38" t="n"/>
      <c r="P467" s="38" t="inlineStr">
        <is>
          <t>gidroizol63.ru</t>
        </is>
      </c>
      <c r="Q467" s="38" t="inlineStr">
        <is>
          <t>есть сайт: сначала впиши в текст, что на нём не так</t>
        </is>
      </c>
      <c r="R467" s="38" t="n">
        <v>2</v>
      </c>
      <c r="S467" s="38" t="inlineStr">
        <is>
          <t>Самарская область</t>
        </is>
      </c>
      <c r="T467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«Компания по гидроизоляции крыш и фундамента», где это исправлено, и показать. Собрать?</t>
        </is>
      </c>
      <c r="U467" s="38">
        <f>B467&amp;IF(D467&lt;&gt;""," · "&amp;D467,"")&amp;IF(F467&lt;&gt;"",CHAR(10)&amp;F467,"")</f>
        <v/>
      </c>
      <c r="V467" s="38">
        <f>IF(OR(F467="просрочено",F467="сегодня",F467="укажи дату",LEFT(F467,6)="молчит"),1,0)</f>
        <v/>
      </c>
    </row>
    <row r="468" ht="24" customHeight="1">
      <c r="A468" s="38" t="n">
        <v>467</v>
      </c>
      <c r="B468" s="32" t="inlineStr">
        <is>
          <t>Аспект</t>
        </is>
      </c>
      <c r="C468" s="49" t="inlineStr">
        <is>
          <t>Очередь</t>
        </is>
      </c>
      <c r="D468" s="49" t="n"/>
      <c r="E468" s="50" t="n"/>
      <c r="F468" s="51">
        <f>IF(OR(C468="",C468="Очередь",C468="Клиент",C468="Отказ",C468="Не писать"),"",IF(E468="",IF(AND(C468="Отправлено",I468&lt;&gt;"",TODAY()-INT(I468)&gt;=3),"молчит "&amp;(TODAY()-INT(I468))&amp;" дн.",IF(OR(C468="Перезвонить",C468="Созвон"),"укажи дату","")),IF(INT(E468)&lt;TODAY(),"просрочено",IF(INT(E468)=TODAY(),"сегодня",IF(INT(E468)=TODAY()+1,"завтра",TEXT(E468,"dd.mm"))))))</f>
        <v/>
      </c>
      <c r="G468" s="52" t="n"/>
      <c r="H468" s="36" t="inlineStr">
        <is>
          <t>79270010167</t>
        </is>
      </c>
      <c r="I468" s="53" t="n"/>
      <c r="J468" s="38">
        <f>IFERROR(MATCH(C468,'Справка'!$A$12:$A$21,0),99)</f>
        <v/>
      </c>
      <c r="K468" s="39">
        <f>HYPERLINK("https://wa.me/"&amp;H468&amp;"?text="&amp;ENCODEURL(T468),"✉ Написать")</f>
        <v/>
      </c>
      <c r="L468" s="39">
        <f>HYPERLINK("https://wa.me/"&amp;H468,"Открыть чат")</f>
        <v/>
      </c>
      <c r="M468" s="38" t="inlineStr">
        <is>
          <t>Самара</t>
        </is>
      </c>
      <c r="N468" s="38" t="n"/>
      <c r="O468" s="38" t="n"/>
      <c r="P468" s="38" t="inlineStr">
        <is>
          <t>aspectsk.ru</t>
        </is>
      </c>
      <c r="Q468" s="38" t="inlineStr">
        <is>
          <t>есть сайт: сначала впиши в текст, что на нём не так</t>
        </is>
      </c>
      <c r="R468" s="38" t="n">
        <v>2</v>
      </c>
      <c r="S468" s="38" t="inlineStr">
        <is>
          <t>Самарская область</t>
        </is>
      </c>
      <c r="T468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«Аспект», где это исправлено, и показать. Собрать?</t>
        </is>
      </c>
      <c r="U468" s="38">
        <f>B468&amp;IF(D468&lt;&gt;""," · "&amp;D468,"")&amp;IF(F468&lt;&gt;"",CHAR(10)&amp;F468,"")</f>
        <v/>
      </c>
      <c r="V468" s="38">
        <f>IF(OR(F468="просрочено",F468="сегодня",F468="укажи дату",LEFT(F468,6)="молчит"),1,0)</f>
        <v/>
      </c>
    </row>
    <row r="469" ht="24" customHeight="1">
      <c r="A469" s="38" t="n">
        <v>468</v>
      </c>
      <c r="B469" s="32" t="inlineStr">
        <is>
          <t>Скандинав</t>
        </is>
      </c>
      <c r="C469" s="49" t="inlineStr">
        <is>
          <t>Очередь</t>
        </is>
      </c>
      <c r="D469" s="49" t="n"/>
      <c r="E469" s="50" t="n"/>
      <c r="F469" s="51">
        <f>IF(OR(C469="",C469="Очередь",C469="Клиент",C469="Отказ",C469="Не писать"),"",IF(E469="",IF(AND(C469="Отправлено",I469&lt;&gt;"",TODAY()-INT(I469)&gt;=3),"молчит "&amp;(TODAY()-INT(I469))&amp;" дн.",IF(OR(C469="Перезвонить",C469="Созвон"),"укажи дату","")),IF(INT(E469)&lt;TODAY(),"просрочено",IF(INT(E469)=TODAY(),"сегодня",IF(INT(E469)=TODAY()+1,"завтра",TEXT(E469,"dd.mm"))))))</f>
        <v/>
      </c>
      <c r="G469" s="52" t="n"/>
      <c r="H469" s="36" t="inlineStr">
        <is>
          <t>79178170187</t>
        </is>
      </c>
      <c r="I469" s="53" t="n"/>
      <c r="J469" s="38">
        <f>IFERROR(MATCH(C469,'Справка'!$A$12:$A$21,0),99)</f>
        <v/>
      </c>
      <c r="K469" s="39">
        <f>HYPERLINK("https://wa.me/"&amp;H469&amp;"?text="&amp;ENCODEURL(T469),"✉ Написать")</f>
        <v/>
      </c>
      <c r="L469" s="39">
        <f>HYPERLINK("https://wa.me/"&amp;H469,"Открыть чат")</f>
        <v/>
      </c>
      <c r="M469" s="38" t="inlineStr">
        <is>
          <t>Самара</t>
        </is>
      </c>
      <c r="N469" s="38" t="n"/>
      <c r="O469" s="38" t="n"/>
      <c r="P469" s="38" t="inlineStr">
        <is>
          <t>scandinav63.ru</t>
        </is>
      </c>
      <c r="Q469" s="38" t="inlineStr">
        <is>
          <t>есть сайт: сначала впиши в текст, что на нём не так</t>
        </is>
      </c>
      <c r="R469" s="38" t="n">
        <v>2</v>
      </c>
      <c r="S469" s="38" t="inlineStr">
        <is>
          <t>Самарская область</t>
        </is>
      </c>
      <c r="T469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«Скандинав», где это исправлено, и показать. Собрать?</t>
        </is>
      </c>
      <c r="U469" s="38">
        <f>B469&amp;IF(D469&lt;&gt;""," · "&amp;D469,"")&amp;IF(F469&lt;&gt;"",CHAR(10)&amp;F469,"")</f>
        <v/>
      </c>
      <c r="V469" s="38">
        <f>IF(OR(F469="просрочено",F469="сегодня",F469="укажи дату",LEFT(F469,6)="молчит"),1,0)</f>
        <v/>
      </c>
    </row>
    <row r="470" ht="24" customHeight="1">
      <c r="A470" s="38" t="n">
        <v>469</v>
      </c>
      <c r="B470" s="32" t="inlineStr">
        <is>
          <t>Диана-Самара</t>
        </is>
      </c>
      <c r="C470" s="49" t="inlineStr">
        <is>
          <t>Очередь</t>
        </is>
      </c>
      <c r="D470" s="49" t="n"/>
      <c r="E470" s="50" t="n"/>
      <c r="F470" s="51">
        <f>IF(OR(C470="",C470="Очередь",C470="Клиент",C470="Отказ",C470="Не писать"),"",IF(E470="",IF(AND(C470="Отправлено",I470&lt;&gt;"",TODAY()-INT(I470)&gt;=3),"молчит "&amp;(TODAY()-INT(I470))&amp;" дн.",IF(OR(C470="Перезвонить",C470="Созвон"),"укажи дату","")),IF(INT(E470)&lt;TODAY(),"просрочено",IF(INT(E470)=TODAY(),"сегодня",IF(INT(E470)=TODAY()+1,"завтра",TEXT(E470,"dd.mm"))))))</f>
        <v/>
      </c>
      <c r="G470" s="52" t="n"/>
      <c r="H470" s="36" t="inlineStr">
        <is>
          <t>79276921455</t>
        </is>
      </c>
      <c r="I470" s="53" t="n"/>
      <c r="J470" s="38">
        <f>IFERROR(MATCH(C470,'Справка'!$A$12:$A$21,0),99)</f>
        <v/>
      </c>
      <c r="K470" s="39">
        <f>HYPERLINK("https://wa.me/"&amp;H470&amp;"?text="&amp;ENCODEURL(T470),"✉ Написать")</f>
        <v/>
      </c>
      <c r="L470" s="39">
        <f>HYPERLINK("https://wa.me/"&amp;H470,"Открыть чат")</f>
        <v/>
      </c>
      <c r="M470" s="38" t="inlineStr">
        <is>
          <t>Самара</t>
        </is>
      </c>
      <c r="N470" s="38" t="n"/>
      <c r="O470" s="38" t="n"/>
      <c r="P470" s="38" t="inlineStr">
        <is>
          <t>ds163.ru</t>
        </is>
      </c>
      <c r="Q470" s="38" t="inlineStr">
        <is>
          <t>есть сайт: сначала впиши в текст, что на нём не так</t>
        </is>
      </c>
      <c r="R470" s="38" t="n">
        <v>2</v>
      </c>
      <c r="S470" s="38" t="inlineStr">
        <is>
          <t>Самарская область</t>
        </is>
      </c>
      <c r="T470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«Диана-Самара», где это исправлено, и показать. Собрать?</t>
        </is>
      </c>
      <c r="U470" s="38">
        <f>B470&amp;IF(D470&lt;&gt;""," · "&amp;D470,"")&amp;IF(F470&lt;&gt;"",CHAR(10)&amp;F470,"")</f>
        <v/>
      </c>
      <c r="V470" s="38">
        <f>IF(OR(F470="просрочено",F470="сегодня",F470="укажи дату",LEFT(F470,6)="молчит"),1,0)</f>
        <v/>
      </c>
    </row>
    <row r="471" ht="24" customHeight="1">
      <c r="A471" s="38" t="n">
        <v>470</v>
      </c>
      <c r="B471" s="32" t="inlineStr">
        <is>
          <t>Основасити</t>
        </is>
      </c>
      <c r="C471" s="49" t="inlineStr">
        <is>
          <t>Очередь</t>
        </is>
      </c>
      <c r="D471" s="49" t="n"/>
      <c r="E471" s="50" t="n"/>
      <c r="F471" s="51">
        <f>IF(OR(C471="",C471="Очередь",C471="Клиент",C471="Отказ",C471="Не писать"),"",IF(E471="",IF(AND(C471="Отправлено",I471&lt;&gt;"",TODAY()-INT(I471)&gt;=3),"молчит "&amp;(TODAY()-INT(I471))&amp;" дн.",IF(OR(C471="Перезвонить",C471="Созвон"),"укажи дату","")),IF(INT(E471)&lt;TODAY(),"просрочено",IF(INT(E471)=TODAY(),"сегодня",IF(INT(E471)=TODAY()+1,"завтра",TEXT(E471,"dd.mm"))))))</f>
        <v/>
      </c>
      <c r="G471" s="52" t="n"/>
      <c r="H471" s="36" t="inlineStr">
        <is>
          <t>79682680180</t>
        </is>
      </c>
      <c r="I471" s="53" t="n"/>
      <c r="J471" s="38">
        <f>IFERROR(MATCH(C471,'Справка'!$A$12:$A$21,0),99)</f>
        <v/>
      </c>
      <c r="K471" s="39">
        <f>HYPERLINK("https://wa.me/"&amp;H471&amp;"?text="&amp;ENCODEURL(T471),"✉ Написать")</f>
        <v/>
      </c>
      <c r="L471" s="39">
        <f>HYPERLINK("https://wa.me/"&amp;H471,"Открыть чат")</f>
        <v/>
      </c>
      <c r="M471" s="38" t="inlineStr">
        <is>
          <t>Ставрополь</t>
        </is>
      </c>
      <c r="N471" s="38" t="n">
        <v>5</v>
      </c>
      <c r="O471" s="38" t="n">
        <v>29</v>
      </c>
      <c r="P471" s="38" t="inlineStr">
        <is>
          <t>sk-osnova26.ru/</t>
        </is>
      </c>
      <c r="Q471" s="38" t="inlineStr">
        <is>
          <t>есть сайт: сначала впиши в текст, что на нём не так</t>
        </is>
      </c>
      <c r="R471" s="38" t="n">
        <v>2</v>
      </c>
      <c r="S471" s="38" t="inlineStr">
        <is>
          <t>Ставропольский край</t>
        </is>
      </c>
      <c r="T471" s="38" t="inlineStr">
        <is>
          <t>Здравствуйте! Смотрел в 2ГИС кровельные компании в Ставрополе, зашёл на ваш сайт с телефона: [ЧТО НЕ ТАК НА САЙТЕ].
Могу за вечер собрать вариант под «Основасити», где это исправлено, и показать. Собрать?</t>
        </is>
      </c>
      <c r="U471" s="38">
        <f>B471&amp;IF(D471&lt;&gt;""," · "&amp;D471,"")&amp;IF(F471&lt;&gt;"",CHAR(10)&amp;F471,"")</f>
        <v/>
      </c>
      <c r="V471" s="38">
        <f>IF(OR(F471="просрочено",F471="сегодня",F471="укажи дату",LEFT(F471,6)="молчит"),1,0)</f>
        <v/>
      </c>
    </row>
    <row r="472" ht="24" customHeight="1">
      <c r="A472" s="38" t="n">
        <v>471</v>
      </c>
      <c r="B472" s="32" t="inlineStr">
        <is>
          <t>Альянс-Групп</t>
        </is>
      </c>
      <c r="C472" s="49" t="inlineStr">
        <is>
          <t>Очередь</t>
        </is>
      </c>
      <c r="D472" s="49" t="n"/>
      <c r="E472" s="50" t="n"/>
      <c r="F472" s="51">
        <f>IF(OR(C472="",C472="Очередь",C472="Клиент",C472="Отказ",C472="Не писать"),"",IF(E472="",IF(AND(C472="Отправлено",I472&lt;&gt;"",TODAY()-INT(I472)&gt;=3),"молчит "&amp;(TODAY()-INT(I472))&amp;" дн.",IF(OR(C472="Перезвонить",C472="Созвон"),"укажи дату","")),IF(INT(E472)&lt;TODAY(),"просрочено",IF(INT(E472)=TODAY(),"сегодня",IF(INT(E472)=TODAY()+1,"завтра",TEXT(E472,"dd.mm"))))))</f>
        <v/>
      </c>
      <c r="G472" s="52" t="n"/>
      <c r="H472" s="36" t="inlineStr">
        <is>
          <t>79064709823</t>
        </is>
      </c>
      <c r="I472" s="53" t="n"/>
      <c r="J472" s="38">
        <f>IFERROR(MATCH(C472,'Справка'!$A$12:$A$21,0),99)</f>
        <v/>
      </c>
      <c r="K472" s="39">
        <f>HYPERLINK("https://wa.me/"&amp;H472&amp;"?text="&amp;ENCODEURL(T472),"✉ Написать")</f>
        <v/>
      </c>
      <c r="L472" s="39">
        <f>HYPERLINK("https://wa.me/"&amp;H472,"Открыть чат")</f>
        <v/>
      </c>
      <c r="M472" s="38" t="inlineStr">
        <is>
          <t>Ставрополь</t>
        </is>
      </c>
      <c r="N472" s="38" t="n">
        <v>4.9</v>
      </c>
      <c r="O472" s="38" t="n">
        <v>7</v>
      </c>
      <c r="P472" s="38" t="inlineStr">
        <is>
          <t>988818.ru</t>
        </is>
      </c>
      <c r="Q472" s="38" t="inlineStr">
        <is>
          <t>есть сайт: сначала впиши в текст, что на нём не так</t>
        </is>
      </c>
      <c r="R472" s="38" t="n">
        <v>2</v>
      </c>
      <c r="S472" s="38" t="inlineStr">
        <is>
          <t>Ставропольский край</t>
        </is>
      </c>
      <c r="T472" s="38" t="inlineStr">
        <is>
          <t>Здравствуйте! Смотрел в 2ГИС кровельные компании в Ставрополе, зашёл на ваш сайт с телефона: [ЧТО НЕ ТАК НА САЙТЕ].
Могу за вечер собрать вариант под «Альянс-Групп», где это исправлено, и показать. Собрать?</t>
        </is>
      </c>
      <c r="U472" s="38">
        <f>B472&amp;IF(D472&lt;&gt;""," · "&amp;D472,"")&amp;IF(F472&lt;&gt;"",CHAR(10)&amp;F472,"")</f>
        <v/>
      </c>
      <c r="V472" s="38">
        <f>IF(OR(F472="просрочено",F472="сегодня",F472="укажи дату",LEFT(F472,6)="молчит"),1,0)</f>
        <v/>
      </c>
    </row>
    <row r="473" ht="24" customHeight="1">
      <c r="A473" s="38" t="n">
        <v>472</v>
      </c>
      <c r="B473" s="32" t="inlineStr">
        <is>
          <t>Авангард-СК</t>
        </is>
      </c>
      <c r="C473" s="49" t="inlineStr">
        <is>
          <t>Очередь</t>
        </is>
      </c>
      <c r="D473" s="49" t="n"/>
      <c r="E473" s="50" t="n"/>
      <c r="F473" s="51">
        <f>IF(OR(C473="",C473="Очередь",C473="Клиент",C473="Отказ",C473="Не писать"),"",IF(E473="",IF(AND(C473="Отправлено",I473&lt;&gt;"",TODAY()-INT(I473)&gt;=3),"молчит "&amp;(TODAY()-INT(I473))&amp;" дн.",IF(OR(C473="Перезвонить",C473="Созвон"),"укажи дату","")),IF(INT(E473)&lt;TODAY(),"просрочено",IF(INT(E473)=TODAY(),"сегодня",IF(INT(E473)=TODAY()+1,"завтра",TEXT(E473,"dd.mm"))))))</f>
        <v/>
      </c>
      <c r="G473" s="52" t="n"/>
      <c r="H473" s="36" t="inlineStr">
        <is>
          <t>79624463146</t>
        </is>
      </c>
      <c r="I473" s="53" t="n"/>
      <c r="J473" s="38">
        <f>IFERROR(MATCH(C473,'Справка'!$A$12:$A$21,0),99)</f>
        <v/>
      </c>
      <c r="K473" s="39">
        <f>HYPERLINK("https://wa.me/"&amp;H473&amp;"?text="&amp;ENCODEURL(T473),"✉ Написать")</f>
        <v/>
      </c>
      <c r="L473" s="39">
        <f>HYPERLINK("https://wa.me/"&amp;H473,"Открыть чат")</f>
        <v/>
      </c>
      <c r="M473" s="38" t="inlineStr">
        <is>
          <t>Ставрополь</t>
        </is>
      </c>
      <c r="N473" s="38" t="n">
        <v>5</v>
      </c>
      <c r="O473" s="38" t="n">
        <v>7</v>
      </c>
      <c r="P473" s="38" t="inlineStr">
        <is>
          <t>avangardsk26.ru</t>
        </is>
      </c>
      <c r="Q473" s="38" t="inlineStr">
        <is>
          <t>есть сайт: сначала впиши в текст, что на нём не так</t>
        </is>
      </c>
      <c r="R473" s="38" t="n">
        <v>2</v>
      </c>
      <c r="S473" s="38" t="inlineStr">
        <is>
          <t>Ставропольский край</t>
        </is>
      </c>
      <c r="T473" s="38" t="inlineStr">
        <is>
          <t>Здравствуйте! Смотрел в 2ГИС кровельные компании в Ставрополе, зашёл на ваш сайт с телефона: [ЧТО НЕ ТАК НА САЙТЕ].
Могу за вечер собрать вариант под «Авангард-СК», где это исправлено, и показать. Собрать?</t>
        </is>
      </c>
      <c r="U473" s="38">
        <f>B473&amp;IF(D473&lt;&gt;""," · "&amp;D473,"")&amp;IF(F473&lt;&gt;"",CHAR(10)&amp;F473,"")</f>
        <v/>
      </c>
      <c r="V473" s="38">
        <f>IF(OR(F473="просрочено",F473="сегодня",F473="укажи дату",LEFT(F473,6)="молчит"),1,0)</f>
        <v/>
      </c>
    </row>
    <row r="474" ht="24" customHeight="1">
      <c r="A474" s="38" t="n">
        <v>473</v>
      </c>
      <c r="B474" s="32" t="inlineStr">
        <is>
          <t>Ставрополь-Фасад</t>
        </is>
      </c>
      <c r="C474" s="49" t="inlineStr">
        <is>
          <t>Очередь</t>
        </is>
      </c>
      <c r="D474" s="49" t="n"/>
      <c r="E474" s="50" t="n"/>
      <c r="F474" s="51">
        <f>IF(OR(C474="",C474="Очередь",C474="Клиент",C474="Отказ",C474="Не писать"),"",IF(E474="",IF(AND(C474="Отправлено",I474&lt;&gt;"",TODAY()-INT(I474)&gt;=3),"молчит "&amp;(TODAY()-INT(I474))&amp;" дн.",IF(OR(C474="Перезвонить",C474="Созвон"),"укажи дату","")),IF(INT(E474)&lt;TODAY(),"просрочено",IF(INT(E474)=TODAY(),"сегодня",IF(INT(E474)=TODAY()+1,"завтра",TEXT(E474,"dd.mm"))))))</f>
        <v/>
      </c>
      <c r="G474" s="52" t="n"/>
      <c r="H474" s="36" t="inlineStr">
        <is>
          <t>79956065132</t>
        </is>
      </c>
      <c r="I474" s="53" t="n"/>
      <c r="J474" s="38">
        <f>IFERROR(MATCH(C474,'Справка'!$A$12:$A$21,0),99)</f>
        <v/>
      </c>
      <c r="K474" s="39">
        <f>HYPERLINK("https://wa.me/"&amp;H474&amp;"?text="&amp;ENCODEURL(T474),"✉ Написать")</f>
        <v/>
      </c>
      <c r="L474" s="39">
        <f>HYPERLINK("https://wa.me/"&amp;H474,"Открыть чат")</f>
        <v/>
      </c>
      <c r="M474" s="38" t="inlineStr">
        <is>
          <t>Ставрополь</t>
        </is>
      </c>
      <c r="N474" s="38" t="n">
        <v>5</v>
      </c>
      <c r="O474" s="38" t="n">
        <v>2</v>
      </c>
      <c r="P474" s="38" t="inlineStr">
        <is>
          <t>stavropol-fasad.ru</t>
        </is>
      </c>
      <c r="Q474" s="38" t="inlineStr">
        <is>
          <t>есть сайт: сначала впиши в текст, что на нём не так</t>
        </is>
      </c>
      <c r="R474" s="38" t="n">
        <v>2</v>
      </c>
      <c r="S474" s="38" t="inlineStr">
        <is>
          <t>Ставропольский край</t>
        </is>
      </c>
      <c r="T474" s="38" t="inlineStr">
        <is>
          <t>Здравствуйте! Смотрел в 2ГИС кровельные компании в Ставрополе, зашёл на ваш сайт с телефона: [ЧТО НЕ ТАК НА САЙТЕ].
Могу за вечер собрать вариант под «Ставрополь-Фасад», где это исправлено, и показать. Собрать?</t>
        </is>
      </c>
      <c r="U474" s="38">
        <f>B474&amp;IF(D474&lt;&gt;""," · "&amp;D474,"")&amp;IF(F474&lt;&gt;"",CHAR(10)&amp;F474,"")</f>
        <v/>
      </c>
      <c r="V474" s="38">
        <f>IF(OR(F474="просрочено",F474="сегодня",F474="укажи дату",LEFT(F474,6)="молчит"),1,0)</f>
        <v/>
      </c>
    </row>
    <row r="475" ht="24" customHeight="1">
      <c r="A475" s="38" t="n">
        <v>474</v>
      </c>
      <c r="B475" s="32" t="inlineStr">
        <is>
          <t>Михайловский кровельный центр</t>
        </is>
      </c>
      <c r="C475" s="49" t="inlineStr">
        <is>
          <t>Очередь</t>
        </is>
      </c>
      <c r="D475" s="49" t="n"/>
      <c r="E475" s="50" t="n"/>
      <c r="F475" s="51">
        <f>IF(OR(C475="",C475="Очередь",C475="Клиент",C475="Отказ",C475="Не писать"),"",IF(E475="",IF(AND(C475="Отправлено",I475&lt;&gt;"",TODAY()-INT(I475)&gt;=3),"молчит "&amp;(TODAY()-INT(I475))&amp;" дн.",IF(OR(C475="Перезвонить",C475="Созвон"),"укажи дату","")),IF(INT(E475)&lt;TODAY(),"просрочено",IF(INT(E475)=TODAY(),"сегодня",IF(INT(E475)=TODAY()+1,"завтра",TEXT(E475,"dd.mm"))))))</f>
        <v/>
      </c>
      <c r="G475" s="52" t="n"/>
      <c r="H475" s="36" t="inlineStr">
        <is>
          <t>79624465695</t>
        </is>
      </c>
      <c r="I475" s="53" t="n"/>
      <c r="J475" s="38">
        <f>IFERROR(MATCH(C475,'Справка'!$A$12:$A$21,0),99)</f>
        <v/>
      </c>
      <c r="K475" s="39">
        <f>HYPERLINK("https://wa.me/"&amp;H475&amp;"?text="&amp;ENCODEURL(T475),"✉ Написать")</f>
        <v/>
      </c>
      <c r="L475" s="39">
        <f>HYPERLINK("https://wa.me/"&amp;H475,"Открыть чат")</f>
        <v/>
      </c>
      <c r="M475" s="38" t="inlineStr">
        <is>
          <t>Михайловск</t>
        </is>
      </c>
      <c r="N475" s="38" t="n">
        <v>5</v>
      </c>
      <c r="O475" s="38" t="n">
        <v>2</v>
      </c>
      <c r="P475" s="38" t="inlineStr">
        <is>
          <t>sk-metremstroi.ru</t>
        </is>
      </c>
      <c r="Q475" s="38" t="inlineStr">
        <is>
          <t>есть сайт: сначала впиши в текст, что на нём не так</t>
        </is>
      </c>
      <c r="R475" s="38" t="n">
        <v>2</v>
      </c>
      <c r="S475" s="38" t="inlineStr">
        <is>
          <t>Ставропольский край</t>
        </is>
      </c>
      <c r="T475" s="38" t="inlineStr">
        <is>
          <t>Здравствуйте! Смотрел в 2ГИС кровельные компании в Михайловске, зашёл на ваш сайт с телефона: [ЧТО НЕ ТАК НА САЙТЕ].
Могу за вечер собрать вариант под «Михайловский кровельный центр», где это исправлено, и показать. Собрать?</t>
        </is>
      </c>
      <c r="U475" s="38">
        <f>B475&amp;IF(D475&lt;&gt;""," · "&amp;D475,"")&amp;IF(F475&lt;&gt;"",CHAR(10)&amp;F475,"")</f>
        <v/>
      </c>
      <c r="V475" s="38">
        <f>IF(OR(F475="просрочено",F475="сегодня",F475="укажи дату",LEFT(F475,6)="молчит"),1,0)</f>
        <v/>
      </c>
    </row>
    <row r="476" ht="24" customHeight="1">
      <c r="A476" s="38" t="n">
        <v>475</v>
      </c>
      <c r="B476" s="32" t="inlineStr">
        <is>
          <t>Всероссийское добровольное пожарное общество</t>
        </is>
      </c>
      <c r="C476" s="49" t="inlineStr">
        <is>
          <t>Очередь</t>
        </is>
      </c>
      <c r="D476" s="49" t="n"/>
      <c r="E476" s="50" t="n"/>
      <c r="F476" s="51">
        <f>IF(OR(C476="",C476="Очередь",C476="Клиент",C476="Отказ",C476="Не писать"),"",IF(E476="",IF(AND(C476="Отправлено",I476&lt;&gt;"",TODAY()-INT(I476)&gt;=3),"молчит "&amp;(TODAY()-INT(I476))&amp;" дн.",IF(OR(C476="Перезвонить",C476="Созвон"),"укажи дату","")),IF(INT(E476)&lt;TODAY(),"просрочено",IF(INT(E476)=TODAY(),"сегодня",IF(INT(E476)=TODAY()+1,"завтра",TEXT(E476,"dd.mm"))))))</f>
        <v/>
      </c>
      <c r="G476" s="52" t="n"/>
      <c r="H476" s="36" t="inlineStr">
        <is>
          <t>79018690820</t>
        </is>
      </c>
      <c r="I476" s="53" t="n"/>
      <c r="J476" s="38">
        <f>IFERROR(MATCH(C476,'Справка'!$A$12:$A$21,0),99)</f>
        <v/>
      </c>
      <c r="K476" s="39">
        <f>HYPERLINK("https://wa.me/"&amp;H476&amp;"?text="&amp;ENCODEURL(T476),"✉ Написать")</f>
        <v/>
      </c>
      <c r="L476" s="39">
        <f>HYPERLINK("https://wa.me/"&amp;H476,"Открыть чат")</f>
        <v/>
      </c>
      <c r="M476" s="38" t="inlineStr">
        <is>
          <t>Ставрополь</t>
        </is>
      </c>
      <c r="N476" s="38" t="n">
        <v>5</v>
      </c>
      <c r="O476" s="38" t="n">
        <v>1</v>
      </c>
      <c r="P476" s="38" t="inlineStr">
        <is>
          <t>stvdpo.ru</t>
        </is>
      </c>
      <c r="Q476" s="38" t="inlineStr">
        <is>
          <t>есть сайт: сначала впиши в текст, что на нём не так</t>
        </is>
      </c>
      <c r="R476" s="38" t="n">
        <v>2</v>
      </c>
      <c r="S476" s="38" t="inlineStr">
        <is>
          <t>Ставропольский край</t>
        </is>
      </c>
      <c r="T476" s="38" t="inlineStr">
        <is>
          <t>Здравствуйте! Смотрел в 2ГИС кровельные компании в Ставрополе, зашёл на ваш сайт с телефона: [ЧТО НЕ ТАК НА САЙТЕ].
Могу за вечер собрать вариант под «Всероссийское добровольное пожарное общество», где это исправлено, и показать. Собрать?</t>
        </is>
      </c>
      <c r="U476" s="38">
        <f>B476&amp;IF(D476&lt;&gt;""," · "&amp;D476,"")&amp;IF(F476&lt;&gt;"",CHAR(10)&amp;F476,"")</f>
        <v/>
      </c>
      <c r="V476" s="38">
        <f>IF(OR(F476="просрочено",F476="сегодня",F476="укажи дату",LEFT(F476,6)="молчит"),1,0)</f>
        <v/>
      </c>
    </row>
    <row r="477" ht="24" customHeight="1">
      <c r="A477" s="38" t="n">
        <v>476</v>
      </c>
      <c r="B477" s="32" t="inlineStr">
        <is>
          <t>Реал</t>
        </is>
      </c>
      <c r="C477" s="49" t="inlineStr">
        <is>
          <t>Очередь</t>
        </is>
      </c>
      <c r="D477" s="49" t="n"/>
      <c r="E477" s="50" t="n"/>
      <c r="F477" s="51">
        <f>IF(OR(C477="",C477="Очередь",C477="Клиент",C477="Отказ",C477="Не писать"),"",IF(E477="",IF(AND(C477="Отправлено",I477&lt;&gt;"",TODAY()-INT(I477)&gt;=3),"молчит "&amp;(TODAY()-INT(I477))&amp;" дн.",IF(OR(C477="Перезвонить",C477="Созвон"),"укажи дату","")),IF(INT(E477)&lt;TODAY(),"просрочено",IF(INT(E477)=TODAY(),"сегодня",IF(INT(E477)=TODAY()+1,"завтра",TEXT(E477,"dd.mm"))))))</f>
        <v/>
      </c>
      <c r="G477" s="52" t="n"/>
      <c r="H477" s="36" t="inlineStr">
        <is>
          <t>79624448845</t>
        </is>
      </c>
      <c r="I477" s="53" t="n"/>
      <c r="J477" s="38">
        <f>IFERROR(MATCH(C477,'Справка'!$A$12:$A$21,0),99)</f>
        <v/>
      </c>
      <c r="K477" s="39">
        <f>HYPERLINK("https://wa.me/"&amp;H477&amp;"?text="&amp;ENCODEURL(T477),"✉ Написать")</f>
        <v/>
      </c>
      <c r="L477" s="39">
        <f>HYPERLINK("https://wa.me/"&amp;H477,"Открыть чат")</f>
        <v/>
      </c>
      <c r="M477" s="38" t="inlineStr">
        <is>
          <t>Ставрополь</t>
        </is>
      </c>
      <c r="N477" s="38" t="n">
        <v>1</v>
      </c>
      <c r="O477" s="38" t="n">
        <v>1</v>
      </c>
      <c r="P477" s="38" t="inlineStr">
        <is>
          <t>реал26.рф</t>
        </is>
      </c>
      <c r="Q477" s="38" t="inlineStr">
        <is>
          <t>есть сайт: сначала впиши в текст, что на нём не так</t>
        </is>
      </c>
      <c r="R477" s="38" t="n">
        <v>2</v>
      </c>
      <c r="S477" s="38" t="inlineStr">
        <is>
          <t>Ставропольский край</t>
        </is>
      </c>
      <c r="T477" s="38" t="inlineStr">
        <is>
          <t>Здравствуйте! Смотрел в 2ГИС кровельные компании в Ставрополе, зашёл на ваш сайт с телефона: [ЧТО НЕ ТАК НА САЙТЕ].
Могу за вечер собрать вариант под «Реал», где это исправлено, и показать. Собрать?</t>
        </is>
      </c>
      <c r="U477" s="38">
        <f>B477&amp;IF(D477&lt;&gt;""," · "&amp;D477,"")&amp;IF(F477&lt;&gt;"",CHAR(10)&amp;F477,"")</f>
        <v/>
      </c>
      <c r="V477" s="38">
        <f>IF(OR(F477="просрочено",F477="сегодня",F477="укажи дату",LEFT(F477,6)="молчит"),1,0)</f>
        <v/>
      </c>
    </row>
    <row r="478" ht="24" customHeight="1">
      <c r="A478" s="38" t="n">
        <v>477</v>
      </c>
      <c r="B478" s="32" t="inlineStr">
        <is>
          <t>Каркасные дома</t>
        </is>
      </c>
      <c r="C478" s="49" t="inlineStr">
        <is>
          <t>Очередь</t>
        </is>
      </c>
      <c r="D478" s="49" t="n"/>
      <c r="E478" s="50" t="n"/>
      <c r="F478" s="51">
        <f>IF(OR(C478="",C478="Очередь",C478="Клиент",C478="Отказ",C478="Не писать"),"",IF(E478="",IF(AND(C478="Отправлено",I478&lt;&gt;"",TODAY()-INT(I478)&gt;=3),"молчит "&amp;(TODAY()-INT(I478))&amp;" дн.",IF(OR(C478="Перезвонить",C478="Созвон"),"укажи дату","")),IF(INT(E478)&lt;TODAY(),"просрочено",IF(INT(E478)=TODAY(),"сегодня",IF(INT(E478)=TODAY()+1,"завтра",TEXT(E478,"dd.mm"))))))</f>
        <v/>
      </c>
      <c r="G478" s="52" t="n"/>
      <c r="H478" s="36" t="inlineStr">
        <is>
          <t>79624468161</t>
        </is>
      </c>
      <c r="I478" s="53" t="n"/>
      <c r="J478" s="38">
        <f>IFERROR(MATCH(C478,'Справка'!$A$12:$A$21,0),99)</f>
        <v/>
      </c>
      <c r="K478" s="39">
        <f>HYPERLINK("https://wa.me/"&amp;H478&amp;"?text="&amp;ENCODEURL(T478),"✉ Написать")</f>
        <v/>
      </c>
      <c r="L478" s="39">
        <f>HYPERLINK("https://wa.me/"&amp;H478,"Открыть чат")</f>
        <v/>
      </c>
      <c r="M478" s="38" t="inlineStr">
        <is>
          <t>Ставрополь</t>
        </is>
      </c>
      <c r="N478" s="38" t="n">
        <v>5</v>
      </c>
      <c r="O478" s="38" t="n">
        <v>1</v>
      </c>
      <c r="P478" s="38" t="inlineStr">
        <is>
          <t>karkassip.ru</t>
        </is>
      </c>
      <c r="Q478" s="38" t="inlineStr">
        <is>
          <t>есть сайт: сначала впиши в текст, что на нём не так</t>
        </is>
      </c>
      <c r="R478" s="38" t="n">
        <v>2</v>
      </c>
      <c r="S478" s="38" t="inlineStr">
        <is>
          <t>Ставропольский край</t>
        </is>
      </c>
      <c r="T478" s="38" t="inlineStr">
        <is>
          <t>Здравствуйте! Смотрел в 2ГИС кровельные компании в Ставрополе, зашёл на ваш сайт с телефона: [ЧТО НЕ ТАК НА САЙТЕ].
Могу за вечер собрать вариант под «Каркасные дома», где это исправлено, и показать. Собрать?</t>
        </is>
      </c>
      <c r="U478" s="38">
        <f>B478&amp;IF(D478&lt;&gt;""," · "&amp;D478,"")&amp;IF(F478&lt;&gt;"",CHAR(10)&amp;F478,"")</f>
        <v/>
      </c>
      <c r="V478" s="38">
        <f>IF(OR(F478="просрочено",F478="сегодня",F478="укажи дату",LEFT(F478,6)="молчит"),1,0)</f>
        <v/>
      </c>
    </row>
    <row r="479" ht="24" customHeight="1">
      <c r="A479" s="38" t="n">
        <v>478</v>
      </c>
      <c r="B479" s="32" t="inlineStr">
        <is>
          <t>СтройАльп</t>
        </is>
      </c>
      <c r="C479" s="49" t="inlineStr">
        <is>
          <t>Очередь</t>
        </is>
      </c>
      <c r="D479" s="49" t="n"/>
      <c r="E479" s="50" t="n"/>
      <c r="F479" s="51">
        <f>IF(OR(C479="",C479="Очередь",C479="Клиент",C479="Отказ",C479="Не писать"),"",IF(E479="",IF(AND(C479="Отправлено",I479&lt;&gt;"",TODAY()-INT(I479)&gt;=3),"молчит "&amp;(TODAY()-INT(I479))&amp;" дн.",IF(OR(C479="Перезвонить",C479="Созвон"),"укажи дату","")),IF(INT(E479)&lt;TODAY(),"просрочено",IF(INT(E479)=TODAY(),"сегодня",IF(INT(E479)=TODAY()+1,"завтра",TEXT(E479,"dd.mm"))))))</f>
        <v/>
      </c>
      <c r="G479" s="52" t="n"/>
      <c r="H479" s="36" t="inlineStr">
        <is>
          <t>79683347814</t>
        </is>
      </c>
      <c r="I479" s="53" t="n"/>
      <c r="J479" s="38">
        <f>IFERROR(MATCH(C479,'Справка'!$A$12:$A$21,0),99)</f>
        <v/>
      </c>
      <c r="K479" s="39">
        <f>HYPERLINK("https://wa.me/"&amp;H479&amp;"?text="&amp;ENCODEURL(T479),"✉ Написать")</f>
        <v/>
      </c>
      <c r="L479" s="39">
        <f>HYPERLINK("https://wa.me/"&amp;H479,"Открыть чат")</f>
        <v/>
      </c>
      <c r="M479" s="38" t="inlineStr">
        <is>
          <t>Ставрополь</t>
        </is>
      </c>
      <c r="N479" s="38" t="n"/>
      <c r="O479" s="38" t="n"/>
      <c r="P479" s="38" t="inlineStr">
        <is>
          <t>www.стройальп26.рф</t>
        </is>
      </c>
      <c r="Q479" s="38" t="inlineStr">
        <is>
          <t>есть сайт: сначала впиши в текст, что на нём не так</t>
        </is>
      </c>
      <c r="R479" s="38" t="n">
        <v>2</v>
      </c>
      <c r="S479" s="38" t="inlineStr">
        <is>
          <t>Ставропольский край</t>
        </is>
      </c>
      <c r="T479" s="38" t="inlineStr">
        <is>
          <t>Здравствуйте! Смотрел в 2ГИС кровельные компании в Ставрополе, зашёл на ваш сайт с телефона: [ЧТО НЕ ТАК НА САЙТЕ].
Могу за вечер собрать вариант под «СтройАльп», где это исправлено, и показать. Собрать?</t>
        </is>
      </c>
      <c r="U479" s="38">
        <f>B479&amp;IF(D479&lt;&gt;""," · "&amp;D479,"")&amp;IF(F479&lt;&gt;"",CHAR(10)&amp;F479,"")</f>
        <v/>
      </c>
      <c r="V479" s="38">
        <f>IF(OR(F479="просрочено",F479="сегодня",F479="укажи дату",LEFT(F479,6)="молчит"),1,0)</f>
        <v/>
      </c>
    </row>
    <row r="480" ht="24" customHeight="1">
      <c r="A480" s="38" t="n">
        <v>479</v>
      </c>
      <c r="B480" s="32" t="inlineStr">
        <is>
          <t>Ecoteplo26</t>
        </is>
      </c>
      <c r="C480" s="49" t="inlineStr">
        <is>
          <t>Очередь</t>
        </is>
      </c>
      <c r="D480" s="49" t="n"/>
      <c r="E480" s="50" t="n"/>
      <c r="F480" s="51">
        <f>IF(OR(C480="",C480="Очередь",C480="Клиент",C480="Отказ",C480="Не писать"),"",IF(E480="",IF(AND(C480="Отправлено",I480&lt;&gt;"",TODAY()-INT(I480)&gt;=3),"молчит "&amp;(TODAY()-INT(I480))&amp;" дн.",IF(OR(C480="Перезвонить",C480="Созвон"),"укажи дату","")),IF(INT(E480)&lt;TODAY(),"просрочено",IF(INT(E480)=TODAY(),"сегодня",IF(INT(E480)=TODAY()+1,"завтра",TEXT(E480,"dd.mm"))))))</f>
        <v/>
      </c>
      <c r="G480" s="52" t="n"/>
      <c r="H480" s="36" t="inlineStr">
        <is>
          <t>79624443099</t>
        </is>
      </c>
      <c r="I480" s="53" t="n"/>
      <c r="J480" s="38">
        <f>IFERROR(MATCH(C480,'Справка'!$A$12:$A$21,0),99)</f>
        <v/>
      </c>
      <c r="K480" s="39">
        <f>HYPERLINK("https://wa.me/"&amp;H480&amp;"?text="&amp;ENCODEURL(T480),"✉ Написать")</f>
        <v/>
      </c>
      <c r="L480" s="39">
        <f>HYPERLINK("https://wa.me/"&amp;H480,"Открыть чат")</f>
        <v/>
      </c>
      <c r="M480" s="38" t="inlineStr">
        <is>
          <t>х. Вязники</t>
        </is>
      </c>
      <c r="N480" s="38" t="n"/>
      <c r="O480" s="38" t="n"/>
      <c r="P480" s="38" t="inlineStr">
        <is>
          <t>ecoteplo26.ru</t>
        </is>
      </c>
      <c r="Q480" s="38" t="inlineStr">
        <is>
          <t>есть сайт: сначала впиши в текст, что на нём не так</t>
        </is>
      </c>
      <c r="R480" s="38" t="n">
        <v>2</v>
      </c>
      <c r="S480" s="38" t="inlineStr">
        <is>
          <t>Ставропольский край</t>
        </is>
      </c>
      <c r="T480" s="38" t="inlineStr">
        <is>
          <t>Здравствуйте! Смотрел в 2ГИС кровельные компании в Ставропольском крае, зашёл на ваш сайт с телефона: [ЧТО НЕ ТАК НА САЙТЕ].
Могу за вечер собрать вариант под «Ecoteplo26», где это исправлено, и показать. Собрать?</t>
        </is>
      </c>
      <c r="U480" s="38">
        <f>B480&amp;IF(D480&lt;&gt;""," · "&amp;D480,"")&amp;IF(F480&lt;&gt;"",CHAR(10)&amp;F480,"")</f>
        <v/>
      </c>
      <c r="V480" s="38">
        <f>IF(OR(F480="просрочено",F480="сегодня",F480="укажи дату",LEFT(F480,6)="молчит"),1,0)</f>
        <v/>
      </c>
    </row>
    <row r="481" ht="24" customHeight="1">
      <c r="A481" s="38" t="n">
        <v>480</v>
      </c>
      <c r="B481" s="32" t="inlineStr">
        <is>
          <t>ВолгаСтрой</t>
        </is>
      </c>
      <c r="C481" s="49" t="inlineStr">
        <is>
          <t>Очередь</t>
        </is>
      </c>
      <c r="D481" s="49" t="n"/>
      <c r="E481" s="50" t="n"/>
      <c r="F481" s="51">
        <f>IF(OR(C481="",C481="Очередь",C481="Клиент",C481="Отказ",C481="Не писать"),"",IF(E481="",IF(AND(C481="Отправлено",I481&lt;&gt;"",TODAY()-INT(I481)&gt;=3),"молчит "&amp;(TODAY()-INT(I481))&amp;" дн.",IF(OR(C481="Перезвонить",C481="Созвон"),"укажи дату","")),IF(INT(E481)&lt;TODAY(),"просрочено",IF(INT(E481)=TODAY(),"сегодня",IF(INT(E481)=TODAY()+1,"завтра",TEXT(E481,"dd.mm"))))))</f>
        <v/>
      </c>
      <c r="G481" s="52" t="n"/>
      <c r="H481" s="36" t="inlineStr">
        <is>
          <t>79956639032</t>
        </is>
      </c>
      <c r="I481" s="53" t="n"/>
      <c r="J481" s="38">
        <f>IFERROR(MATCH(C481,'Справка'!$A$12:$A$21,0),99)</f>
        <v/>
      </c>
      <c r="K481" s="39">
        <f>HYPERLINK("https://wa.me/"&amp;H481&amp;"?text="&amp;ENCODEURL(T481),"✉ Написать")</f>
        <v/>
      </c>
      <c r="L481" s="39">
        <f>HYPERLINK("https://wa.me/"&amp;H481,"Открыть чат")</f>
        <v/>
      </c>
      <c r="M481" s="38" t="inlineStr">
        <is>
          <t>Волгоград</t>
        </is>
      </c>
      <c r="N481" s="38" t="n">
        <v>5</v>
      </c>
      <c r="O481" s="38" t="n">
        <v>6</v>
      </c>
      <c r="P481" s="38" t="inlineStr">
        <is>
          <t>volgostroy.tilda.ws</t>
        </is>
      </c>
      <c r="Q481" s="38" t="inlineStr">
        <is>
          <t>есть сайт: сначала впиши в текст, что на нём не так, WhatsApp не подтверждён</t>
        </is>
      </c>
      <c r="R481" s="38" t="n">
        <v>2</v>
      </c>
      <c r="S481" s="38" t="inlineStr">
        <is>
          <t>Волгоградская область</t>
        </is>
      </c>
      <c r="T481" s="38" t="inlineStr">
        <is>
          <t>Здравствуйте! Смотрел в 2ГИС кровельные компании в Волгограде, зашёл на ваш сайт с телефона: [ЧТО НЕ ТАК НА САЙТЕ].
Могу за вечер собрать вариант под «ВолгаСтрой», где это исправлено, и показать. Собрать?</t>
        </is>
      </c>
      <c r="U481" s="38">
        <f>B481&amp;IF(D481&lt;&gt;""," · "&amp;D481,"")&amp;IF(F481&lt;&gt;"",CHAR(10)&amp;F481,"")</f>
        <v/>
      </c>
      <c r="V481" s="38">
        <f>IF(OR(F481="просрочено",F481="сегодня",F481="укажи дату",LEFT(F481,6)="молчит"),1,0)</f>
        <v/>
      </c>
    </row>
    <row r="482" ht="24" customHeight="1">
      <c r="A482" s="38" t="n">
        <v>481</v>
      </c>
      <c r="B482" s="32" t="inlineStr">
        <is>
          <t>Bolat Group</t>
        </is>
      </c>
      <c r="C482" s="49" t="inlineStr">
        <is>
          <t>Очередь</t>
        </is>
      </c>
      <c r="D482" s="49" t="n"/>
      <c r="E482" s="50" t="n"/>
      <c r="F482" s="51">
        <f>IF(OR(C482="",C482="Очередь",C482="Клиент",C482="Отказ",C482="Не писать"),"",IF(E482="",IF(AND(C482="Отправлено",I482&lt;&gt;"",TODAY()-INT(I482)&gt;=3),"молчит "&amp;(TODAY()-INT(I482))&amp;" дн.",IF(OR(C482="Перезвонить",C482="Созвон"),"укажи дату","")),IF(INT(E482)&lt;TODAY(),"просрочено",IF(INT(E482)=TODAY(),"сегодня",IF(INT(E482)=TODAY()+1,"завтра",TEXT(E482,"dd.mm"))))))</f>
        <v/>
      </c>
      <c r="G482" s="52" t="n"/>
      <c r="H482" s="36" t="inlineStr">
        <is>
          <t>79616895479</t>
        </is>
      </c>
      <c r="I482" s="53" t="n"/>
      <c r="J482" s="38">
        <f>IFERROR(MATCH(C482,'Справка'!$A$12:$A$21,0),99)</f>
        <v/>
      </c>
      <c r="K482" s="39">
        <f>HYPERLINK("https://wa.me/"&amp;H482&amp;"?text="&amp;ENCODEURL(T482),"✉ Написать")</f>
        <v/>
      </c>
      <c r="L482" s="39">
        <f>HYPERLINK("https://wa.me/"&amp;H482,"Открыть чат")</f>
        <v/>
      </c>
      <c r="M482" s="38" t="inlineStr">
        <is>
          <t>Волгоград</t>
        </is>
      </c>
      <c r="N482" s="38" t="n">
        <v>5</v>
      </c>
      <c r="O482" s="38" t="n">
        <v>2</v>
      </c>
      <c r="P482" s="38" t="inlineStr">
        <is>
          <t>volgograd.zabor-zhaluzi.ru</t>
        </is>
      </c>
      <c r="Q482" s="38" t="inlineStr">
        <is>
          <t>есть сайт: сначала впиши в текст, что на нём не так, WhatsApp не подтверждён</t>
        </is>
      </c>
      <c r="R482" s="38" t="n">
        <v>2</v>
      </c>
      <c r="S482" s="38" t="inlineStr">
        <is>
          <t>Волгоградская область</t>
        </is>
      </c>
      <c r="T482" s="38" t="inlineStr">
        <is>
          <t>Здравствуйте! Смотрел в 2ГИС кровельные компании в Волгограде, зашёл на ваш сайт с телефона: [ЧТО НЕ ТАК НА САЙТЕ].
Могу за вечер собрать вариант под «Bolat Group», где это исправлено, и показать. Собрать?</t>
        </is>
      </c>
      <c r="U482" s="38">
        <f>B482&amp;IF(D482&lt;&gt;""," · "&amp;D482,"")&amp;IF(F482&lt;&gt;"",CHAR(10)&amp;F482,"")</f>
        <v/>
      </c>
      <c r="V482" s="38">
        <f>IF(OR(F482="просрочено",F482="сегодня",F482="укажи дату",LEFT(F482,6)="молчит"),1,0)</f>
        <v/>
      </c>
    </row>
    <row r="483" ht="24" customHeight="1">
      <c r="A483" s="38" t="n">
        <v>482</v>
      </c>
      <c r="B483" s="32" t="inlineStr">
        <is>
          <t>СтройДомТоп</t>
        </is>
      </c>
      <c r="C483" s="49" t="inlineStr">
        <is>
          <t>Очередь</t>
        </is>
      </c>
      <c r="D483" s="49" t="n"/>
      <c r="E483" s="50" t="n"/>
      <c r="F483" s="51">
        <f>IF(OR(C483="",C483="Очередь",C483="Клиент",C483="Отказ",C483="Не писать"),"",IF(E483="",IF(AND(C483="Отправлено",I483&lt;&gt;"",TODAY()-INT(I483)&gt;=3),"молчит "&amp;(TODAY()-INT(I483))&amp;" дн.",IF(OR(C483="Перезвонить",C483="Созвон"),"укажи дату","")),IF(INT(E483)&lt;TODAY(),"просрочено",IF(INT(E483)=TODAY(),"сегодня",IF(INT(E483)=TODAY()+1,"завтра",TEXT(E483,"dd.mm"))))))</f>
        <v/>
      </c>
      <c r="G483" s="52" t="n"/>
      <c r="H483" s="36" t="inlineStr">
        <is>
          <t>79608866469</t>
        </is>
      </c>
      <c r="I483" s="53" t="n"/>
      <c r="J483" s="38">
        <f>IFERROR(MATCH(C483,'Справка'!$A$12:$A$21,0),99)</f>
        <v/>
      </c>
      <c r="K483" s="39">
        <f>HYPERLINK("https://wa.me/"&amp;H483&amp;"?text="&amp;ENCODEURL(T483),"✉ Написать")</f>
        <v/>
      </c>
      <c r="L483" s="39">
        <f>HYPERLINK("https://wa.me/"&amp;H483,"Открыть чат")</f>
        <v/>
      </c>
      <c r="M483" s="38" t="inlineStr">
        <is>
          <t>Волгоград</t>
        </is>
      </c>
      <c r="N483" s="38" t="n">
        <v>5</v>
      </c>
      <c r="O483" s="38" t="n">
        <v>1</v>
      </c>
      <c r="P483" s="38" t="inlineStr">
        <is>
          <t>stroy-dom34.ru</t>
        </is>
      </c>
      <c r="Q483" s="38" t="inlineStr">
        <is>
          <t>есть сайт: сначала впиши в текст, что на нём не так, WhatsApp не подтверждён</t>
        </is>
      </c>
      <c r="R483" s="38" t="n">
        <v>2</v>
      </c>
      <c r="S483" s="38" t="inlineStr">
        <is>
          <t>Волгоградская область</t>
        </is>
      </c>
      <c r="T483" s="38" t="inlineStr">
        <is>
          <t>Здравствуйте! Смотрел в 2ГИС кровельные компании в Волгограде, зашёл на ваш сайт с телефона: [ЧТО НЕ ТАК НА САЙТЕ].
Могу за вечер собрать вариант под «СтройДомТоп», где это исправлено, и показать. Собрать?</t>
        </is>
      </c>
      <c r="U483" s="38">
        <f>B483&amp;IF(D483&lt;&gt;""," · "&amp;D483,"")&amp;IF(F483&lt;&gt;"",CHAR(10)&amp;F483,"")</f>
        <v/>
      </c>
      <c r="V483" s="38">
        <f>IF(OR(F483="просрочено",F483="сегодня",F483="укажи дату",LEFT(F483,6)="молчит"),1,0)</f>
        <v/>
      </c>
    </row>
    <row r="484" ht="24" customHeight="1">
      <c r="A484" s="38" t="n">
        <v>483</v>
      </c>
      <c r="B484" s="32" t="inlineStr">
        <is>
          <t>Компания по выполнению кровельных работ</t>
        </is>
      </c>
      <c r="C484" s="49" t="inlineStr">
        <is>
          <t>Очередь</t>
        </is>
      </c>
      <c r="D484" s="49" t="n"/>
      <c r="E484" s="50" t="n"/>
      <c r="F484" s="51">
        <f>IF(OR(C484="",C484="Очередь",C484="Клиент",C484="Отказ",C484="Не писать"),"",IF(E484="",IF(AND(C484="Отправлено",I484&lt;&gt;"",TODAY()-INT(I484)&gt;=3),"молчит "&amp;(TODAY()-INT(I484))&amp;" дн.",IF(OR(C484="Перезвонить",C484="Созвон"),"укажи дату","")),IF(INT(E484)&lt;TODAY(),"просрочено",IF(INT(E484)=TODAY(),"сегодня",IF(INT(E484)=TODAY()+1,"завтра",TEXT(E484,"dd.mm"))))))</f>
        <v/>
      </c>
      <c r="G484" s="52" t="n"/>
      <c r="H484" s="36" t="inlineStr">
        <is>
          <t>79610757525</t>
        </is>
      </c>
      <c r="I484" s="53" t="n"/>
      <c r="J484" s="38">
        <f>IFERROR(MATCH(C484,'Справка'!$A$12:$A$21,0),99)</f>
        <v/>
      </c>
      <c r="K484" s="39">
        <f>HYPERLINK("https://wa.me/"&amp;H484&amp;"?text="&amp;ENCODEURL(T484),"✉ Написать")</f>
        <v/>
      </c>
      <c r="L484" s="39">
        <f>HYPERLINK("https://wa.me/"&amp;H484,"Открыть чат")</f>
        <v/>
      </c>
      <c r="M484" s="38" t="inlineStr">
        <is>
          <t>Волгоград</t>
        </is>
      </c>
      <c r="N484" s="38" t="n"/>
      <c r="O484" s="38" t="n"/>
      <c r="P484" s="38" t="inlineStr">
        <is>
          <t>vk.link/remont_krovli_volgograd</t>
        </is>
      </c>
      <c r="Q484" s="38" t="inlineStr">
        <is>
          <t>есть сайт: сначала впиши в текст, что на нём не так, WhatsApp не подтверждён</t>
        </is>
      </c>
      <c r="R484" s="38" t="n">
        <v>2</v>
      </c>
      <c r="S484" s="38" t="inlineStr">
        <is>
          <t>Волгоградская область</t>
        </is>
      </c>
      <c r="T484" s="38" t="inlineStr">
        <is>
          <t>Здравствуйте! Смотрел в 2ГИС кровельные компании в Волгограде, зашёл на ваш сайт с телефона: [ЧТО НЕ ТАК НА САЙТЕ].
Могу за вечер собрать вариант под «Компания по выполнению кровельных работ», где это исправлено, и показать. Собрать?</t>
        </is>
      </c>
      <c r="U484" s="38">
        <f>B484&amp;IF(D484&lt;&gt;""," · "&amp;D484,"")&amp;IF(F484&lt;&gt;"",CHAR(10)&amp;F484,"")</f>
        <v/>
      </c>
      <c r="V484" s="38">
        <f>IF(OR(F484="просрочено",F484="сегодня",F484="укажи дату",LEFT(F484,6)="молчит"),1,0)</f>
        <v/>
      </c>
    </row>
    <row r="485" ht="24" customHeight="1">
      <c r="A485" s="38" t="n">
        <v>484</v>
      </c>
      <c r="B485" s="32" t="inlineStr">
        <is>
          <t>КровГид</t>
        </is>
      </c>
      <c r="C485" s="49" t="inlineStr">
        <is>
          <t>Очередь</t>
        </is>
      </c>
      <c r="D485" s="49" t="n"/>
      <c r="E485" s="50" t="n"/>
      <c r="F485" s="51">
        <f>IF(OR(C485="",C485="Очередь",C485="Клиент",C485="Отказ",C485="Не писать"),"",IF(E485="",IF(AND(C485="Отправлено",I485&lt;&gt;"",TODAY()-INT(I485)&gt;=3),"молчит "&amp;(TODAY()-INT(I485))&amp;" дн.",IF(OR(C485="Перезвонить",C485="Созвон"),"укажи дату","")),IF(INT(E485)&lt;TODAY(),"просрочено",IF(INT(E485)=TODAY(),"сегодня",IF(INT(E485)=TODAY()+1,"завтра",TEXT(E485,"dd.mm"))))))</f>
        <v/>
      </c>
      <c r="G485" s="52" t="n"/>
      <c r="H485" s="36" t="inlineStr">
        <is>
          <t>79921481355</t>
        </is>
      </c>
      <c r="I485" s="53" t="n"/>
      <c r="J485" s="38">
        <f>IFERROR(MATCH(C485,'Справка'!$A$12:$A$21,0),99)</f>
        <v/>
      </c>
      <c r="K485" s="39">
        <f>HYPERLINK("https://wa.me/"&amp;H485&amp;"?text="&amp;ENCODEURL(T485),"✉ Написать")</f>
        <v/>
      </c>
      <c r="L485" s="39">
        <f>HYPERLINK("https://wa.me/"&amp;H485,"Открыть чат")</f>
        <v/>
      </c>
      <c r="M485" s="38" t="inlineStr">
        <is>
          <t>Волгоград</t>
        </is>
      </c>
      <c r="N485" s="38" t="n"/>
      <c r="O485" s="38" t="n"/>
      <c r="P485" s="38" t="inlineStr">
        <is>
          <t>кровгид.рф</t>
        </is>
      </c>
      <c r="Q485" s="38" t="inlineStr">
        <is>
          <t>есть сайт: сначала впиши в текст, что на нём не так, WhatsApp не подтверждён</t>
        </is>
      </c>
      <c r="R485" s="38" t="n">
        <v>2</v>
      </c>
      <c r="S485" s="38" t="inlineStr">
        <is>
          <t>Волгоградская область</t>
        </is>
      </c>
      <c r="T485" s="38" t="inlineStr">
        <is>
          <t>Здравствуйте! Смотрел в 2ГИС кровельные компании в Волгограде, зашёл на ваш сайт с телефона: [ЧТО НЕ ТАК НА САЙТЕ].
Могу за вечер собрать вариант под «КровГид», где это исправлено, и показать. Собрать?</t>
        </is>
      </c>
      <c r="U485" s="38">
        <f>B485&amp;IF(D485&lt;&gt;""," · "&amp;D485,"")&amp;IF(F485&lt;&gt;"",CHAR(10)&amp;F485,"")</f>
        <v/>
      </c>
      <c r="V485" s="38">
        <f>IF(OR(F485="просрочено",F485="сегодня",F485="укажи дату",LEFT(F485,6)="молчит"),1,0)</f>
        <v/>
      </c>
    </row>
    <row r="486" ht="24" customHeight="1">
      <c r="A486" s="38" t="n">
        <v>485</v>
      </c>
      <c r="B486" s="32" t="inlineStr">
        <is>
          <t>Забор Строй Монтаж</t>
        </is>
      </c>
      <c r="C486" s="49" t="inlineStr">
        <is>
          <t>Очередь</t>
        </is>
      </c>
      <c r="D486" s="49" t="n"/>
      <c r="E486" s="50" t="n"/>
      <c r="F486" s="51">
        <f>IF(OR(C486="",C486="Очередь",C486="Клиент",C486="Отказ",C486="Не писать"),"",IF(E486="",IF(AND(C486="Отправлено",I486&lt;&gt;"",TODAY()-INT(I486)&gt;=3),"молчит "&amp;(TODAY()-INT(I486))&amp;" дн.",IF(OR(C486="Перезвонить",C486="Созвон"),"укажи дату","")),IF(INT(E486)&lt;TODAY(),"просрочено",IF(INT(E486)=TODAY(),"сегодня",IF(INT(E486)=TODAY()+1,"завтра",TEXT(E486,"dd.mm"))))))</f>
        <v/>
      </c>
      <c r="G486" s="52" t="n"/>
      <c r="H486" s="36" t="inlineStr">
        <is>
          <t>79696556511</t>
        </is>
      </c>
      <c r="I486" s="53" t="n"/>
      <c r="J486" s="38">
        <f>IFERROR(MATCH(C486,'Справка'!$A$12:$A$21,0),99)</f>
        <v/>
      </c>
      <c r="K486" s="39">
        <f>HYPERLINK("https://wa.me/"&amp;H486&amp;"?text="&amp;ENCODEURL(T486),"✉ Написать")</f>
        <v/>
      </c>
      <c r="L486" s="39">
        <f>HYPERLINK("https://wa.me/"&amp;H486,"Открыть чат")</f>
        <v/>
      </c>
      <c r="M486" s="38" t="inlineStr">
        <is>
          <t>Волжский</t>
        </is>
      </c>
      <c r="N486" s="38" t="n"/>
      <c r="O486" s="38" t="n"/>
      <c r="P486" s="38" t="inlineStr">
        <is>
          <t>34stroika.ru</t>
        </is>
      </c>
      <c r="Q486" s="38" t="inlineStr">
        <is>
          <t>есть сайт: сначала впиши в текст, что на нём не так, WhatsApp не подтверждён</t>
        </is>
      </c>
      <c r="R486" s="38" t="n">
        <v>2</v>
      </c>
      <c r="S486" s="38" t="inlineStr">
        <is>
          <t>Волгоградская область</t>
        </is>
      </c>
      <c r="T486" s="38" t="inlineStr">
        <is>
          <t>Здравствуйте! Смотрел в 2ГИС кровельные компании в Волжском, зашёл на ваш сайт с телефона: [ЧТО НЕ ТАК НА САЙТЕ].
Могу за вечер собрать вариант под «Забор Строй Монтаж», где это исправлено, и показать. Собрать?</t>
        </is>
      </c>
      <c r="U486" s="38">
        <f>B486&amp;IF(D486&lt;&gt;""," · "&amp;D486,"")&amp;IF(F486&lt;&gt;"",CHAR(10)&amp;F486,"")</f>
        <v/>
      </c>
      <c r="V486" s="38">
        <f>IF(OR(F486="просрочено",F486="сегодня",F486="укажи дату",LEFT(F486,6)="молчит"),1,0)</f>
        <v/>
      </c>
    </row>
    <row r="487" ht="24" customHeight="1">
      <c r="A487" s="38" t="n">
        <v>486</v>
      </c>
      <c r="B487" s="32" t="inlineStr">
        <is>
          <t>Сталь Сервис</t>
        </is>
      </c>
      <c r="C487" s="49" t="inlineStr">
        <is>
          <t>Очередь</t>
        </is>
      </c>
      <c r="D487" s="49" t="n"/>
      <c r="E487" s="50" t="n"/>
      <c r="F487" s="51">
        <f>IF(OR(C487="",C487="Очередь",C487="Клиент",C487="Отказ",C487="Не писать"),"",IF(E487="",IF(AND(C487="Отправлено",I487&lt;&gt;"",TODAY()-INT(I487)&gt;=3),"молчит "&amp;(TODAY()-INT(I487))&amp;" дн.",IF(OR(C487="Перезвонить",C487="Созвон"),"укажи дату","")),IF(INT(E487)&lt;TODAY(),"просрочено",IF(INT(E487)=TODAY(),"сегодня",IF(INT(E487)=TODAY()+1,"завтра",TEXT(E487,"dd.mm"))))))</f>
        <v/>
      </c>
      <c r="G487" s="52" t="n"/>
      <c r="H487" s="36" t="inlineStr">
        <is>
          <t>79026551122</t>
        </is>
      </c>
      <c r="I487" s="53" t="n"/>
      <c r="J487" s="38">
        <f>IFERROR(MATCH(C487,'Справка'!$A$12:$A$21,0),99)</f>
        <v/>
      </c>
      <c r="K487" s="39">
        <f>HYPERLINK("https://wa.me/"&amp;H487&amp;"?text="&amp;ENCODEURL(T487),"✉ Написать")</f>
        <v/>
      </c>
      <c r="L487" s="39">
        <f>HYPERLINK("https://wa.me/"&amp;H487,"Открыть чат")</f>
        <v/>
      </c>
      <c r="M487" s="38" t="inlineStr">
        <is>
          <t>Новоаннинский</t>
        </is>
      </c>
      <c r="N487" s="38" t="n"/>
      <c r="O487" s="38" t="n"/>
      <c r="P487" s="38" t="inlineStr">
        <is>
          <t>novoanninskiy.metall-proff.ru</t>
        </is>
      </c>
      <c r="Q487" s="38" t="inlineStr">
        <is>
          <t>есть сайт: сначала впиши в текст, что на нём не так, WhatsApp не подтверждён</t>
        </is>
      </c>
      <c r="R487" s="38" t="n">
        <v>2</v>
      </c>
      <c r="S487" s="38" t="inlineStr">
        <is>
          <t>Волгоградская область</t>
        </is>
      </c>
      <c r="T487" s="38" t="inlineStr">
        <is>
          <t>Здравствуйте! Смотрел в 2ГИС кровельные компании в Новоаннинском, зашёл на ваш сайт с телефона: [ЧТО НЕ ТАК НА САЙТЕ].
Могу за вечер собрать вариант под «Сталь Сервис», где это исправлено, и показать. Собрать?</t>
        </is>
      </c>
      <c r="U487" s="38">
        <f>B487&amp;IF(D487&lt;&gt;""," · "&amp;D487,"")&amp;IF(F487&lt;&gt;"",CHAR(10)&amp;F487,"")</f>
        <v/>
      </c>
      <c r="V487" s="38">
        <f>IF(OR(F487="просрочено",F487="сегодня",F487="укажи дату",LEFT(F487,6)="молчит"),1,0)</f>
        <v/>
      </c>
    </row>
    <row r="488" ht="24" customHeight="1">
      <c r="A488" s="38" t="n">
        <v>487</v>
      </c>
      <c r="B488" s="32" t="inlineStr">
        <is>
          <t>Кровля и забор</t>
        </is>
      </c>
      <c r="C488" s="49" t="inlineStr">
        <is>
          <t>Очередь</t>
        </is>
      </c>
      <c r="D488" s="49" t="n"/>
      <c r="E488" s="50" t="n"/>
      <c r="F488" s="51">
        <f>IF(OR(C488="",C488="Очередь",C488="Клиент",C488="Отказ",C488="Не писать"),"",IF(E488="",IF(AND(C488="Отправлено",I488&lt;&gt;"",TODAY()-INT(I488)&gt;=3),"молчит "&amp;(TODAY()-INT(I488))&amp;" дн.",IF(OR(C488="Перезвонить",C488="Созвон"),"укажи дату","")),IF(INT(E488)&lt;TODAY(),"просрочено",IF(INT(E488)=TODAY(),"сегодня",IF(INT(E488)=TODAY()+1,"завтра",TEXT(E488,"dd.mm"))))))</f>
        <v/>
      </c>
      <c r="G488" s="52" t="n"/>
      <c r="H488" s="36" t="inlineStr">
        <is>
          <t>79805489555</t>
        </is>
      </c>
      <c r="I488" s="53" t="n"/>
      <c r="J488" s="38">
        <f>IFERROR(MATCH(C488,'Справка'!$A$12:$A$21,0),99)</f>
        <v/>
      </c>
      <c r="K488" s="39">
        <f>HYPERLINK("https://wa.me/"&amp;H488&amp;"?text="&amp;ENCODEURL(T488),"✉ Написать")</f>
        <v/>
      </c>
      <c r="L488" s="39">
        <f>HYPERLINK("https://wa.me/"&amp;H488,"Открыть чат")</f>
        <v/>
      </c>
      <c r="M488" s="38" t="inlineStr">
        <is>
          <t>Воронеж</t>
        </is>
      </c>
      <c r="N488" s="38" t="n">
        <v>4.8</v>
      </c>
      <c r="O488" s="38" t="n">
        <v>18</v>
      </c>
      <c r="P488" s="38" t="inlineStr">
        <is>
          <t>krovlya-i-zabor.ru</t>
        </is>
      </c>
      <c r="Q488" s="38" t="inlineStr">
        <is>
          <t>есть сайт: сначала впиши в текст, что на нём не так, WhatsApp не подтверждён</t>
        </is>
      </c>
      <c r="R488" s="38" t="n">
        <v>2</v>
      </c>
      <c r="S488" s="38" t="inlineStr">
        <is>
          <t>Воронежская область</t>
        </is>
      </c>
      <c r="T488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«Кровля и забор», где это исправлено, и показать. Собрать?</t>
        </is>
      </c>
      <c r="U488" s="38">
        <f>B488&amp;IF(D488&lt;&gt;""," · "&amp;D488,"")&amp;IF(F488&lt;&gt;"",CHAR(10)&amp;F488,"")</f>
        <v/>
      </c>
      <c r="V488" s="38">
        <f>IF(OR(F488="просрочено",F488="сегодня",F488="укажи дату",LEFT(F488,6)="молчит"),1,0)</f>
        <v/>
      </c>
    </row>
    <row r="489" ht="24" customHeight="1">
      <c r="A489" s="38" t="n">
        <v>488</v>
      </c>
      <c r="B489" s="32" t="inlineStr">
        <is>
          <t>Kintek</t>
        </is>
      </c>
      <c r="C489" s="49" t="inlineStr">
        <is>
          <t>Очередь</t>
        </is>
      </c>
      <c r="D489" s="49" t="n"/>
      <c r="E489" s="50" t="n"/>
      <c r="F489" s="51">
        <f>IF(OR(C489="",C489="Очередь",C489="Клиент",C489="Отказ",C489="Не писать"),"",IF(E489="",IF(AND(C489="Отправлено",I489&lt;&gt;"",TODAY()-INT(I489)&gt;=3),"молчит "&amp;(TODAY()-INT(I489))&amp;" дн.",IF(OR(C489="Перезвонить",C489="Созвон"),"укажи дату","")),IF(INT(E489)&lt;TODAY(),"просрочено",IF(INT(E489)=TODAY(),"сегодня",IF(INT(E489)=TODAY()+1,"завтра",TEXT(E489,"dd.mm"))))))</f>
        <v/>
      </c>
      <c r="G489" s="52" t="n"/>
      <c r="H489" s="36" t="inlineStr">
        <is>
          <t>79155463221</t>
        </is>
      </c>
      <c r="I489" s="53" t="n"/>
      <c r="J489" s="38">
        <f>IFERROR(MATCH(C489,'Справка'!$A$12:$A$21,0),99)</f>
        <v/>
      </c>
      <c r="K489" s="39">
        <f>HYPERLINK("https://wa.me/"&amp;H489&amp;"?text="&amp;ENCODEURL(T489),"✉ Написать")</f>
        <v/>
      </c>
      <c r="L489" s="39">
        <f>HYPERLINK("https://wa.me/"&amp;H489,"Открыть чат")</f>
        <v/>
      </c>
      <c r="M489" s="38" t="inlineStr">
        <is>
          <t>Воронеж</t>
        </is>
      </c>
      <c r="N489" s="38" t="n">
        <v>5</v>
      </c>
      <c r="O489" s="38" t="n">
        <v>2</v>
      </c>
      <c r="P489" s="38" t="inlineStr">
        <is>
          <t>Перейти в Telegram-канал</t>
        </is>
      </c>
      <c r="Q489" s="38" t="inlineStr">
        <is>
          <t>есть сайт: сначала впиши в текст, что на нём не так, WhatsApp не подтверждён</t>
        </is>
      </c>
      <c r="R489" s="38" t="n">
        <v>2</v>
      </c>
      <c r="S489" s="38" t="inlineStr">
        <is>
          <t>Воронежская область</t>
        </is>
      </c>
      <c r="T489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«Kintek», где это исправлено, и показать. Собрать?</t>
        </is>
      </c>
      <c r="U489" s="38">
        <f>B489&amp;IF(D489&lt;&gt;""," · "&amp;D489,"")&amp;IF(F489&lt;&gt;"",CHAR(10)&amp;F489,"")</f>
        <v/>
      </c>
      <c r="V489" s="38">
        <f>IF(OR(F489="просрочено",F489="сегодня",F489="укажи дату",LEFT(F489,6)="молчит"),1,0)</f>
        <v/>
      </c>
    </row>
    <row r="490" ht="24" customHeight="1">
      <c r="A490" s="38" t="n">
        <v>489</v>
      </c>
      <c r="B490" s="32" t="inlineStr">
        <is>
          <t>Сталь сервис</t>
        </is>
      </c>
      <c r="C490" s="49" t="inlineStr">
        <is>
          <t>Очередь</t>
        </is>
      </c>
      <c r="D490" s="49" t="n"/>
      <c r="E490" s="50" t="n"/>
      <c r="F490" s="51">
        <f>IF(OR(C490="",C490="Очередь",C490="Клиент",C490="Отказ",C490="Не писать"),"",IF(E490="",IF(AND(C490="Отправлено",I490&lt;&gt;"",TODAY()-INT(I490)&gt;=3),"молчит "&amp;(TODAY()-INT(I490))&amp;" дн.",IF(OR(C490="Перезвонить",C490="Созвон"),"укажи дату","")),IF(INT(E490)&lt;TODAY(),"просрочено",IF(INT(E490)=TODAY(),"сегодня",IF(INT(E490)=TODAY()+1,"завтра",TEXT(E490,"dd.mm"))))))</f>
        <v/>
      </c>
      <c r="G490" s="52" t="n"/>
      <c r="H490" s="36" t="inlineStr">
        <is>
          <t>79204488811</t>
        </is>
      </c>
      <c r="I490" s="53" t="n"/>
      <c r="J490" s="38">
        <f>IFERROR(MATCH(C490,'Справка'!$A$12:$A$21,0),99)</f>
        <v/>
      </c>
      <c r="K490" s="39">
        <f>HYPERLINK("https://wa.me/"&amp;H490&amp;"?text="&amp;ENCODEURL(T490),"✉ Написать")</f>
        <v/>
      </c>
      <c r="L490" s="39">
        <f>HYPERLINK("https://wa.me/"&amp;H490,"Открыть чат")</f>
        <v/>
      </c>
      <c r="M490" s="38" t="inlineStr">
        <is>
          <t>Борисоглебск</t>
        </is>
      </c>
      <c r="N490" s="38" t="n">
        <v>5</v>
      </c>
      <c r="O490" s="38" t="n">
        <v>2</v>
      </c>
      <c r="P490" s="38" t="inlineStr">
        <is>
          <t>metall-proff.ru</t>
        </is>
      </c>
      <c r="Q490" s="38" t="inlineStr">
        <is>
          <t>есть сайт: сначала впиши в текст, что на нём не так, WhatsApp не подтверждён</t>
        </is>
      </c>
      <c r="R490" s="38" t="n">
        <v>2</v>
      </c>
      <c r="S490" s="38" t="inlineStr">
        <is>
          <t>Воронежская область</t>
        </is>
      </c>
      <c r="T490" s="38" t="inlineStr">
        <is>
          <t>Здравствуйте! Смотрел в 2ГИС кровельные компании в Борисоглебске, зашёл на ваш сайт с телефона: [ЧТО НЕ ТАК НА САЙТЕ].
Могу за вечер собрать вариант под «Сталь сервис», где это исправлено, и показать. Собрать?</t>
        </is>
      </c>
      <c r="U490" s="38">
        <f>B490&amp;IF(D490&lt;&gt;""," · "&amp;D490,"")&amp;IF(F490&lt;&gt;"",CHAR(10)&amp;F490,"")</f>
        <v/>
      </c>
      <c r="V490" s="38">
        <f>IF(OR(F490="просрочено",F490="сегодня",F490="укажи дату",LEFT(F490,6)="молчит"),1,0)</f>
        <v/>
      </c>
    </row>
    <row r="491" ht="24" customHeight="1">
      <c r="A491" s="38" t="n">
        <v>490</v>
      </c>
      <c r="B491" s="32" t="inlineStr">
        <is>
          <t>Праймстарт</t>
        </is>
      </c>
      <c r="C491" s="49" t="inlineStr">
        <is>
          <t>Очередь</t>
        </is>
      </c>
      <c r="D491" s="49" t="n"/>
      <c r="E491" s="50" t="n"/>
      <c r="F491" s="51">
        <f>IF(OR(C491="",C491="Очередь",C491="Клиент",C491="Отказ",C491="Не писать"),"",IF(E491="",IF(AND(C491="Отправлено",I491&lt;&gt;"",TODAY()-INT(I491)&gt;=3),"молчит "&amp;(TODAY()-INT(I491))&amp;" дн.",IF(OR(C491="Перезвонить",C491="Созвон"),"укажи дату","")),IF(INT(E491)&lt;TODAY(),"просрочено",IF(INT(E491)=TODAY(),"сегодня",IF(INT(E491)=TODAY()+1,"завтра",TEXT(E491,"dd.mm"))))))</f>
        <v/>
      </c>
      <c r="G491" s="52" t="n"/>
      <c r="H491" s="36" t="inlineStr">
        <is>
          <t>79507707171</t>
        </is>
      </c>
      <c r="I491" s="53" t="n"/>
      <c r="J491" s="38">
        <f>IFERROR(MATCH(C491,'Справка'!$A$12:$A$21,0),99)</f>
        <v/>
      </c>
      <c r="K491" s="39">
        <f>HYPERLINK("https://wa.me/"&amp;H491&amp;"?text="&amp;ENCODEURL(T491),"✉ Написать")</f>
        <v/>
      </c>
      <c r="L491" s="39">
        <f>HYPERLINK("https://wa.me/"&amp;H491,"Открыть чат")</f>
        <v/>
      </c>
      <c r="M491" s="38" t="inlineStr">
        <is>
          <t>Воронеж</t>
        </is>
      </c>
      <c r="N491" s="38" t="n">
        <v>5</v>
      </c>
      <c r="O491" s="38" t="n">
        <v>1</v>
      </c>
      <c r="P491" s="38" t="inlineStr">
        <is>
          <t>primestartvrn.ru</t>
        </is>
      </c>
      <c r="Q491" s="38" t="inlineStr">
        <is>
          <t>есть сайт: сначала впиши в текст, что на нём не так, WhatsApp не подтверждён</t>
        </is>
      </c>
      <c r="R491" s="38" t="n">
        <v>2</v>
      </c>
      <c r="S491" s="38" t="inlineStr">
        <is>
          <t>Воронежская область</t>
        </is>
      </c>
      <c r="T491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«Праймстарт», где это исправлено, и показать. Собрать?</t>
        </is>
      </c>
      <c r="U491" s="38">
        <f>B491&amp;IF(D491&lt;&gt;""," · "&amp;D491,"")&amp;IF(F491&lt;&gt;"",CHAR(10)&amp;F491,"")</f>
        <v/>
      </c>
      <c r="V491" s="38">
        <f>IF(OR(F491="просрочено",F491="сегодня",F491="укажи дату",LEFT(F491,6)="молчит"),1,0)</f>
        <v/>
      </c>
    </row>
    <row r="492" ht="24" customHeight="1">
      <c r="A492" s="38" t="n">
        <v>491</v>
      </c>
      <c r="B492" s="32" t="inlineStr">
        <is>
          <t>Строительный Мир</t>
        </is>
      </c>
      <c r="C492" s="49" t="inlineStr">
        <is>
          <t>Очередь</t>
        </is>
      </c>
      <c r="D492" s="49" t="n"/>
      <c r="E492" s="50" t="n"/>
      <c r="F492" s="51">
        <f>IF(OR(C492="",C492="Очередь",C492="Клиент",C492="Отказ",C492="Не писать"),"",IF(E492="",IF(AND(C492="Отправлено",I492&lt;&gt;"",TODAY()-INT(I492)&gt;=3),"молчит "&amp;(TODAY()-INT(I492))&amp;" дн.",IF(OR(C492="Перезвонить",C492="Созвон"),"укажи дату","")),IF(INT(E492)&lt;TODAY(),"просрочено",IF(INT(E492)=TODAY(),"сегодня",IF(INT(E492)=TODAY()+1,"завтра",TEXT(E492,"dd.mm"))))))</f>
        <v/>
      </c>
      <c r="G492" s="52" t="n"/>
      <c r="H492" s="36" t="inlineStr">
        <is>
          <t>79920579700</t>
        </is>
      </c>
      <c r="I492" s="53" t="n"/>
      <c r="J492" s="38">
        <f>IFERROR(MATCH(C492,'Справка'!$A$12:$A$21,0),99)</f>
        <v/>
      </c>
      <c r="K492" s="39">
        <f>HYPERLINK("https://wa.me/"&amp;H492&amp;"?text="&amp;ENCODEURL(T492),"✉ Написать")</f>
        <v/>
      </c>
      <c r="L492" s="39">
        <f>HYPERLINK("https://wa.me/"&amp;H492,"Открыть чат")</f>
        <v/>
      </c>
      <c r="M492" s="38" t="inlineStr">
        <is>
          <t>Воронеж</t>
        </is>
      </c>
      <c r="N492" s="38" t="n"/>
      <c r="O492" s="38" t="n"/>
      <c r="P492" s="38" t="inlineStr">
        <is>
          <t>project20730136.tilda.ws</t>
        </is>
      </c>
      <c r="Q492" s="38" t="inlineStr">
        <is>
          <t>есть сайт: сначала впиши в текст, что на нём не так, WhatsApp не подтверждён</t>
        </is>
      </c>
      <c r="R492" s="38" t="n">
        <v>2</v>
      </c>
      <c r="S492" s="38" t="inlineStr">
        <is>
          <t>Воронежская область</t>
        </is>
      </c>
      <c r="T492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«Строительный Мир», где это исправлено, и показать. Собрать?</t>
        </is>
      </c>
      <c r="U492" s="38">
        <f>B492&amp;IF(D492&lt;&gt;""," · "&amp;D492,"")&amp;IF(F492&lt;&gt;"",CHAR(10)&amp;F492,"")</f>
        <v/>
      </c>
      <c r="V492" s="38">
        <f>IF(OR(F492="просрочено",F492="сегодня",F492="укажи дату",LEFT(F492,6)="молчит"),1,0)</f>
        <v/>
      </c>
    </row>
    <row r="493" ht="24" customHeight="1">
      <c r="A493" s="38" t="n">
        <v>492</v>
      </c>
      <c r="B493" s="32" t="inlineStr">
        <is>
          <t>ТехКров</t>
        </is>
      </c>
      <c r="C493" s="49" t="inlineStr">
        <is>
          <t>Очередь</t>
        </is>
      </c>
      <c r="D493" s="49" t="n"/>
      <c r="E493" s="50" t="n"/>
      <c r="F493" s="51">
        <f>IF(OR(C493="",C493="Очередь",C493="Клиент",C493="Отказ",C493="Не писать"),"",IF(E493="",IF(AND(C493="Отправлено",I493&lt;&gt;"",TODAY()-INT(I493)&gt;=3),"молчит "&amp;(TODAY()-INT(I493))&amp;" дн.",IF(OR(C493="Перезвонить",C493="Созвон"),"укажи дату","")),IF(INT(E493)&lt;TODAY(),"просрочено",IF(INT(E493)=TODAY(),"сегодня",IF(INT(E493)=TODAY()+1,"завтра",TEXT(E493,"dd.mm"))))))</f>
        <v/>
      </c>
      <c r="G493" s="52" t="n"/>
      <c r="H493" s="36" t="inlineStr">
        <is>
          <t>79527535205</t>
        </is>
      </c>
      <c r="I493" s="53" t="n"/>
      <c r="J493" s="38">
        <f>IFERROR(MATCH(C493,'Справка'!$A$12:$A$21,0),99)</f>
        <v/>
      </c>
      <c r="K493" s="39">
        <f>HYPERLINK("https://wa.me/"&amp;H493&amp;"?text="&amp;ENCODEURL(T493),"✉ Написать")</f>
        <v/>
      </c>
      <c r="L493" s="39">
        <f>HYPERLINK("https://wa.me/"&amp;H493,"Открыть чат")</f>
        <v/>
      </c>
      <c r="M493" s="38" t="inlineStr">
        <is>
          <t>Воронеж</t>
        </is>
      </c>
      <c r="N493" s="38" t="n"/>
      <c r="O493" s="38" t="n"/>
      <c r="P493" s="38" t="inlineStr">
        <is>
          <t>techkrov.ru</t>
        </is>
      </c>
      <c r="Q493" s="38" t="inlineStr">
        <is>
          <t>есть сайт: сначала впиши в текст, что на нём не так, WhatsApp не подтверждён</t>
        </is>
      </c>
      <c r="R493" s="38" t="n">
        <v>2</v>
      </c>
      <c r="S493" s="38" t="inlineStr">
        <is>
          <t>Воронежская область</t>
        </is>
      </c>
      <c r="T493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«ТехКров», где это исправлено, и показать. Собрать?</t>
        </is>
      </c>
      <c r="U493" s="38">
        <f>B493&amp;IF(D493&lt;&gt;""," · "&amp;D493,"")&amp;IF(F493&lt;&gt;"",CHAR(10)&amp;F493,"")</f>
        <v/>
      </c>
      <c r="V493" s="38">
        <f>IF(OR(F493="просрочено",F493="сегодня",F493="укажи дату",LEFT(F493,6)="молчит"),1,0)</f>
        <v/>
      </c>
    </row>
    <row r="494" ht="24" customHeight="1">
      <c r="A494" s="38" t="n">
        <v>493</v>
      </c>
      <c r="B494" s="32" t="inlineStr">
        <is>
          <t>ДмитрийСтрой</t>
        </is>
      </c>
      <c r="C494" s="49" t="inlineStr">
        <is>
          <t>Очередь</t>
        </is>
      </c>
      <c r="D494" s="49" t="n"/>
      <c r="E494" s="50" t="n"/>
      <c r="F494" s="51">
        <f>IF(OR(C494="",C494="Очередь",C494="Клиент",C494="Отказ",C494="Не писать"),"",IF(E494="",IF(AND(C494="Отправлено",I494&lt;&gt;"",TODAY()-INT(I494)&gt;=3),"молчит "&amp;(TODAY()-INT(I494))&amp;" дн.",IF(OR(C494="Перезвонить",C494="Созвон"),"укажи дату","")),IF(INT(E494)&lt;TODAY(),"просрочено",IF(INT(E494)=TODAY(),"сегодня",IF(INT(E494)=TODAY()+1,"завтра",TEXT(E494,"dd.mm"))))))</f>
        <v/>
      </c>
      <c r="G494" s="52" t="n"/>
      <c r="H494" s="36" t="inlineStr">
        <is>
          <t>79601096909</t>
        </is>
      </c>
      <c r="I494" s="53" t="n"/>
      <c r="J494" s="38">
        <f>IFERROR(MATCH(C494,'Справка'!$A$12:$A$21,0),99)</f>
        <v/>
      </c>
      <c r="K494" s="39">
        <f>HYPERLINK("https://wa.me/"&amp;H494&amp;"?text="&amp;ENCODEURL(T494),"✉ Написать")</f>
        <v/>
      </c>
      <c r="L494" s="39">
        <f>HYPERLINK("https://wa.me/"&amp;H494,"Открыть чат")</f>
        <v/>
      </c>
      <c r="M494" s="38" t="inlineStr">
        <is>
          <t>Воронеж</t>
        </is>
      </c>
      <c r="N494" s="38" t="n"/>
      <c r="O494" s="38" t="n"/>
      <c r="P494" s="38" t="inlineStr">
        <is>
          <t>дмитрий-строй-воронеж.рф</t>
        </is>
      </c>
      <c r="Q494" s="38" t="inlineStr">
        <is>
          <t>есть сайт: сначала впиши в текст, что на нём не так, WhatsApp не подтверждён</t>
        </is>
      </c>
      <c r="R494" s="38" t="n">
        <v>2</v>
      </c>
      <c r="S494" s="38" t="inlineStr">
        <is>
          <t>Воронежская область</t>
        </is>
      </c>
      <c r="T494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«ДмитрийСтрой», где это исправлено, и показать. Собрать?</t>
        </is>
      </c>
      <c r="U494" s="38">
        <f>B494&amp;IF(D494&lt;&gt;""," · "&amp;D494,"")&amp;IF(F494&lt;&gt;"",CHAR(10)&amp;F494,"")</f>
        <v/>
      </c>
      <c r="V494" s="38">
        <f>IF(OR(F494="просрочено",F494="сегодня",F494="укажи дату",LEFT(F494,6)="молчит"),1,0)</f>
        <v/>
      </c>
    </row>
    <row r="495" ht="24" customHeight="1">
      <c r="A495" s="38" t="n">
        <v>494</v>
      </c>
      <c r="B495" s="32" t="inlineStr">
        <is>
          <t>ЭкоДром</t>
        </is>
      </c>
      <c r="C495" s="49" t="inlineStr">
        <is>
          <t>Очередь</t>
        </is>
      </c>
      <c r="D495" s="49" t="n"/>
      <c r="E495" s="50" t="n"/>
      <c r="F495" s="51">
        <f>IF(OR(C495="",C495="Очередь",C495="Клиент",C495="Отказ",C495="Не писать"),"",IF(E495="",IF(AND(C495="Отправлено",I495&lt;&gt;"",TODAY()-INT(I495)&gt;=3),"молчит "&amp;(TODAY()-INT(I495))&amp;" дн.",IF(OR(C495="Перезвонить",C495="Созвон"),"укажи дату","")),IF(INT(E495)&lt;TODAY(),"просрочено",IF(INT(E495)=TODAY(),"сегодня",IF(INT(E495)=TODAY()+1,"завтра",TEXT(E495,"dd.mm"))))))</f>
        <v/>
      </c>
      <c r="G495" s="52" t="n"/>
      <c r="H495" s="36" t="inlineStr">
        <is>
          <t>79956209995</t>
        </is>
      </c>
      <c r="I495" s="53" t="n"/>
      <c r="J495" s="38">
        <f>IFERROR(MATCH(C495,'Справка'!$A$12:$A$21,0),99)</f>
        <v/>
      </c>
      <c r="K495" s="39">
        <f>HYPERLINK("https://wa.me/"&amp;H495&amp;"?text="&amp;ENCODEURL(T495),"✉ Написать")</f>
        <v/>
      </c>
      <c r="L495" s="39">
        <f>HYPERLINK("https://wa.me/"&amp;H495,"Открыть чат")</f>
        <v/>
      </c>
      <c r="M495" s="38" t="inlineStr">
        <is>
          <t>Воронеж</t>
        </is>
      </c>
      <c r="N495" s="38" t="n"/>
      <c r="O495" s="38" t="n"/>
      <c r="P495" s="38" t="inlineStr">
        <is>
          <t>ekodrom.ru</t>
        </is>
      </c>
      <c r="Q495" s="38" t="inlineStr">
        <is>
          <t>есть сайт: сначала впиши в текст, что на нём не так, WhatsApp не подтверждён</t>
        </is>
      </c>
      <c r="R495" s="38" t="n">
        <v>2</v>
      </c>
      <c r="S495" s="38" t="inlineStr">
        <is>
          <t>Воронежская область</t>
        </is>
      </c>
      <c r="T495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«ЭкоДром», где это исправлено, и показать. Собрать?</t>
        </is>
      </c>
      <c r="U495" s="38">
        <f>B495&amp;IF(D495&lt;&gt;""," · "&amp;D495,"")&amp;IF(F495&lt;&gt;"",CHAR(10)&amp;F495,"")</f>
        <v/>
      </c>
      <c r="V495" s="38">
        <f>IF(OR(F495="просрочено",F495="сегодня",F495="укажи дату",LEFT(F495,6)="молчит"),1,0)</f>
        <v/>
      </c>
    </row>
    <row r="496" ht="24" customHeight="1">
      <c r="A496" s="38" t="n">
        <v>495</v>
      </c>
      <c r="B496" s="32" t="inlineStr">
        <is>
          <t>Монтажная компания</t>
        </is>
      </c>
      <c r="C496" s="49" t="inlineStr">
        <is>
          <t>Очередь</t>
        </is>
      </c>
      <c r="D496" s="49" t="n"/>
      <c r="E496" s="50" t="n"/>
      <c r="F496" s="51">
        <f>IF(OR(C496="",C496="Очередь",C496="Клиент",C496="Отказ",C496="Не писать"),"",IF(E496="",IF(AND(C496="Отправлено",I496&lt;&gt;"",TODAY()-INT(I496)&gt;=3),"молчит "&amp;(TODAY()-INT(I496))&amp;" дн.",IF(OR(C496="Перезвонить",C496="Созвон"),"укажи дату","")),IF(INT(E496)&lt;TODAY(),"просрочено",IF(INT(E496)=TODAY(),"сегодня",IF(INT(E496)=TODAY()+1,"завтра",TEXT(E496,"dd.mm"))))))</f>
        <v/>
      </c>
      <c r="G496" s="52" t="n"/>
      <c r="H496" s="36" t="inlineStr">
        <is>
          <t>79507659331</t>
        </is>
      </c>
      <c r="I496" s="53" t="n"/>
      <c r="J496" s="38">
        <f>IFERROR(MATCH(C496,'Справка'!$A$12:$A$21,0),99)</f>
        <v/>
      </c>
      <c r="K496" s="39">
        <f>HYPERLINK("https://wa.me/"&amp;H496&amp;"?text="&amp;ENCODEURL(T496),"✉ Написать")</f>
        <v/>
      </c>
      <c r="L496" s="39">
        <f>HYPERLINK("https://wa.me/"&amp;H496,"Открыть чат")</f>
        <v/>
      </c>
      <c r="M496" s="38" t="inlineStr">
        <is>
          <t>Воронеж</t>
        </is>
      </c>
      <c r="N496" s="38" t="n"/>
      <c r="O496" s="38" t="n"/>
      <c r="P496" s="38" t="inlineStr">
        <is>
          <t>www.кровляврн.рф</t>
        </is>
      </c>
      <c r="Q496" s="38" t="inlineStr">
        <is>
          <t>есть сайт: сначала впиши в текст, что на нём не так, WhatsApp не подтверждён</t>
        </is>
      </c>
      <c r="R496" s="38" t="n">
        <v>2</v>
      </c>
      <c r="S496" s="38" t="inlineStr">
        <is>
          <t>Воронежская область</t>
        </is>
      </c>
      <c r="T496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«Монтажная компания», где это исправлено, и показать. Собрать?</t>
        </is>
      </c>
      <c r="U496" s="38">
        <f>B496&amp;IF(D496&lt;&gt;""," · "&amp;D496,"")&amp;IF(F496&lt;&gt;"",CHAR(10)&amp;F496,"")</f>
        <v/>
      </c>
      <c r="V496" s="38">
        <f>IF(OR(F496="просрочено",F496="сегодня",F496="укажи дату",LEFT(F496,6)="молчит"),1,0)</f>
        <v/>
      </c>
    </row>
    <row r="497" ht="24" customHeight="1">
      <c r="A497" s="38" t="n">
        <v>496</v>
      </c>
      <c r="B497" s="32" t="inlineStr">
        <is>
          <t>АРС-Строй</t>
        </is>
      </c>
      <c r="C497" s="49" t="inlineStr">
        <is>
          <t>Очередь</t>
        </is>
      </c>
      <c r="D497" s="49" t="n"/>
      <c r="E497" s="50" t="n"/>
      <c r="F497" s="51">
        <f>IF(OR(C497="",C497="Очередь",C497="Клиент",C497="Отказ",C497="Не писать"),"",IF(E497="",IF(AND(C497="Отправлено",I497&lt;&gt;"",TODAY()-INT(I497)&gt;=3),"молчит "&amp;(TODAY()-INT(I497))&amp;" дн.",IF(OR(C497="Перезвонить",C497="Созвон"),"укажи дату","")),IF(INT(E497)&lt;TODAY(),"просрочено",IF(INT(E497)=TODAY(),"сегодня",IF(INT(E497)=TODAY()+1,"завтра",TEXT(E497,"dd.mm"))))))</f>
        <v/>
      </c>
      <c r="G497" s="52" t="n"/>
      <c r="H497" s="36" t="inlineStr">
        <is>
          <t>79204247011</t>
        </is>
      </c>
      <c r="I497" s="53" t="n"/>
      <c r="J497" s="38">
        <f>IFERROR(MATCH(C497,'Справка'!$A$12:$A$21,0),99)</f>
        <v/>
      </c>
      <c r="K497" s="39">
        <f>HYPERLINK("https://wa.me/"&amp;H497&amp;"?text="&amp;ENCODEURL(T497),"✉ Написать")</f>
        <v/>
      </c>
      <c r="L497" s="39">
        <f>HYPERLINK("https://wa.me/"&amp;H497,"Открыть чат")</f>
        <v/>
      </c>
      <c r="M497" s="38" t="inlineStr">
        <is>
          <t>Воронеж</t>
        </is>
      </c>
      <c r="N497" s="38" t="n"/>
      <c r="O497" s="38" t="n"/>
      <c r="P497" s="38" t="inlineStr">
        <is>
          <t>stroim-vmeste36.ru</t>
        </is>
      </c>
      <c r="Q497" s="38" t="inlineStr">
        <is>
          <t>есть сайт: сначала впиши в текст, что на нём не так, WhatsApp не подтверждён</t>
        </is>
      </c>
      <c r="R497" s="38" t="n">
        <v>2</v>
      </c>
      <c r="S497" s="38" t="inlineStr">
        <is>
          <t>Воронежская область</t>
        </is>
      </c>
      <c r="T497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«АРС-Строй», где это исправлено, и показать. Собрать?</t>
        </is>
      </c>
      <c r="U497" s="38">
        <f>B497&amp;IF(D497&lt;&gt;""," · "&amp;D497,"")&amp;IF(F497&lt;&gt;"",CHAR(10)&amp;F497,"")</f>
        <v/>
      </c>
      <c r="V497" s="38">
        <f>IF(OR(F497="просрочено",F497="сегодня",F497="укажи дату",LEFT(F497,6)="молчит"),1,0)</f>
        <v/>
      </c>
    </row>
    <row r="498" ht="24" customHeight="1">
      <c r="A498" s="38" t="n">
        <v>497</v>
      </c>
      <c r="B498" s="32" t="inlineStr">
        <is>
          <t>ckrov.ru</t>
        </is>
      </c>
      <c r="C498" s="49" t="inlineStr">
        <is>
          <t>Очередь</t>
        </is>
      </c>
      <c r="D498" s="49" t="n"/>
      <c r="E498" s="50" t="n"/>
      <c r="F498" s="51">
        <f>IF(OR(C498="",C498="Очередь",C498="Клиент",C498="Отказ",C498="Не писать"),"",IF(E498="",IF(AND(C498="Отправлено",I498&lt;&gt;"",TODAY()-INT(I498)&gt;=3),"молчит "&amp;(TODAY()-INT(I498))&amp;" дн.",IF(OR(C498="Перезвонить",C498="Созвон"),"укажи дату","")),IF(INT(E498)&lt;TODAY(),"просрочено",IF(INT(E498)=TODAY(),"сегодня",IF(INT(E498)=TODAY()+1,"завтра",TEXT(E498,"dd.mm"))))))</f>
        <v/>
      </c>
      <c r="G498" s="52" t="n"/>
      <c r="H498" s="36" t="inlineStr">
        <is>
          <t>79304120020</t>
        </is>
      </c>
      <c r="I498" s="53" t="n"/>
      <c r="J498" s="38">
        <f>IFERROR(MATCH(C498,'Справка'!$A$12:$A$21,0),99)</f>
        <v/>
      </c>
      <c r="K498" s="39">
        <f>HYPERLINK("https://wa.me/"&amp;H498&amp;"?text="&amp;ENCODEURL(T498),"✉ Написать")</f>
        <v/>
      </c>
      <c r="L498" s="39">
        <f>HYPERLINK("https://wa.me/"&amp;H498,"Открыть чат")</f>
        <v/>
      </c>
      <c r="M498" s="38" t="inlineStr">
        <is>
          <t>Россошь</t>
        </is>
      </c>
      <c r="N498" s="38" t="n"/>
      <c r="O498" s="38" t="n"/>
      <c r="P498" s="38" t="inlineStr">
        <is>
          <t>ckrov.ru</t>
        </is>
      </c>
      <c r="Q498" s="38" t="inlineStr">
        <is>
          <t>есть сайт: сначала впиши в текст, что на нём не так, WhatsApp не подтверждён</t>
        </is>
      </c>
      <c r="R498" s="38" t="n">
        <v>2</v>
      </c>
      <c r="S498" s="38" t="inlineStr">
        <is>
          <t>Воронежская область</t>
        </is>
      </c>
      <c r="T498" s="38" t="inlineStr">
        <is>
          <t>Здравствуйте! Смотрел в 2ГИС кровельные компании в Россоши, зашёл на ваш сайт с телефона: [ЧТО НЕ ТАК НА САЙТЕ].
Могу за вечер собрать вариант под «ckrov.ru», где это исправлено, и показать. Собрать?</t>
        </is>
      </c>
      <c r="U498" s="38">
        <f>B498&amp;IF(D498&lt;&gt;""," · "&amp;D498,"")&amp;IF(F498&lt;&gt;"",CHAR(10)&amp;F498,"")</f>
        <v/>
      </c>
      <c r="V498" s="38">
        <f>IF(OR(F498="просрочено",F498="сегодня",F498="укажи дату",LEFT(F498,6)="молчит"),1,0)</f>
        <v/>
      </c>
    </row>
    <row r="499" ht="24" customHeight="1">
      <c r="A499" s="38" t="n">
        <v>498</v>
      </c>
      <c r="B499" s="32" t="inlineStr">
        <is>
          <t>Оригинал</t>
        </is>
      </c>
      <c r="C499" s="49" t="inlineStr">
        <is>
          <t>Очередь</t>
        </is>
      </c>
      <c r="D499" s="49" t="n"/>
      <c r="E499" s="50" t="n"/>
      <c r="F499" s="51">
        <f>IF(OR(C499="",C499="Очередь",C499="Клиент",C499="Отказ",C499="Не писать"),"",IF(E499="",IF(AND(C499="Отправлено",I499&lt;&gt;"",TODAY()-INT(I499)&gt;=3),"молчит "&amp;(TODAY()-INT(I499))&amp;" дн.",IF(OR(C499="Перезвонить",C499="Созвон"),"укажи дату","")),IF(INT(E499)&lt;TODAY(),"просрочено",IF(INT(E499)=TODAY(),"сегодня",IF(INT(E499)=TODAY()+1,"завтра",TEXT(E499,"dd.mm"))))))</f>
        <v/>
      </c>
      <c r="G499" s="52" t="n"/>
      <c r="H499" s="36" t="inlineStr">
        <is>
          <t>79881564660</t>
        </is>
      </c>
      <c r="I499" s="53" t="n"/>
      <c r="J499" s="38">
        <f>IFERROR(MATCH(C499,'Справка'!$A$12:$A$21,0),99)</f>
        <v/>
      </c>
      <c r="K499" s="39">
        <f>HYPERLINK("https://wa.me/"&amp;H499&amp;"?text="&amp;ENCODEURL(T499),"✉ Написать")</f>
        <v/>
      </c>
      <c r="L499" s="39">
        <f>HYPERLINK("https://wa.me/"&amp;H499,"Открыть чат")</f>
        <v/>
      </c>
      <c r="M499" s="38" t="inlineStr">
        <is>
          <t>Сочи</t>
        </is>
      </c>
      <c r="N499" s="38" t="n">
        <v>5</v>
      </c>
      <c r="O499" s="38" t="n">
        <v>3</v>
      </c>
      <c r="P499" s="38" t="inlineStr">
        <is>
          <t>original-sk.ru/</t>
        </is>
      </c>
      <c r="Q499" s="38" t="inlineStr">
        <is>
          <t>есть сайт: сначала впиши в текст, что на нём не так, WhatsApp не подтверждён</t>
        </is>
      </c>
      <c r="R499" s="38" t="n">
        <v>2</v>
      </c>
      <c r="S499" s="38" t="inlineStr">
        <is>
          <t>Краснодарский край</t>
        </is>
      </c>
      <c r="T499" s="38" t="inlineStr">
        <is>
          <t>Здравствуйте! Смотрел в 2ГИС кровельные компании в Сочи, зашёл на ваш сайт с телефона: [ЧТО НЕ ТАК НА САЙТЕ].
Могу за вечер собрать вариант под «Оригинал», где это исправлено, и показать. Собрать?</t>
        </is>
      </c>
      <c r="U499" s="38">
        <f>B499&amp;IF(D499&lt;&gt;""," · "&amp;D499,"")&amp;IF(F499&lt;&gt;"",CHAR(10)&amp;F499,"")</f>
        <v/>
      </c>
      <c r="V499" s="38">
        <f>IF(OR(F499="просрочено",F499="сегодня",F499="укажи дату",LEFT(F499,6)="молчит"),1,0)</f>
        <v/>
      </c>
    </row>
    <row r="500" ht="24" customHeight="1">
      <c r="A500" s="38" t="n">
        <v>499</v>
      </c>
      <c r="B500" s="32" t="inlineStr">
        <is>
          <t>Арт&amp;Дом</t>
        </is>
      </c>
      <c r="C500" s="49" t="inlineStr">
        <is>
          <t>Очередь</t>
        </is>
      </c>
      <c r="D500" s="49" t="n"/>
      <c r="E500" s="50" t="n"/>
      <c r="F500" s="51">
        <f>IF(OR(C500="",C500="Очередь",C500="Клиент",C500="Отказ",C500="Не писать"),"",IF(E500="",IF(AND(C500="Отправлено",I500&lt;&gt;"",TODAY()-INT(I500)&gt;=3),"молчит "&amp;(TODAY()-INT(I500))&amp;" дн.",IF(OR(C500="Перезвонить",C500="Созвон"),"укажи дату","")),IF(INT(E500)&lt;TODAY(),"просрочено",IF(INT(E500)=TODAY(),"сегодня",IF(INT(E500)=TODAY()+1,"завтра",TEXT(E500,"dd.mm"))))))</f>
        <v/>
      </c>
      <c r="G500" s="52" t="n"/>
      <c r="H500" s="36" t="inlineStr">
        <is>
          <t>79284537806</t>
        </is>
      </c>
      <c r="I500" s="53" t="n"/>
      <c r="J500" s="38">
        <f>IFERROR(MATCH(C500,'Справка'!$A$12:$A$21,0),99)</f>
        <v/>
      </c>
      <c r="K500" s="39">
        <f>HYPERLINK("https://wa.me/"&amp;H500&amp;"?text="&amp;ENCODEURL(T500),"✉ Написать")</f>
        <v/>
      </c>
      <c r="L500" s="39">
        <f>HYPERLINK("https://wa.me/"&amp;H500,"Открыть чат")</f>
        <v/>
      </c>
      <c r="M500" s="38" t="inlineStr">
        <is>
          <t>Сочи</t>
        </is>
      </c>
      <c r="N500" s="38" t="n"/>
      <c r="O500" s="38" t="n"/>
      <c r="P500" s="38" t="inlineStr">
        <is>
          <t>artdom-stroi.ru</t>
        </is>
      </c>
      <c r="Q500" s="38" t="inlineStr">
        <is>
          <t>есть сайт: сначала впиши в текст, что на нём не так, WhatsApp не подтверждён</t>
        </is>
      </c>
      <c r="R500" s="38" t="n">
        <v>2</v>
      </c>
      <c r="S500" s="38" t="inlineStr">
        <is>
          <t>Краснодарский край</t>
        </is>
      </c>
      <c r="T500" s="38" t="inlineStr">
        <is>
          <t>Здравствуйте! Смотрел в 2ГИС кровельные компании в Сочи, зашёл на ваш сайт с телефона: [ЧТО НЕ ТАК НА САЙТЕ].
Могу за вечер собрать вариант под «Арт&amp;Дом», где это исправлено, и показать. Собрать?</t>
        </is>
      </c>
      <c r="U500" s="38">
        <f>B500&amp;IF(D500&lt;&gt;""," · "&amp;D500,"")&amp;IF(F500&lt;&gt;"",CHAR(10)&amp;F500,"")</f>
        <v/>
      </c>
      <c r="V500" s="38">
        <f>IF(OR(F500="просрочено",F500="сегодня",F500="укажи дату",LEFT(F500,6)="молчит"),1,0)</f>
        <v/>
      </c>
    </row>
    <row r="501" ht="24" customHeight="1">
      <c r="A501" s="38" t="n">
        <v>500</v>
      </c>
      <c r="B501" s="32" t="inlineStr">
        <is>
          <t>Профи-Строй</t>
        </is>
      </c>
      <c r="C501" s="49" t="inlineStr">
        <is>
          <t>Очередь</t>
        </is>
      </c>
      <c r="D501" s="49" t="n"/>
      <c r="E501" s="50" t="n"/>
      <c r="F501" s="51">
        <f>IF(OR(C501="",C501="Очередь",C501="Клиент",C501="Отказ",C501="Не писать"),"",IF(E501="",IF(AND(C501="Отправлено",I501&lt;&gt;"",TODAY()-INT(I501)&gt;=3),"молчит "&amp;(TODAY()-INT(I501))&amp;" дн.",IF(OR(C501="Перезвонить",C501="Созвон"),"укажи дату","")),IF(INT(E501)&lt;TODAY(),"просрочено",IF(INT(E501)=TODAY(),"сегодня",IF(INT(E501)=TODAY()+1,"завтра",TEXT(E501,"dd.mm"))))))</f>
        <v/>
      </c>
      <c r="G501" s="52" t="n"/>
      <c r="H501" s="36" t="inlineStr">
        <is>
          <t>79189072229</t>
        </is>
      </c>
      <c r="I501" s="53" t="n"/>
      <c r="J501" s="38">
        <f>IFERROR(MATCH(C501,'Справка'!$A$12:$A$21,0),99)</f>
        <v/>
      </c>
      <c r="K501" s="39">
        <f>HYPERLINK("https://wa.me/"&amp;H501&amp;"?text="&amp;ENCODEURL(T501),"✉ Написать")</f>
        <v/>
      </c>
      <c r="L501" s="39">
        <f>HYPERLINK("https://wa.me/"&amp;H501,"Открыть чат")</f>
        <v/>
      </c>
      <c r="M501" s="38" t="inlineStr">
        <is>
          <t>Сочи</t>
        </is>
      </c>
      <c r="N501" s="38" t="n"/>
      <c r="O501" s="38" t="n"/>
      <c r="P501" s="38" t="inlineStr">
        <is>
          <t>profi-stroj.ru</t>
        </is>
      </c>
      <c r="Q501" s="38" t="inlineStr">
        <is>
          <t>есть сайт: сначала впиши в текст, что на нём не так, WhatsApp не подтверждён</t>
        </is>
      </c>
      <c r="R501" s="38" t="n">
        <v>2</v>
      </c>
      <c r="S501" s="38" t="inlineStr">
        <is>
          <t>Краснодарский край</t>
        </is>
      </c>
      <c r="T501" s="38" t="inlineStr">
        <is>
          <t>Здравствуйте! Смотрел в 2ГИС кровельные компании в Сочи, зашёл на ваш сайт с телефона: [ЧТО НЕ ТАК НА САЙТЕ].
Могу за вечер собрать вариант под «Профи-Строй», где это исправлено, и показать. Собрать?</t>
        </is>
      </c>
      <c r="U501" s="38">
        <f>B501&amp;IF(D501&lt;&gt;""," · "&amp;D501,"")&amp;IF(F501&lt;&gt;"",CHAR(10)&amp;F501,"")</f>
        <v/>
      </c>
      <c r="V501" s="38">
        <f>IF(OR(F501="просрочено",F501="сегодня",F501="укажи дату",LEFT(F501,6)="молчит"),1,0)</f>
        <v/>
      </c>
    </row>
    <row r="502" ht="24" customHeight="1">
      <c r="A502" s="38" t="n">
        <v>501</v>
      </c>
      <c r="B502" s="32" t="inlineStr">
        <is>
          <t>Stroy system</t>
        </is>
      </c>
      <c r="C502" s="49" t="inlineStr">
        <is>
          <t>Очередь</t>
        </is>
      </c>
      <c r="D502" s="49" t="n"/>
      <c r="E502" s="50" t="n"/>
      <c r="F502" s="51">
        <f>IF(OR(C502="",C502="Очередь",C502="Клиент",C502="Отказ",C502="Не писать"),"",IF(E502="",IF(AND(C502="Отправлено",I502&lt;&gt;"",TODAY()-INT(I502)&gt;=3),"молчит "&amp;(TODAY()-INT(I502))&amp;" дн.",IF(OR(C502="Перезвонить",C502="Созвон"),"укажи дату","")),IF(INT(E502)&lt;TODAY(),"просрочено",IF(INT(E502)=TODAY(),"сегодня",IF(INT(E502)=TODAY()+1,"завтра",TEXT(E502,"dd.mm"))))))</f>
        <v/>
      </c>
      <c r="G502" s="52" t="n"/>
      <c r="H502" s="36" t="inlineStr">
        <is>
          <t>79108752508</t>
        </is>
      </c>
      <c r="I502" s="53" t="n"/>
      <c r="J502" s="38">
        <f>IFERROR(MATCH(C502,'Справка'!$A$12:$A$21,0),99)</f>
        <v/>
      </c>
      <c r="K502" s="39">
        <f>HYPERLINK("https://wa.me/"&amp;H502&amp;"?text="&amp;ENCODEURL(T502),"✉ Написать")</f>
        <v/>
      </c>
      <c r="L502" s="39">
        <f>HYPERLINK("https://wa.me/"&amp;H502,"Открыть чат")</f>
        <v/>
      </c>
      <c r="M502" s="38" t="inlineStr">
        <is>
          <t>Нижний Новгород</t>
        </is>
      </c>
      <c r="N502" s="38" t="n">
        <v>5</v>
      </c>
      <c r="O502" s="38" t="n">
        <v>1</v>
      </c>
      <c r="P502" s="38" t="inlineStr">
        <is>
          <t>ssystem52.ru</t>
        </is>
      </c>
      <c r="Q502" s="38" t="inlineStr">
        <is>
          <t>есть сайт: сначала впиши в текст, что на нём не так, WhatsApp не подтверждён</t>
        </is>
      </c>
      <c r="R502" s="38" t="n">
        <v>2</v>
      </c>
      <c r="S502" s="38" t="inlineStr">
        <is>
          <t>Нижегородская область</t>
        </is>
      </c>
      <c r="T502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«Stroy system», где это исправлено, и показать. Собрать?</t>
        </is>
      </c>
      <c r="U502" s="38">
        <f>B502&amp;IF(D502&lt;&gt;""," · "&amp;D502,"")&amp;IF(F502&lt;&gt;"",CHAR(10)&amp;F502,"")</f>
        <v/>
      </c>
      <c r="V502" s="38">
        <f>IF(OR(F502="просрочено",F502="сегодня",F502="укажи дату",LEFT(F502,6)="молчит"),1,0)</f>
        <v/>
      </c>
    </row>
    <row r="503" ht="24" customHeight="1">
      <c r="A503" s="38" t="n">
        <v>502</v>
      </c>
      <c r="B503" s="32" t="inlineStr">
        <is>
          <t>Вертикаль НН</t>
        </is>
      </c>
      <c r="C503" s="49" t="inlineStr">
        <is>
          <t>Очередь</t>
        </is>
      </c>
      <c r="D503" s="49" t="n"/>
      <c r="E503" s="50" t="n"/>
      <c r="F503" s="51">
        <f>IF(OR(C503="",C503="Очередь",C503="Клиент",C503="Отказ",C503="Не писать"),"",IF(E503="",IF(AND(C503="Отправлено",I503&lt;&gt;"",TODAY()-INT(I503)&gt;=3),"молчит "&amp;(TODAY()-INT(I503))&amp;" дн.",IF(OR(C503="Перезвонить",C503="Созвон"),"укажи дату","")),IF(INT(E503)&lt;TODAY(),"просрочено",IF(INT(E503)=TODAY(),"сегодня",IF(INT(E503)=TODAY()+1,"завтра",TEXT(E503,"dd.mm"))))))</f>
        <v/>
      </c>
      <c r="G503" s="52" t="n"/>
      <c r="H503" s="36" t="inlineStr">
        <is>
          <t>79107904804</t>
        </is>
      </c>
      <c r="I503" s="53" t="n"/>
      <c r="J503" s="38">
        <f>IFERROR(MATCH(C503,'Справка'!$A$12:$A$21,0),99)</f>
        <v/>
      </c>
      <c r="K503" s="39">
        <f>HYPERLINK("https://wa.me/"&amp;H503&amp;"?text="&amp;ENCODEURL(T503),"✉ Написать")</f>
        <v/>
      </c>
      <c r="L503" s="39">
        <f>HYPERLINK("https://wa.me/"&amp;H503,"Открыть чат")</f>
        <v/>
      </c>
      <c r="M503" s="38" t="inlineStr">
        <is>
          <t>Нижний Новгород</t>
        </is>
      </c>
      <c r="N503" s="38" t="n"/>
      <c r="O503" s="38" t="n"/>
      <c r="P503" s="38" t="inlineStr">
        <is>
          <t>вертикаль-нн.рф</t>
        </is>
      </c>
      <c r="Q503" s="38" t="inlineStr">
        <is>
          <t>есть сайт: сначала впиши в текст, что на нём не так, WhatsApp не подтверждён</t>
        </is>
      </c>
      <c r="R503" s="38" t="n">
        <v>2</v>
      </c>
      <c r="S503" s="38" t="inlineStr">
        <is>
          <t>Нижегородская область</t>
        </is>
      </c>
      <c r="T503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«Вертикаль НН», где это исправлено, и показать. Собрать?</t>
        </is>
      </c>
      <c r="U503" s="38">
        <f>B503&amp;IF(D503&lt;&gt;""," · "&amp;D503,"")&amp;IF(F503&lt;&gt;"",CHAR(10)&amp;F503,"")</f>
        <v/>
      </c>
      <c r="V503" s="38">
        <f>IF(OR(F503="просрочено",F503="сегодня",F503="укажи дату",LEFT(F503,6)="молчит"),1,0)</f>
        <v/>
      </c>
    </row>
    <row r="504" ht="24" customHeight="1">
      <c r="A504" s="38" t="n">
        <v>503</v>
      </c>
      <c r="B504" s="32" t="inlineStr">
        <is>
          <t>Tpo&amp;Epdm</t>
        </is>
      </c>
      <c r="C504" s="49" t="inlineStr">
        <is>
          <t>Очередь</t>
        </is>
      </c>
      <c r="D504" s="49" t="n"/>
      <c r="E504" s="50" t="n"/>
      <c r="F504" s="51">
        <f>IF(OR(C504="",C504="Очередь",C504="Клиент",C504="Отказ",C504="Не писать"),"",IF(E504="",IF(AND(C504="Отправлено",I504&lt;&gt;"",TODAY()-INT(I504)&gt;=3),"молчит "&amp;(TODAY()-INT(I504))&amp;" дн.",IF(OR(C504="Перезвонить",C504="Созвон"),"укажи дату","")),IF(INT(E504)&lt;TODAY(),"просрочено",IF(INT(E504)=TODAY(),"сегодня",IF(INT(E504)=TODAY()+1,"завтра",TEXT(E504,"dd.mm"))))))</f>
        <v/>
      </c>
      <c r="G504" s="52" t="n"/>
      <c r="H504" s="36" t="inlineStr">
        <is>
          <t>79917501580</t>
        </is>
      </c>
      <c r="I504" s="53" t="n"/>
      <c r="J504" s="38">
        <f>IFERROR(MATCH(C504,'Справка'!$A$12:$A$21,0),99)</f>
        <v/>
      </c>
      <c r="K504" s="39">
        <f>HYPERLINK("https://wa.me/"&amp;H504&amp;"?text="&amp;ENCODEURL(T504),"✉ Написать")</f>
        <v/>
      </c>
      <c r="L504" s="39">
        <f>HYPERLINK("https://wa.me/"&amp;H504,"Открыть чат")</f>
        <v/>
      </c>
      <c r="M504" s="38" t="inlineStr">
        <is>
          <t>Нижний Новгород</t>
        </is>
      </c>
      <c r="N504" s="38" t="n"/>
      <c r="O504" s="38" t="n"/>
      <c r="P504" s="38" t="inlineStr">
        <is>
          <t>tpoepdm.ru</t>
        </is>
      </c>
      <c r="Q504" s="38" t="inlineStr">
        <is>
          <t>есть сайт: сначала впиши в текст, что на нём не так, WhatsApp не подтверждён</t>
        </is>
      </c>
      <c r="R504" s="38" t="n">
        <v>2</v>
      </c>
      <c r="S504" s="38" t="inlineStr">
        <is>
          <t>Нижегородская область</t>
        </is>
      </c>
      <c r="T504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«Tpo&amp;Epdm», где это исправлено, и показать. Собрать?</t>
        </is>
      </c>
      <c r="U504" s="38">
        <f>B504&amp;IF(D504&lt;&gt;""," · "&amp;D504,"")&amp;IF(F504&lt;&gt;"",CHAR(10)&amp;F504,"")</f>
        <v/>
      </c>
      <c r="V504" s="38">
        <f>IF(OR(F504="просрочено",F504="сегодня",F504="укажи дату",LEFT(F504,6)="молчит"),1,0)</f>
        <v/>
      </c>
    </row>
    <row r="505" ht="24" customHeight="1">
      <c r="A505" s="38" t="n">
        <v>504</v>
      </c>
      <c r="B505" s="32" t="inlineStr">
        <is>
          <t>Строй Забор</t>
        </is>
      </c>
      <c r="C505" s="49" t="inlineStr">
        <is>
          <t>Очередь</t>
        </is>
      </c>
      <c r="D505" s="49" t="n"/>
      <c r="E505" s="50" t="n"/>
      <c r="F505" s="51">
        <f>IF(OR(C505="",C505="Очередь",C505="Клиент",C505="Отказ",C505="Не писать"),"",IF(E505="",IF(AND(C505="Отправлено",I505&lt;&gt;"",TODAY()-INT(I505)&gt;=3),"молчит "&amp;(TODAY()-INT(I505))&amp;" дн.",IF(OR(C505="Перезвонить",C505="Созвон"),"укажи дату","")),IF(INT(E505)&lt;TODAY(),"просрочено",IF(INT(E505)=TODAY(),"сегодня",IF(INT(E505)=TODAY()+1,"завтра",TEXT(E505,"dd.mm"))))))</f>
        <v/>
      </c>
      <c r="G505" s="52" t="n"/>
      <c r="H505" s="36" t="inlineStr">
        <is>
          <t>79040456364</t>
        </is>
      </c>
      <c r="I505" s="53" t="n"/>
      <c r="J505" s="38">
        <f>IFERROR(MATCH(C505,'Справка'!$A$12:$A$21,0),99)</f>
        <v/>
      </c>
      <c r="K505" s="39">
        <f>HYPERLINK("https://wa.me/"&amp;H505&amp;"?text="&amp;ENCODEURL(T505),"✉ Написать")</f>
        <v/>
      </c>
      <c r="L505" s="39">
        <f>HYPERLINK("https://wa.me/"&amp;H505,"Открыть чат")</f>
        <v/>
      </c>
      <c r="M505" s="38" t="inlineStr">
        <is>
          <t>Нижний Новгород</t>
        </is>
      </c>
      <c r="N505" s="38" t="n"/>
      <c r="O505" s="38" t="n"/>
      <c r="P505" s="38" t="inlineStr">
        <is>
          <t>montag-zaborov.ru</t>
        </is>
      </c>
      <c r="Q505" s="38" t="inlineStr">
        <is>
          <t>есть сайт: сначала впиши в текст, что на нём не так, WhatsApp не подтверждён</t>
        </is>
      </c>
      <c r="R505" s="38" t="n">
        <v>2</v>
      </c>
      <c r="S505" s="38" t="inlineStr">
        <is>
          <t>Нижегородская область</t>
        </is>
      </c>
      <c r="T505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«Строй Забор», где это исправлено, и показать. Собрать?</t>
        </is>
      </c>
      <c r="U505" s="38">
        <f>B505&amp;IF(D505&lt;&gt;""," · "&amp;D505,"")&amp;IF(F505&lt;&gt;"",CHAR(10)&amp;F505,"")</f>
        <v/>
      </c>
      <c r="V505" s="38">
        <f>IF(OR(F505="просрочено",F505="сегодня",F505="укажи дату",LEFT(F505,6)="молчит"),1,0)</f>
        <v/>
      </c>
    </row>
    <row r="506" ht="24" customHeight="1">
      <c r="A506" s="38" t="n">
        <v>505</v>
      </c>
      <c r="B506" s="32" t="inlineStr">
        <is>
          <t>Демстройремонт</t>
        </is>
      </c>
      <c r="C506" s="49" t="inlineStr">
        <is>
          <t>Очередь</t>
        </is>
      </c>
      <c r="D506" s="49" t="n"/>
      <c r="E506" s="50" t="n"/>
      <c r="F506" s="51">
        <f>IF(OR(C506="",C506="Очередь",C506="Клиент",C506="Отказ",C506="Не писать"),"",IF(E506="",IF(AND(C506="Отправлено",I506&lt;&gt;"",TODAY()-INT(I506)&gt;=3),"молчит "&amp;(TODAY()-INT(I506))&amp;" дн.",IF(OR(C506="Перезвонить",C506="Созвон"),"укажи дату","")),IF(INT(E506)&lt;TODAY(),"просрочено",IF(INT(E506)=TODAY(),"сегодня",IF(INT(E506)=TODAY()+1,"завтра",TEXT(E506,"dd.mm"))))))</f>
        <v/>
      </c>
      <c r="G506" s="52" t="n"/>
      <c r="H506" s="36" t="inlineStr">
        <is>
          <t>79100077775</t>
        </is>
      </c>
      <c r="I506" s="53" t="n"/>
      <c r="J506" s="38">
        <f>IFERROR(MATCH(C506,'Справка'!$A$12:$A$21,0),99)</f>
        <v/>
      </c>
      <c r="K506" s="39">
        <f>HYPERLINK("https://wa.me/"&amp;H506&amp;"?text="&amp;ENCODEURL(T506),"✉ Написать")</f>
        <v/>
      </c>
      <c r="L506" s="39">
        <f>HYPERLINK("https://wa.me/"&amp;H506,"Открыть чат")</f>
        <v/>
      </c>
      <c r="M506" s="38" t="inlineStr">
        <is>
          <t>Нижний Новгород</t>
        </is>
      </c>
      <c r="N506" s="38" t="n"/>
      <c r="O506" s="38" t="n"/>
      <c r="P506" s="38" t="inlineStr">
        <is>
          <t>демстройремонт.рф</t>
        </is>
      </c>
      <c r="Q506" s="38" t="inlineStr">
        <is>
          <t>есть сайт: сначала впиши в текст, что на нём не так, WhatsApp не подтверждён</t>
        </is>
      </c>
      <c r="R506" s="38" t="n">
        <v>2</v>
      </c>
      <c r="S506" s="38" t="inlineStr">
        <is>
          <t>Нижегородская область</t>
        </is>
      </c>
      <c r="T506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«Демстройремонт», где это исправлено, и показать. Собрать?</t>
        </is>
      </c>
      <c r="U506" s="38">
        <f>B506&amp;IF(D506&lt;&gt;""," · "&amp;D506,"")&amp;IF(F506&lt;&gt;"",CHAR(10)&amp;F506,"")</f>
        <v/>
      </c>
      <c r="V506" s="38">
        <f>IF(OR(F506="просрочено",F506="сегодня",F506="укажи дату",LEFT(F506,6)="молчит"),1,0)</f>
        <v/>
      </c>
    </row>
    <row r="507" ht="24" customHeight="1">
      <c r="A507" s="38" t="n">
        <v>506</v>
      </c>
      <c r="B507" s="32" t="inlineStr">
        <is>
          <t>Капремстрой</t>
        </is>
      </c>
      <c r="C507" s="49" t="inlineStr">
        <is>
          <t>Очередь</t>
        </is>
      </c>
      <c r="D507" s="49" t="n"/>
      <c r="E507" s="50" t="n"/>
      <c r="F507" s="51">
        <f>IF(OR(C507="",C507="Очередь",C507="Клиент",C507="Отказ",C507="Не писать"),"",IF(E507="",IF(AND(C507="Отправлено",I507&lt;&gt;"",TODAY()-INT(I507)&gt;=3),"молчит "&amp;(TODAY()-INT(I507))&amp;" дн.",IF(OR(C507="Перезвонить",C507="Созвон"),"укажи дату","")),IF(INT(E507)&lt;TODAY(),"просрочено",IF(INT(E507)=TODAY(),"сегодня",IF(INT(E507)=TODAY()+1,"завтра",TEXT(E507,"dd.mm"))))))</f>
        <v/>
      </c>
      <c r="G507" s="52" t="n"/>
      <c r="H507" s="36" t="inlineStr">
        <is>
          <t>79202506479</t>
        </is>
      </c>
      <c r="I507" s="53" t="n"/>
      <c r="J507" s="38">
        <f>IFERROR(MATCH(C507,'Справка'!$A$12:$A$21,0),99)</f>
        <v/>
      </c>
      <c r="K507" s="39">
        <f>HYPERLINK("https://wa.me/"&amp;H507&amp;"?text="&amp;ENCODEURL(T507),"✉ Написать")</f>
        <v/>
      </c>
      <c r="L507" s="39">
        <f>HYPERLINK("https://wa.me/"&amp;H507,"Открыть чат")</f>
        <v/>
      </c>
      <c r="M507" s="38" t="inlineStr">
        <is>
          <t>Нижний Новгород</t>
        </is>
      </c>
      <c r="N507" s="38" t="n"/>
      <c r="O507" s="38" t="n"/>
      <c r="P507" s="38" t="inlineStr">
        <is>
          <t>nnkapital.ru</t>
        </is>
      </c>
      <c r="Q507" s="38" t="inlineStr">
        <is>
          <t>есть сайт: сначала впиши в текст, что на нём не так, WhatsApp не подтверждён</t>
        </is>
      </c>
      <c r="R507" s="38" t="n">
        <v>2</v>
      </c>
      <c r="S507" s="38" t="inlineStr">
        <is>
          <t>Нижегородская область</t>
        </is>
      </c>
      <c r="T507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«Капремстрой», где это исправлено, и показать. Собрать?</t>
        </is>
      </c>
      <c r="U507" s="38">
        <f>B507&amp;IF(D507&lt;&gt;""," · "&amp;D507,"")&amp;IF(F507&lt;&gt;"",CHAR(10)&amp;F507,"")</f>
        <v/>
      </c>
      <c r="V507" s="38">
        <f>IF(OR(F507="просрочено",F507="сегодня",F507="укажи дату",LEFT(F507,6)="молчит"),1,0)</f>
        <v/>
      </c>
    </row>
    <row r="508" ht="24" customHeight="1">
      <c r="A508" s="38" t="n">
        <v>507</v>
      </c>
      <c r="B508" s="32" t="inlineStr">
        <is>
          <t>ИГМ</t>
        </is>
      </c>
      <c r="C508" s="49" t="inlineStr">
        <is>
          <t>Очередь</t>
        </is>
      </c>
      <c r="D508" s="49" t="n"/>
      <c r="E508" s="50" t="n"/>
      <c r="F508" s="51">
        <f>IF(OR(C508="",C508="Очередь",C508="Клиент",C508="Отказ",C508="Не писать"),"",IF(E508="",IF(AND(C508="Отправлено",I508&lt;&gt;"",TODAY()-INT(I508)&gt;=3),"молчит "&amp;(TODAY()-INT(I508))&amp;" дн.",IF(OR(C508="Перезвонить",C508="Созвон"),"укажи дату","")),IF(INT(E508)&lt;TODAY(),"просрочено",IF(INT(E508)=TODAY(),"сегодня",IF(INT(E508)=TODAY()+1,"завтра",TEXT(E508,"dd.mm"))))))</f>
        <v/>
      </c>
      <c r="G508" s="52" t="n"/>
      <c r="H508" s="36" t="inlineStr">
        <is>
          <t>79103965935</t>
        </is>
      </c>
      <c r="I508" s="53" t="n"/>
      <c r="J508" s="38">
        <f>IFERROR(MATCH(C508,'Справка'!$A$12:$A$21,0),99)</f>
        <v/>
      </c>
      <c r="K508" s="39">
        <f>HYPERLINK("https://wa.me/"&amp;H508&amp;"?text="&amp;ENCODEURL(T508),"✉ Написать")</f>
        <v/>
      </c>
      <c r="L508" s="39">
        <f>HYPERLINK("https://wa.me/"&amp;H508,"Открыть чат")</f>
        <v/>
      </c>
      <c r="M508" s="38" t="inlineStr">
        <is>
          <t>Нижний Новгород</t>
        </is>
      </c>
      <c r="N508" s="38" t="n"/>
      <c r="O508" s="38" t="n"/>
      <c r="P508" s="38" t="inlineStr">
        <is>
          <t>stk-igm.ru</t>
        </is>
      </c>
      <c r="Q508" s="38" t="inlineStr">
        <is>
          <t>есть сайт: сначала впиши в текст, что на нём не так, WhatsApp не подтверждён</t>
        </is>
      </c>
      <c r="R508" s="38" t="n">
        <v>2</v>
      </c>
      <c r="S508" s="38" t="inlineStr">
        <is>
          <t>Нижегородская область</t>
        </is>
      </c>
      <c r="T508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«ИГМ», где это исправлено, и показать. Собрать?</t>
        </is>
      </c>
      <c r="U508" s="38">
        <f>B508&amp;IF(D508&lt;&gt;""," · "&amp;D508,"")&amp;IF(F508&lt;&gt;"",CHAR(10)&amp;F508,"")</f>
        <v/>
      </c>
      <c r="V508" s="38">
        <f>IF(OR(F508="просрочено",F508="сегодня",F508="укажи дату",LEFT(F508,6)="молчит"),1,0)</f>
        <v/>
      </c>
    </row>
    <row r="509" ht="24" customHeight="1">
      <c r="A509" s="38" t="n">
        <v>508</v>
      </c>
      <c r="B509" s="32" t="inlineStr">
        <is>
          <t>Авангард-РС</t>
        </is>
      </c>
      <c r="C509" s="49" t="inlineStr">
        <is>
          <t>Очередь</t>
        </is>
      </c>
      <c r="D509" s="49" t="n"/>
      <c r="E509" s="50" t="n"/>
      <c r="F509" s="51">
        <f>IF(OR(C509="",C509="Очередь",C509="Клиент",C509="Отказ",C509="Не писать"),"",IF(E509="",IF(AND(C509="Отправлено",I509&lt;&gt;"",TODAY()-INT(I509)&gt;=3),"молчит "&amp;(TODAY()-INT(I509))&amp;" дн.",IF(OR(C509="Перезвонить",C509="Созвон"),"укажи дату","")),IF(INT(E509)&lt;TODAY(),"просрочено",IF(INT(E509)=TODAY(),"сегодня",IF(INT(E509)=TODAY()+1,"завтра",TEXT(E509,"dd.mm"))))))</f>
        <v/>
      </c>
      <c r="G509" s="52" t="n"/>
      <c r="H509" s="36" t="inlineStr">
        <is>
          <t>79200485255</t>
        </is>
      </c>
      <c r="I509" s="53" t="n"/>
      <c r="J509" s="38">
        <f>IFERROR(MATCH(C509,'Справка'!$A$12:$A$21,0),99)</f>
        <v/>
      </c>
      <c r="K509" s="39">
        <f>HYPERLINK("https://wa.me/"&amp;H509&amp;"?text="&amp;ENCODEURL(T509),"✉ Написать")</f>
        <v/>
      </c>
      <c r="L509" s="39">
        <f>HYPERLINK("https://wa.me/"&amp;H509,"Открыть чат")</f>
        <v/>
      </c>
      <c r="M509" s="38" t="inlineStr">
        <is>
          <t>Нижний Новгород</t>
        </is>
      </c>
      <c r="N509" s="38" t="n"/>
      <c r="O509" s="38" t="n"/>
      <c r="P509" s="38" t="inlineStr">
        <is>
          <t>www.avangard-rs.ru</t>
        </is>
      </c>
      <c r="Q509" s="38" t="inlineStr">
        <is>
          <t>есть сайт: сначала впиши в текст, что на нём не так, WhatsApp не подтверждён</t>
        </is>
      </c>
      <c r="R509" s="38" t="n">
        <v>2</v>
      </c>
      <c r="S509" s="38" t="inlineStr">
        <is>
          <t>Нижегородская область</t>
        </is>
      </c>
      <c r="T509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«Авангард-РС», где это исправлено, и показать. Собрать?</t>
        </is>
      </c>
      <c r="U509" s="38">
        <f>B509&amp;IF(D509&lt;&gt;""," · "&amp;D509,"")&amp;IF(F509&lt;&gt;"",CHAR(10)&amp;F509,"")</f>
        <v/>
      </c>
      <c r="V509" s="38">
        <f>IF(OR(F509="просрочено",F509="сегодня",F509="укажи дату",LEFT(F509,6)="молчит"),1,0)</f>
        <v/>
      </c>
    </row>
    <row r="510" ht="24" customHeight="1">
      <c r="A510" s="38" t="n">
        <v>509</v>
      </c>
      <c r="B510" s="32" t="inlineStr">
        <is>
          <t>ГК Эталон</t>
        </is>
      </c>
      <c r="C510" s="49" t="inlineStr">
        <is>
          <t>Очередь</t>
        </is>
      </c>
      <c r="D510" s="49" t="n"/>
      <c r="E510" s="50" t="n"/>
      <c r="F510" s="51">
        <f>IF(OR(C510="",C510="Очередь",C510="Клиент",C510="Отказ",C510="Не писать"),"",IF(E510="",IF(AND(C510="Отправлено",I510&lt;&gt;"",TODAY()-INT(I510)&gt;=3),"молчит "&amp;(TODAY()-INT(I510))&amp;" дн.",IF(OR(C510="Перезвонить",C510="Созвон"),"укажи дату","")),IF(INT(E510)&lt;TODAY(),"просрочено",IF(INT(E510)=TODAY(),"сегодня",IF(INT(E510)=TODAY()+1,"завтра",TEXT(E510,"dd.mm"))))))</f>
        <v/>
      </c>
      <c r="G510" s="52" t="n"/>
      <c r="H510" s="36" t="inlineStr">
        <is>
          <t>79092906898</t>
        </is>
      </c>
      <c r="I510" s="53" t="n"/>
      <c r="J510" s="38">
        <f>IFERROR(MATCH(C510,'Справка'!$A$12:$A$21,0),99)</f>
        <v/>
      </c>
      <c r="K510" s="39">
        <f>HYPERLINK("https://wa.me/"&amp;H510&amp;"?text="&amp;ENCODEURL(T510),"✉ Написать")</f>
        <v/>
      </c>
      <c r="L510" s="39">
        <f>HYPERLINK("https://wa.me/"&amp;H510,"Открыть чат")</f>
        <v/>
      </c>
      <c r="M510" s="38" t="inlineStr">
        <is>
          <t>Дзержинск</t>
        </is>
      </c>
      <c r="N510" s="38" t="n"/>
      <c r="O510" s="38" t="n"/>
      <c r="P510" s="38" t="inlineStr">
        <is>
          <t>гидроизоляция52.рф</t>
        </is>
      </c>
      <c r="Q510" s="38" t="inlineStr">
        <is>
          <t>есть сайт: сначала впиши в текст, что на нём не так, WhatsApp не подтверждён</t>
        </is>
      </c>
      <c r="R510" s="38" t="n">
        <v>2</v>
      </c>
      <c r="S510" s="38" t="inlineStr">
        <is>
          <t>Нижегородская область</t>
        </is>
      </c>
      <c r="T510" s="38" t="inlineStr">
        <is>
          <t>Здравствуйте! Смотрел в 2ГИС кровельные компании в Дзержинске, зашёл на ваш сайт с телефона: [ЧТО НЕ ТАК НА САЙТЕ].
Могу за вечер собрать вариант под «ГК Эталон», где это исправлено, и показать. Собрать?</t>
        </is>
      </c>
      <c r="U510" s="38">
        <f>B510&amp;IF(D510&lt;&gt;""," · "&amp;D510,"")&amp;IF(F510&lt;&gt;"",CHAR(10)&amp;F510,"")</f>
        <v/>
      </c>
      <c r="V510" s="38">
        <f>IF(OR(F510="просрочено",F510="сегодня",F510="укажи дату",LEFT(F510,6)="молчит"),1,0)</f>
        <v/>
      </c>
    </row>
    <row r="511" ht="24" customHeight="1">
      <c r="A511" s="38" t="n">
        <v>510</v>
      </c>
      <c r="B511" s="32" t="inlineStr">
        <is>
          <t>Grand line</t>
        </is>
      </c>
      <c r="C511" s="49" t="inlineStr">
        <is>
          <t>Очередь</t>
        </is>
      </c>
      <c r="D511" s="49" t="n"/>
      <c r="E511" s="50" t="n"/>
      <c r="F511" s="51">
        <f>IF(OR(C511="",C511="Очередь",C511="Клиент",C511="Отказ",C511="Не писать"),"",IF(E511="",IF(AND(C511="Отправлено",I511&lt;&gt;"",TODAY()-INT(I511)&gt;=3),"молчит "&amp;(TODAY()-INT(I511))&amp;" дн.",IF(OR(C511="Перезвонить",C511="Созвон"),"укажи дату","")),IF(INT(E511)&lt;TODAY(),"просрочено",IF(INT(E511)=TODAY(),"сегодня",IF(INT(E511)=TODAY()+1,"завтра",TEXT(E511,"dd.mm"))))))</f>
        <v/>
      </c>
      <c r="G511" s="52" t="n"/>
      <c r="H511" s="36" t="inlineStr">
        <is>
          <t>79200242464</t>
        </is>
      </c>
      <c r="I511" s="53" t="n"/>
      <c r="J511" s="38">
        <f>IFERROR(MATCH(C511,'Справка'!$A$12:$A$21,0),99)</f>
        <v/>
      </c>
      <c r="K511" s="39">
        <f>HYPERLINK("https://wa.me/"&amp;H511&amp;"?text="&amp;ENCODEURL(T511),"✉ Написать")</f>
        <v/>
      </c>
      <c r="L511" s="39">
        <f>HYPERLINK("https://wa.me/"&amp;H511,"Открыть чат")</f>
        <v/>
      </c>
      <c r="M511" s="38" t="inlineStr">
        <is>
          <t>Арзамас</t>
        </is>
      </c>
      <c r="N511" s="38" t="n"/>
      <c r="O511" s="38" t="n"/>
      <c r="P511" s="38" t="inlineStr">
        <is>
          <t>grandline.ru</t>
        </is>
      </c>
      <c r="Q511" s="38" t="inlineStr">
        <is>
          <t>есть сайт: сначала впиши в текст, что на нём не так, WhatsApp не подтверждён</t>
        </is>
      </c>
      <c r="R511" s="38" t="n">
        <v>2</v>
      </c>
      <c r="S511" s="38" t="inlineStr">
        <is>
          <t>Нижегородская область</t>
        </is>
      </c>
      <c r="T511" s="38" t="inlineStr">
        <is>
          <t>Здравствуйте! Смотрел в 2ГИС кровельные компании в Арзамасе, зашёл на ваш сайт с телефона: [ЧТО НЕ ТАК НА САЙТЕ].
Могу за вечер собрать вариант под «Grand line», где это исправлено, и показать. Собрать?</t>
        </is>
      </c>
      <c r="U511" s="38">
        <f>B511&amp;IF(D511&lt;&gt;""," · "&amp;D511,"")&amp;IF(F511&lt;&gt;"",CHAR(10)&amp;F511,"")</f>
        <v/>
      </c>
      <c r="V511" s="38">
        <f>IF(OR(F511="просрочено",F511="сегодня",F511="укажи дату",LEFT(F511,6)="молчит"),1,0)</f>
        <v/>
      </c>
    </row>
    <row r="512" ht="24" customHeight="1">
      <c r="A512" s="38" t="n">
        <v>511</v>
      </c>
      <c r="B512" s="32" t="inlineStr">
        <is>
          <t>Туйчин</t>
        </is>
      </c>
      <c r="C512" s="49" t="inlineStr">
        <is>
          <t>Очередь</t>
        </is>
      </c>
      <c r="D512" s="49" t="n"/>
      <c r="E512" s="50" t="n"/>
      <c r="F512" s="51">
        <f>IF(OR(C512="",C512="Очередь",C512="Клиент",C512="Отказ",C512="Не писать"),"",IF(E512="",IF(AND(C512="Отправлено",I512&lt;&gt;"",TODAY()-INT(I512)&gt;=3),"молчит "&amp;(TODAY()-INT(I512))&amp;" дн.",IF(OR(C512="Перезвонить",C512="Созвон"),"укажи дату","")),IF(INT(E512)&lt;TODAY(),"просрочено",IF(INT(E512)=TODAY(),"сегодня",IF(INT(E512)=TODAY()+1,"завтра",TEXT(E512,"dd.mm"))))))</f>
        <v/>
      </c>
      <c r="G512" s="52" t="n"/>
      <c r="H512" s="36" t="inlineStr">
        <is>
          <t>79600661233</t>
        </is>
      </c>
      <c r="I512" s="53" t="n"/>
      <c r="J512" s="38">
        <f>IFERROR(MATCH(C512,'Справка'!$A$12:$A$21,0),99)</f>
        <v/>
      </c>
      <c r="K512" s="39">
        <f>HYPERLINK("https://wa.me/"&amp;H512&amp;"?text="&amp;ENCODEURL(T512),"✉ Написать")</f>
        <v/>
      </c>
      <c r="L512" s="39">
        <f>HYPERLINK("https://wa.me/"&amp;H512,"Открыть чат")</f>
        <v/>
      </c>
      <c r="M512" s="38" t="inlineStr">
        <is>
          <t>Казань</t>
        </is>
      </c>
      <c r="N512" s="38" t="n">
        <v>5</v>
      </c>
      <c r="O512" s="38" t="n">
        <v>16</v>
      </c>
      <c r="P512" s="38" t="inlineStr">
        <is>
          <t>tuichin.ru</t>
        </is>
      </c>
      <c r="Q512" s="38" t="inlineStr">
        <is>
          <t>есть сайт: сначала впиши в текст, что на нём не так, WhatsApp не подтверждён</t>
        </is>
      </c>
      <c r="R512" s="38" t="n">
        <v>2</v>
      </c>
      <c r="S512" s="38" t="inlineStr">
        <is>
          <t>Республика Татарстан</t>
        </is>
      </c>
      <c r="T512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«Туйчин», где это исправлено, и показать. Собрать?</t>
        </is>
      </c>
      <c r="U512" s="38">
        <f>B512&amp;IF(D512&lt;&gt;""," · "&amp;D512,"")&amp;IF(F512&lt;&gt;"",CHAR(10)&amp;F512,"")</f>
        <v/>
      </c>
      <c r="V512" s="38">
        <f>IF(OR(F512="просрочено",F512="сегодня",F512="укажи дату",LEFT(F512,6)="молчит"),1,0)</f>
        <v/>
      </c>
    </row>
    <row r="513" ht="24" customHeight="1">
      <c r="A513" s="38" t="n">
        <v>512</v>
      </c>
      <c r="B513" s="32" t="inlineStr">
        <is>
          <t>Эни-Дом</t>
        </is>
      </c>
      <c r="C513" s="49" t="inlineStr">
        <is>
          <t>Очередь</t>
        </is>
      </c>
      <c r="D513" s="49" t="n"/>
      <c r="E513" s="50" t="n"/>
      <c r="F513" s="51">
        <f>IF(OR(C513="",C513="Очередь",C513="Клиент",C513="Отказ",C513="Не писать"),"",IF(E513="",IF(AND(C513="Отправлено",I513&lt;&gt;"",TODAY()-INT(I513)&gt;=3),"молчит "&amp;(TODAY()-INT(I513))&amp;" дн.",IF(OR(C513="Перезвонить",C513="Созвон"),"укажи дату","")),IF(INT(E513)&lt;TODAY(),"просрочено",IF(INT(E513)=TODAY(),"сегодня",IF(INT(E513)=TODAY()+1,"завтра",TEXT(E513,"dd.mm"))))))</f>
        <v/>
      </c>
      <c r="G513" s="52" t="n"/>
      <c r="H513" s="36" t="inlineStr">
        <is>
          <t>79870083642</t>
        </is>
      </c>
      <c r="I513" s="53" t="n"/>
      <c r="J513" s="38">
        <f>IFERROR(MATCH(C513,'Справка'!$A$12:$A$21,0),99)</f>
        <v/>
      </c>
      <c r="K513" s="39">
        <f>HYPERLINK("https://wa.me/"&amp;H513&amp;"?text="&amp;ENCODEURL(T513),"✉ Написать")</f>
        <v/>
      </c>
      <c r="L513" s="39">
        <f>HYPERLINK("https://wa.me/"&amp;H513,"Открыть чат")</f>
        <v/>
      </c>
      <c r="M513" s="38" t="inlineStr">
        <is>
          <t>Казань</t>
        </is>
      </c>
      <c r="N513" s="38" t="n">
        <v>5</v>
      </c>
      <c r="O513" s="38" t="n">
        <v>9</v>
      </c>
      <c r="P513" s="38" t="inlineStr">
        <is>
          <t>Перейти в Telegram-канал</t>
        </is>
      </c>
      <c r="Q513" s="38" t="inlineStr">
        <is>
          <t>есть сайт: сначала впиши в текст, что на нём не так, WhatsApp не подтверждён</t>
        </is>
      </c>
      <c r="R513" s="38" t="n">
        <v>2</v>
      </c>
      <c r="S513" s="38" t="inlineStr">
        <is>
          <t>Республика Татарстан</t>
        </is>
      </c>
      <c r="T513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«Эни-Дом», где это исправлено, и показать. Собрать?</t>
        </is>
      </c>
      <c r="U513" s="38">
        <f>B513&amp;IF(D513&lt;&gt;""," · "&amp;D513,"")&amp;IF(F513&lt;&gt;"",CHAR(10)&amp;F513,"")</f>
        <v/>
      </c>
      <c r="V513" s="38">
        <f>IF(OR(F513="просрочено",F513="сегодня",F513="укажи дату",LEFT(F513,6)="молчит"),1,0)</f>
        <v/>
      </c>
    </row>
    <row r="514" ht="24" customHeight="1">
      <c r="A514" s="38" t="n">
        <v>513</v>
      </c>
      <c r="B514" s="32" t="inlineStr">
        <is>
          <t>КазДомСтрой</t>
        </is>
      </c>
      <c r="C514" s="49" t="inlineStr">
        <is>
          <t>Очередь</t>
        </is>
      </c>
      <c r="D514" s="49" t="n"/>
      <c r="E514" s="50" t="n"/>
      <c r="F514" s="51">
        <f>IF(OR(C514="",C514="Очередь",C514="Клиент",C514="Отказ",C514="Не писать"),"",IF(E514="",IF(AND(C514="Отправлено",I514&lt;&gt;"",TODAY()-INT(I514)&gt;=3),"молчит "&amp;(TODAY()-INT(I514))&amp;" дн.",IF(OR(C514="Перезвонить",C514="Созвон"),"укажи дату","")),IF(INT(E514)&lt;TODAY(),"просрочено",IF(INT(E514)=TODAY(),"сегодня",IF(INT(E514)=TODAY()+1,"завтра",TEXT(E514,"dd.mm"))))))</f>
        <v/>
      </c>
      <c r="G514" s="52" t="n"/>
      <c r="H514" s="36" t="inlineStr">
        <is>
          <t>79872975733</t>
        </is>
      </c>
      <c r="I514" s="53" t="n"/>
      <c r="J514" s="38">
        <f>IFERROR(MATCH(C514,'Справка'!$A$12:$A$21,0),99)</f>
        <v/>
      </c>
      <c r="K514" s="39">
        <f>HYPERLINK("https://wa.me/"&amp;H514&amp;"?text="&amp;ENCODEURL(T514),"✉ Написать")</f>
        <v/>
      </c>
      <c r="L514" s="39">
        <f>HYPERLINK("https://wa.me/"&amp;H514,"Открыть чат")</f>
        <v/>
      </c>
      <c r="M514" s="38" t="inlineStr">
        <is>
          <t>Казань</t>
        </is>
      </c>
      <c r="N514" s="38" t="n">
        <v>5</v>
      </c>
      <c r="O514" s="38" t="n">
        <v>4</v>
      </c>
      <c r="P514" s="38" t="inlineStr">
        <is>
          <t>kazdomstroy.ru</t>
        </is>
      </c>
      <c r="Q514" s="38" t="inlineStr">
        <is>
          <t>есть сайт: сначала впиши в текст, что на нём не так, WhatsApp не подтверждён</t>
        </is>
      </c>
      <c r="R514" s="38" t="n">
        <v>2</v>
      </c>
      <c r="S514" s="38" t="inlineStr">
        <is>
          <t>Республика Татарстан</t>
        </is>
      </c>
      <c r="T514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«КазДомСтрой», где это исправлено, и показать. Собрать?</t>
        </is>
      </c>
      <c r="U514" s="38">
        <f>B514&amp;IF(D514&lt;&gt;""," · "&amp;D514,"")&amp;IF(F514&lt;&gt;"",CHAR(10)&amp;F514,"")</f>
        <v/>
      </c>
      <c r="V514" s="38">
        <f>IF(OR(F514="просрочено",F514="сегодня",F514="укажи дату",LEFT(F514,6)="молчит"),1,0)</f>
        <v/>
      </c>
    </row>
    <row r="515" ht="24" customHeight="1">
      <c r="A515" s="38" t="n">
        <v>514</v>
      </c>
      <c r="B515" s="32" t="inlineStr">
        <is>
          <t>Верховик</t>
        </is>
      </c>
      <c r="C515" s="49" t="inlineStr">
        <is>
          <t>Очередь</t>
        </is>
      </c>
      <c r="D515" s="49" t="n"/>
      <c r="E515" s="50" t="n"/>
      <c r="F515" s="51">
        <f>IF(OR(C515="",C515="Очередь",C515="Клиент",C515="Отказ",C515="Не писать"),"",IF(E515="",IF(AND(C515="Отправлено",I515&lt;&gt;"",TODAY()-INT(I515)&gt;=3),"молчит "&amp;(TODAY()-INT(I515))&amp;" дн.",IF(OR(C515="Перезвонить",C515="Созвон"),"укажи дату","")),IF(INT(E515)&lt;TODAY(),"просрочено",IF(INT(E515)=TODAY(),"сегодня",IF(INT(E515)=TODAY()+1,"завтра",TEXT(E515,"dd.mm"))))))</f>
        <v/>
      </c>
      <c r="G515" s="52" t="n"/>
      <c r="H515" s="36" t="inlineStr">
        <is>
          <t>79600350357</t>
        </is>
      </c>
      <c r="I515" s="53" t="n"/>
      <c r="J515" s="38">
        <f>IFERROR(MATCH(C515,'Справка'!$A$12:$A$21,0),99)</f>
        <v/>
      </c>
      <c r="K515" s="39">
        <f>HYPERLINK("https://wa.me/"&amp;H515&amp;"?text="&amp;ENCODEURL(T515),"✉ Написать")</f>
        <v/>
      </c>
      <c r="L515" s="39">
        <f>HYPERLINK("https://wa.me/"&amp;H515,"Открыть чат")</f>
        <v/>
      </c>
      <c r="M515" s="38" t="inlineStr">
        <is>
          <t>Казань</t>
        </is>
      </c>
      <c r="N515" s="38" t="n"/>
      <c r="O515" s="38" t="n"/>
      <c r="P515" s="38" t="inlineStr">
        <is>
          <t>verkhovikazani.ru</t>
        </is>
      </c>
      <c r="Q515" s="38" t="inlineStr">
        <is>
          <t>есть сайт: сначала впиши в текст, что на нём не так, WhatsApp не подтверждён</t>
        </is>
      </c>
      <c r="R515" s="38" t="n">
        <v>2</v>
      </c>
      <c r="S515" s="38" t="inlineStr">
        <is>
          <t>Республика Татарстан</t>
        </is>
      </c>
      <c r="T515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«Верховик», где это исправлено, и показать. Собрать?</t>
        </is>
      </c>
      <c r="U515" s="38">
        <f>B515&amp;IF(D515&lt;&gt;""," · "&amp;D515,"")&amp;IF(F515&lt;&gt;"",CHAR(10)&amp;F515,"")</f>
        <v/>
      </c>
      <c r="V515" s="38">
        <f>IF(OR(F515="просрочено",F515="сегодня",F515="укажи дату",LEFT(F515,6)="молчит"),1,0)</f>
        <v/>
      </c>
    </row>
    <row r="516" ht="24" customHeight="1">
      <c r="A516" s="38" t="n">
        <v>515</v>
      </c>
      <c r="B516" s="32" t="inlineStr">
        <is>
          <t>Татальп</t>
        </is>
      </c>
      <c r="C516" s="49" t="inlineStr">
        <is>
          <t>Очередь</t>
        </is>
      </c>
      <c r="D516" s="49" t="n"/>
      <c r="E516" s="50" t="n"/>
      <c r="F516" s="51">
        <f>IF(OR(C516="",C516="Очередь",C516="Клиент",C516="Отказ",C516="Не писать"),"",IF(E516="",IF(AND(C516="Отправлено",I516&lt;&gt;"",TODAY()-INT(I516)&gt;=3),"молчит "&amp;(TODAY()-INT(I516))&amp;" дн.",IF(OR(C516="Перезвонить",C516="Созвон"),"укажи дату","")),IF(INT(E516)&lt;TODAY(),"просрочено",IF(INT(E516)=TODAY(),"сегодня",IF(INT(E516)=TODAY()+1,"завтра",TEXT(E516,"dd.mm"))))))</f>
        <v/>
      </c>
      <c r="G516" s="52" t="n"/>
      <c r="H516" s="36" t="inlineStr">
        <is>
          <t>79625595853</t>
        </is>
      </c>
      <c r="I516" s="53" t="n"/>
      <c r="J516" s="38">
        <f>IFERROR(MATCH(C516,'Справка'!$A$12:$A$21,0),99)</f>
        <v/>
      </c>
      <c r="K516" s="39">
        <f>HYPERLINK("https://wa.me/"&amp;H516&amp;"?text="&amp;ENCODEURL(T516),"✉ Написать")</f>
        <v/>
      </c>
      <c r="L516" s="39">
        <f>HYPERLINK("https://wa.me/"&amp;H516,"Открыть чат")</f>
        <v/>
      </c>
      <c r="M516" s="38" t="inlineStr">
        <is>
          <t>Казань</t>
        </is>
      </c>
      <c r="N516" s="38" t="n"/>
      <c r="O516" s="38" t="n"/>
      <c r="P516" s="38" t="inlineStr">
        <is>
          <t>tatalp.ru</t>
        </is>
      </c>
      <c r="Q516" s="38" t="inlineStr">
        <is>
          <t>есть сайт: сначала впиши в текст, что на нём не так, WhatsApp не подтверждён</t>
        </is>
      </c>
      <c r="R516" s="38" t="n">
        <v>2</v>
      </c>
      <c r="S516" s="38" t="inlineStr">
        <is>
          <t>Республика Татарстан</t>
        </is>
      </c>
      <c r="T516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«Татальп», где это исправлено, и показать. Собрать?</t>
        </is>
      </c>
      <c r="U516" s="38">
        <f>B516&amp;IF(D516&lt;&gt;""," · "&amp;D516,"")&amp;IF(F516&lt;&gt;"",CHAR(10)&amp;F516,"")</f>
        <v/>
      </c>
      <c r="V516" s="38">
        <f>IF(OR(F516="просрочено",F516="сегодня",F516="укажи дату",LEFT(F516,6)="молчит"),1,0)</f>
        <v/>
      </c>
    </row>
    <row r="517" ht="24" customHeight="1">
      <c r="A517" s="38" t="n">
        <v>516</v>
      </c>
      <c r="B517" s="32" t="inlineStr">
        <is>
          <t>Амиритстрой</t>
        </is>
      </c>
      <c r="C517" s="49" t="inlineStr">
        <is>
          <t>Очередь</t>
        </is>
      </c>
      <c r="D517" s="49" t="n"/>
      <c r="E517" s="50" t="n"/>
      <c r="F517" s="51">
        <f>IF(OR(C517="",C517="Очередь",C517="Клиент",C517="Отказ",C517="Не писать"),"",IF(E517="",IF(AND(C517="Отправлено",I517&lt;&gt;"",TODAY()-INT(I517)&gt;=3),"молчит "&amp;(TODAY()-INT(I517))&amp;" дн.",IF(OR(C517="Перезвонить",C517="Созвон"),"укажи дату","")),IF(INT(E517)&lt;TODAY(),"просрочено",IF(INT(E517)=TODAY(),"сегодня",IF(INT(E517)=TODAY()+1,"завтра",TEXT(E517,"dd.mm"))))))</f>
        <v/>
      </c>
      <c r="G517" s="52" t="n"/>
      <c r="H517" s="36" t="inlineStr">
        <is>
          <t>79869196797</t>
        </is>
      </c>
      <c r="I517" s="53" t="n"/>
      <c r="J517" s="38">
        <f>IFERROR(MATCH(C517,'Справка'!$A$12:$A$21,0),99)</f>
        <v/>
      </c>
      <c r="K517" s="39">
        <f>HYPERLINK("https://wa.me/"&amp;H517&amp;"?text="&amp;ENCODEURL(T517),"✉ Написать")</f>
        <v/>
      </c>
      <c r="L517" s="39">
        <f>HYPERLINK("https://wa.me/"&amp;H517,"Открыть чат")</f>
        <v/>
      </c>
      <c r="M517" s="38" t="inlineStr">
        <is>
          <t>Казань</t>
        </is>
      </c>
      <c r="N517" s="38" t="n"/>
      <c r="O517" s="38" t="n"/>
      <c r="P517" s="38" t="inlineStr">
        <is>
          <t>Amiritstroi.ru</t>
        </is>
      </c>
      <c r="Q517" s="38" t="inlineStr">
        <is>
          <t>есть сайт: сначала впиши в текст, что на нём не так, WhatsApp не подтверждён</t>
        </is>
      </c>
      <c r="R517" s="38" t="n">
        <v>2</v>
      </c>
      <c r="S517" s="38" t="inlineStr">
        <is>
          <t>Республика Татарстан</t>
        </is>
      </c>
      <c r="T517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«Амиритстрой», где это исправлено, и показать. Собрать?</t>
        </is>
      </c>
      <c r="U517" s="38">
        <f>B517&amp;IF(D517&lt;&gt;""," · "&amp;D517,"")&amp;IF(F517&lt;&gt;"",CHAR(10)&amp;F517,"")</f>
        <v/>
      </c>
      <c r="V517" s="38">
        <f>IF(OR(F517="просрочено",F517="сегодня",F517="укажи дату",LEFT(F517,6)="молчит"),1,0)</f>
        <v/>
      </c>
    </row>
    <row r="518" ht="24" customHeight="1">
      <c r="A518" s="38" t="n">
        <v>517</v>
      </c>
      <c r="B518" s="32" t="inlineStr">
        <is>
          <t>Издревстрой</t>
        </is>
      </c>
      <c r="C518" s="49" t="inlineStr">
        <is>
          <t>Очередь</t>
        </is>
      </c>
      <c r="D518" s="49" t="n"/>
      <c r="E518" s="50" t="n"/>
      <c r="F518" s="51">
        <f>IF(OR(C518="",C518="Очередь",C518="Клиент",C518="Отказ",C518="Не писать"),"",IF(E518="",IF(AND(C518="Отправлено",I518&lt;&gt;"",TODAY()-INT(I518)&gt;=3),"молчит "&amp;(TODAY()-INT(I518))&amp;" дн.",IF(OR(C518="Перезвонить",C518="Созвон"),"укажи дату","")),IF(INT(E518)&lt;TODAY(),"просрочено",IF(INT(E518)=TODAY(),"сегодня",IF(INT(E518)=TODAY()+1,"завтра",TEXT(E518,"dd.mm"))))))</f>
        <v/>
      </c>
      <c r="G518" s="52" t="n"/>
      <c r="H518" s="36" t="inlineStr">
        <is>
          <t>79872301350</t>
        </is>
      </c>
      <c r="I518" s="53" t="n"/>
      <c r="J518" s="38">
        <f>IFERROR(MATCH(C518,'Справка'!$A$12:$A$21,0),99)</f>
        <v/>
      </c>
      <c r="K518" s="39">
        <f>HYPERLINK("https://wa.me/"&amp;H518&amp;"?text="&amp;ENCODEURL(T518),"✉ Написать")</f>
        <v/>
      </c>
      <c r="L518" s="39">
        <f>HYPERLINK("https://wa.me/"&amp;H518,"Открыть чат")</f>
        <v/>
      </c>
      <c r="M518" s="38" t="inlineStr">
        <is>
          <t>Казань</t>
        </is>
      </c>
      <c r="N518" s="38" t="n"/>
      <c r="O518" s="38" t="n"/>
      <c r="P518" s="38" t="inlineStr">
        <is>
          <t>izdrevstroy.ru</t>
        </is>
      </c>
      <c r="Q518" s="38" t="inlineStr">
        <is>
          <t>есть сайт: сначала впиши в текст, что на нём не так, WhatsApp не подтверждён</t>
        </is>
      </c>
      <c r="R518" s="38" t="n">
        <v>2</v>
      </c>
      <c r="S518" s="38" t="inlineStr">
        <is>
          <t>Республика Татарстан</t>
        </is>
      </c>
      <c r="T518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«Издревстрой», где это исправлено, и показать. Собрать?</t>
        </is>
      </c>
      <c r="U518" s="38">
        <f>B518&amp;IF(D518&lt;&gt;""," · "&amp;D518,"")&amp;IF(F518&lt;&gt;"",CHAR(10)&amp;F518,"")</f>
        <v/>
      </c>
      <c r="V518" s="38">
        <f>IF(OR(F518="просрочено",F518="сегодня",F518="укажи дату",LEFT(F518,6)="молчит"),1,0)</f>
        <v/>
      </c>
    </row>
    <row r="519" ht="24" customHeight="1">
      <c r="A519" s="38" t="n">
        <v>518</v>
      </c>
      <c r="B519" s="32" t="inlineStr">
        <is>
          <t>КровляКазань</t>
        </is>
      </c>
      <c r="C519" s="49" t="inlineStr">
        <is>
          <t>Очередь</t>
        </is>
      </c>
      <c r="D519" s="49" t="n"/>
      <c r="E519" s="50" t="n"/>
      <c r="F519" s="51">
        <f>IF(OR(C519="",C519="Очередь",C519="Клиент",C519="Отказ",C519="Не писать"),"",IF(E519="",IF(AND(C519="Отправлено",I519&lt;&gt;"",TODAY()-INT(I519)&gt;=3),"молчит "&amp;(TODAY()-INT(I519))&amp;" дн.",IF(OR(C519="Перезвонить",C519="Созвон"),"укажи дату","")),IF(INT(E519)&lt;TODAY(),"просрочено",IF(INT(E519)=TODAY(),"сегодня",IF(INT(E519)=TODAY()+1,"завтра",TEXT(E519,"dd.mm"))))))</f>
        <v/>
      </c>
      <c r="G519" s="52" t="n"/>
      <c r="H519" s="36" t="inlineStr">
        <is>
          <t>79625566790</t>
        </is>
      </c>
      <c r="I519" s="53" t="n"/>
      <c r="J519" s="38">
        <f>IFERROR(MATCH(C519,'Справка'!$A$12:$A$21,0),99)</f>
        <v/>
      </c>
      <c r="K519" s="39">
        <f>HYPERLINK("https://wa.me/"&amp;H519&amp;"?text="&amp;ENCODEURL(T519),"✉ Написать")</f>
        <v/>
      </c>
      <c r="L519" s="39">
        <f>HYPERLINK("https://wa.me/"&amp;H519,"Открыть чат")</f>
        <v/>
      </c>
      <c r="M519" s="38" t="inlineStr">
        <is>
          <t>Зеленодольск</t>
        </is>
      </c>
      <c r="N519" s="38" t="n"/>
      <c r="O519" s="38" t="n"/>
      <c r="P519" s="38" t="inlineStr">
        <is>
          <t>казань-кровля.рф</t>
        </is>
      </c>
      <c r="Q519" s="38" t="inlineStr">
        <is>
          <t>есть сайт: сначала впиши в текст, что на нём не так, WhatsApp не подтверждён</t>
        </is>
      </c>
      <c r="R519" s="38" t="n">
        <v>2</v>
      </c>
      <c r="S519" s="38" t="inlineStr">
        <is>
          <t>Республика Татарстан</t>
        </is>
      </c>
      <c r="T519" s="38" t="inlineStr">
        <is>
          <t>Здравствуйте! Смотрел в 2ГИС кровельные компании в Зеленодольске, зашёл на ваш сайт с телефона: [ЧТО НЕ ТАК НА САЙТЕ].
Могу за вечер собрать вариант под «КровляКазань», где это исправлено, и показать. Собрать?</t>
        </is>
      </c>
      <c r="U519" s="38">
        <f>B519&amp;IF(D519&lt;&gt;""," · "&amp;D519,"")&amp;IF(F519&lt;&gt;"",CHAR(10)&amp;F519,"")</f>
        <v/>
      </c>
      <c r="V519" s="38">
        <f>IF(OR(F519="просрочено",F519="сегодня",F519="укажи дату",LEFT(F519,6)="молчит"),1,0)</f>
        <v/>
      </c>
    </row>
    <row r="520" ht="24" customHeight="1">
      <c r="A520" s="38" t="n">
        <v>519</v>
      </c>
      <c r="B520" s="32" t="inlineStr">
        <is>
          <t>Строительный Бутик</t>
        </is>
      </c>
      <c r="C520" s="49" t="inlineStr">
        <is>
          <t>Очередь</t>
        </is>
      </c>
      <c r="D520" s="49" t="n"/>
      <c r="E520" s="50" t="n"/>
      <c r="F520" s="51">
        <f>IF(OR(C520="",C520="Очередь",C520="Клиент",C520="Отказ",C520="Не писать"),"",IF(E520="",IF(AND(C520="Отправлено",I520&lt;&gt;"",TODAY()-INT(I520)&gt;=3),"молчит "&amp;(TODAY()-INT(I520))&amp;" дн.",IF(OR(C520="Перезвонить",C520="Созвон"),"укажи дату","")),IF(INT(E520)&lt;TODAY(),"просрочено",IF(INT(E520)=TODAY(),"сегодня",IF(INT(E520)=TODAY()+1,"завтра",TEXT(E520,"dd.mm"))))))</f>
        <v/>
      </c>
      <c r="G520" s="52" t="n"/>
      <c r="H520" s="36" t="inlineStr">
        <is>
          <t>79281151112</t>
        </is>
      </c>
      <c r="I520" s="53" t="n"/>
      <c r="J520" s="38">
        <f>IFERROR(MATCH(C520,'Справка'!$A$12:$A$21,0),99)</f>
        <v/>
      </c>
      <c r="K520" s="39">
        <f>HYPERLINK("https://wa.me/"&amp;H520&amp;"?text="&amp;ENCODEURL(T520),"✉ Написать")</f>
        <v/>
      </c>
      <c r="L520" s="39">
        <f>HYPERLINK("https://wa.me/"&amp;H520,"Открыть чат")</f>
        <v/>
      </c>
      <c r="M520" s="38" t="inlineStr">
        <is>
          <t>Ростов-на-Дону</t>
        </is>
      </c>
      <c r="N520" s="38" t="n">
        <v>3.7</v>
      </c>
      <c r="O520" s="38" t="n">
        <v>3</v>
      </c>
      <c r="P520" s="38" t="inlineStr">
        <is>
          <t>stroybutik-metallprofil.ru</t>
        </is>
      </c>
      <c r="Q520" s="38" t="inlineStr">
        <is>
          <t>есть сайт: сначала впиши в текст, что на нём не так, WhatsApp не подтверждён</t>
        </is>
      </c>
      <c r="R520" s="38" t="n">
        <v>2</v>
      </c>
      <c r="S520" s="38" t="inlineStr">
        <is>
          <t>Ростовская область</t>
        </is>
      </c>
      <c r="T520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«Строительный Бутик», где это исправлено, и показать. Собрать?</t>
        </is>
      </c>
      <c r="U520" s="38">
        <f>B520&amp;IF(D520&lt;&gt;""," · "&amp;D520,"")&amp;IF(F520&lt;&gt;"",CHAR(10)&amp;F520,"")</f>
        <v/>
      </c>
      <c r="V520" s="38">
        <f>IF(OR(F520="просрочено",F520="сегодня",F520="укажи дату",LEFT(F520,6)="молчит"),1,0)</f>
        <v/>
      </c>
    </row>
    <row r="521" ht="24" customHeight="1">
      <c r="A521" s="38" t="n">
        <v>520</v>
      </c>
      <c r="B521" s="32" t="inlineStr">
        <is>
          <t>Эстетик Групп</t>
        </is>
      </c>
      <c r="C521" s="49" t="inlineStr">
        <is>
          <t>Очередь</t>
        </is>
      </c>
      <c r="D521" s="49" t="n"/>
      <c r="E521" s="50" t="n"/>
      <c r="F521" s="51">
        <f>IF(OR(C521="",C521="Очередь",C521="Клиент",C521="Отказ",C521="Не писать"),"",IF(E521="",IF(AND(C521="Отправлено",I521&lt;&gt;"",TODAY()-INT(I521)&gt;=3),"молчит "&amp;(TODAY()-INT(I521))&amp;" дн.",IF(OR(C521="Перезвонить",C521="Созвон"),"укажи дату","")),IF(INT(E521)&lt;TODAY(),"просрочено",IF(INT(E521)=TODAY(),"сегодня",IF(INT(E521)=TODAY()+1,"завтра",TEXT(E521,"dd.mm"))))))</f>
        <v/>
      </c>
      <c r="G521" s="52" t="n"/>
      <c r="H521" s="36" t="inlineStr">
        <is>
          <t>79515241100</t>
        </is>
      </c>
      <c r="I521" s="53" t="n"/>
      <c r="J521" s="38">
        <f>IFERROR(MATCH(C521,'Справка'!$A$12:$A$21,0),99)</f>
        <v/>
      </c>
      <c r="K521" s="39">
        <f>HYPERLINK("https://wa.me/"&amp;H521&amp;"?text="&amp;ENCODEURL(T521),"✉ Написать")</f>
        <v/>
      </c>
      <c r="L521" s="39">
        <f>HYPERLINK("https://wa.me/"&amp;H521,"Открыть чат")</f>
        <v/>
      </c>
      <c r="M521" s="38" t="inlineStr">
        <is>
          <t>Ростов-на-Дону</t>
        </is>
      </c>
      <c r="N521" s="38" t="n"/>
      <c r="O521" s="38" t="n"/>
      <c r="P521" s="38" t="inlineStr">
        <is>
          <t>estetik-grupp.tilda.ws</t>
        </is>
      </c>
      <c r="Q521" s="38" t="inlineStr">
        <is>
          <t>есть сайт: сначала впиши в текст, что на нём не так, WhatsApp не подтверждён</t>
        </is>
      </c>
      <c r="R521" s="38" t="n">
        <v>2</v>
      </c>
      <c r="S521" s="38" t="inlineStr">
        <is>
          <t>Ростовская область</t>
        </is>
      </c>
      <c r="T521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«Эстетик Групп», где это исправлено, и показать. Собрать?</t>
        </is>
      </c>
      <c r="U521" s="38">
        <f>B521&amp;IF(D521&lt;&gt;""," · "&amp;D521,"")&amp;IF(F521&lt;&gt;"",CHAR(10)&amp;F521,"")</f>
        <v/>
      </c>
      <c r="V521" s="38">
        <f>IF(OR(F521="просрочено",F521="сегодня",F521="укажи дату",LEFT(F521,6)="молчит"),1,0)</f>
        <v/>
      </c>
    </row>
    <row r="522" ht="24" customHeight="1">
      <c r="A522" s="38" t="n">
        <v>521</v>
      </c>
      <c r="B522" s="32" t="inlineStr">
        <is>
          <t>Ростов кровля</t>
        </is>
      </c>
      <c r="C522" s="49" t="inlineStr">
        <is>
          <t>Очередь</t>
        </is>
      </c>
      <c r="D522" s="49" t="n"/>
      <c r="E522" s="50" t="n"/>
      <c r="F522" s="51">
        <f>IF(OR(C522="",C522="Очередь",C522="Клиент",C522="Отказ",C522="Не писать"),"",IF(E522="",IF(AND(C522="Отправлено",I522&lt;&gt;"",TODAY()-INT(I522)&gt;=3),"молчит "&amp;(TODAY()-INT(I522))&amp;" дн.",IF(OR(C522="Перезвонить",C522="Созвон"),"укажи дату","")),IF(INT(E522)&lt;TODAY(),"просрочено",IF(INT(E522)=TODAY(),"сегодня",IF(INT(E522)=TODAY()+1,"завтра",TEXT(E522,"dd.mm"))))))</f>
        <v/>
      </c>
      <c r="G522" s="52" t="n"/>
      <c r="H522" s="36" t="inlineStr">
        <is>
          <t>79381048015</t>
        </is>
      </c>
      <c r="I522" s="53" t="n"/>
      <c r="J522" s="38">
        <f>IFERROR(MATCH(C522,'Справка'!$A$12:$A$21,0),99)</f>
        <v/>
      </c>
      <c r="K522" s="39">
        <f>HYPERLINK("https://wa.me/"&amp;H522&amp;"?text="&amp;ENCODEURL(T522),"✉ Написать")</f>
        <v/>
      </c>
      <c r="L522" s="39">
        <f>HYPERLINK("https://wa.me/"&amp;H522,"Открыть чат")</f>
        <v/>
      </c>
      <c r="M522" s="38" t="inlineStr">
        <is>
          <t>Ростов-на-Дону</t>
        </is>
      </c>
      <c r="N522" s="38" t="n"/>
      <c r="O522" s="38" t="n"/>
      <c r="P522" s="38" t="inlineStr">
        <is>
          <t>www.rostov-krovlya.ru</t>
        </is>
      </c>
      <c r="Q522" s="38" t="inlineStr">
        <is>
          <t>есть сайт: сначала впиши в текст, что на нём не так, WhatsApp не подтверждён</t>
        </is>
      </c>
      <c r="R522" s="38" t="n">
        <v>2</v>
      </c>
      <c r="S522" s="38" t="inlineStr">
        <is>
          <t>Ростовская область</t>
        </is>
      </c>
      <c r="T522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«Ростов кровля», где это исправлено, и показать. Собрать?</t>
        </is>
      </c>
      <c r="U522" s="38">
        <f>B522&amp;IF(D522&lt;&gt;""," · "&amp;D522,"")&amp;IF(F522&lt;&gt;"",CHAR(10)&amp;F522,"")</f>
        <v/>
      </c>
      <c r="V522" s="38">
        <f>IF(OR(F522="просрочено",F522="сегодня",F522="укажи дату",LEFT(F522,6)="молчит"),1,0)</f>
        <v/>
      </c>
    </row>
    <row r="523" ht="24" customHeight="1">
      <c r="A523" s="38" t="n">
        <v>522</v>
      </c>
      <c r="B523" s="32" t="inlineStr">
        <is>
          <t>Dm</t>
        </is>
      </c>
      <c r="C523" s="49" t="inlineStr">
        <is>
          <t>Очередь</t>
        </is>
      </c>
      <c r="D523" s="49" t="n"/>
      <c r="E523" s="50" t="n"/>
      <c r="F523" s="51">
        <f>IF(OR(C523="",C523="Очередь",C523="Клиент",C523="Отказ",C523="Не писать"),"",IF(E523="",IF(AND(C523="Отправлено",I523&lt;&gt;"",TODAY()-INT(I523)&gt;=3),"молчит "&amp;(TODAY()-INT(I523))&amp;" дн.",IF(OR(C523="Перезвонить",C523="Созвон"),"укажи дату","")),IF(INT(E523)&lt;TODAY(),"просрочено",IF(INT(E523)=TODAY(),"сегодня",IF(INT(E523)=TODAY()+1,"завтра",TEXT(E523,"dd.mm"))))))</f>
        <v/>
      </c>
      <c r="G523" s="52" t="n"/>
      <c r="H523" s="36" t="inlineStr">
        <is>
          <t>79185553957</t>
        </is>
      </c>
      <c r="I523" s="53" t="n"/>
      <c r="J523" s="38">
        <f>IFERROR(MATCH(C523,'Справка'!$A$12:$A$21,0),99)</f>
        <v/>
      </c>
      <c r="K523" s="39">
        <f>HYPERLINK("https://wa.me/"&amp;H523&amp;"?text="&amp;ENCODEURL(T523),"✉ Написать")</f>
        <v/>
      </c>
      <c r="L523" s="39">
        <f>HYPERLINK("https://wa.me/"&amp;H523,"Открыть чат")</f>
        <v/>
      </c>
      <c r="M523" s="38" t="inlineStr">
        <is>
          <t>Батайск</t>
        </is>
      </c>
      <c r="N523" s="38" t="n"/>
      <c r="O523" s="38" t="n"/>
      <c r="P523" s="38" t="inlineStr">
        <is>
          <t>www.61стройдом.рф</t>
        </is>
      </c>
      <c r="Q523" s="38" t="inlineStr">
        <is>
          <t>есть сайт: сначала впиши в текст, что на нём не так, WhatsApp не подтверждён</t>
        </is>
      </c>
      <c r="R523" s="38" t="n">
        <v>2</v>
      </c>
      <c r="S523" s="38" t="inlineStr">
        <is>
          <t>Ростовская область</t>
        </is>
      </c>
      <c r="T523" s="38" t="inlineStr">
        <is>
          <t>Здравствуйте! Смотрел в 2ГИС кровельные компании в Батайске, зашёл на ваш сайт с телефона: [ЧТО НЕ ТАК НА САЙТЕ].
Могу за вечер собрать вариант под «Dm», где это исправлено, и показать. Собрать?</t>
        </is>
      </c>
      <c r="U523" s="38">
        <f>B523&amp;IF(D523&lt;&gt;""," · "&amp;D523,"")&amp;IF(F523&lt;&gt;"",CHAR(10)&amp;F523,"")</f>
        <v/>
      </c>
      <c r="V523" s="38">
        <f>IF(OR(F523="просрочено",F523="сегодня",F523="укажи дату",LEFT(F523,6)="молчит"),1,0)</f>
        <v/>
      </c>
    </row>
    <row r="524" ht="24" customHeight="1">
      <c r="A524" s="38" t="n">
        <v>523</v>
      </c>
      <c r="B524" s="32" t="inlineStr">
        <is>
          <t>Мастер Кров</t>
        </is>
      </c>
      <c r="C524" s="49" t="inlineStr">
        <is>
          <t>Очередь</t>
        </is>
      </c>
      <c r="D524" s="49" t="n"/>
      <c r="E524" s="50" t="n"/>
      <c r="F524" s="51">
        <f>IF(OR(C524="",C524="Очередь",C524="Клиент",C524="Отказ",C524="Не писать"),"",IF(E524="",IF(AND(C524="Отправлено",I524&lt;&gt;"",TODAY()-INT(I524)&gt;=3),"молчит "&amp;(TODAY()-INT(I524))&amp;" дн.",IF(OR(C524="Перезвонить",C524="Созвон"),"укажи дату","")),IF(INT(E524)&lt;TODAY(),"просрочено",IF(INT(E524)=TODAY(),"сегодня",IF(INT(E524)=TODAY()+1,"завтра",TEXT(E524,"dd.mm"))))))</f>
        <v/>
      </c>
      <c r="G524" s="52" t="n"/>
      <c r="H524" s="36" t="inlineStr">
        <is>
          <t>79185609931</t>
        </is>
      </c>
      <c r="I524" s="53" t="n"/>
      <c r="J524" s="38">
        <f>IFERROR(MATCH(C524,'Справка'!$A$12:$A$21,0),99)</f>
        <v/>
      </c>
      <c r="K524" s="39">
        <f>HYPERLINK("https://wa.me/"&amp;H524&amp;"?text="&amp;ENCODEURL(T524),"✉ Написать")</f>
        <v/>
      </c>
      <c r="L524" s="39">
        <f>HYPERLINK("https://wa.me/"&amp;H524,"Открыть чат")</f>
        <v/>
      </c>
      <c r="M524" s="38" t="inlineStr">
        <is>
          <t>Азов</t>
        </is>
      </c>
      <c r="N524" s="38" t="n"/>
      <c r="O524" s="38" t="n"/>
      <c r="P524" s="38" t="inlineStr">
        <is>
          <t>master-krov.ru</t>
        </is>
      </c>
      <c r="Q524" s="38" t="inlineStr">
        <is>
          <t>есть сайт: сначала впиши в текст, что на нём не так, WhatsApp не подтверждён</t>
        </is>
      </c>
      <c r="R524" s="38" t="n">
        <v>2</v>
      </c>
      <c r="S524" s="38" t="inlineStr">
        <is>
          <t>Ростовская область</t>
        </is>
      </c>
      <c r="T524" s="38" t="inlineStr">
        <is>
          <t>Здравствуйте! Смотрел в 2ГИС кровельные компании в Азове, зашёл на ваш сайт с телефона: [ЧТО НЕ ТАК НА САЙТЕ].
Могу за вечер собрать вариант под «Мастер Кров», где это исправлено, и показать. Собрать?</t>
        </is>
      </c>
      <c r="U524" s="38">
        <f>B524&amp;IF(D524&lt;&gt;""," · "&amp;D524,"")&amp;IF(F524&lt;&gt;"",CHAR(10)&amp;F524,"")</f>
        <v/>
      </c>
      <c r="V524" s="38">
        <f>IF(OR(F524="просрочено",F524="сегодня",F524="укажи дату",LEFT(F524,6)="молчит"),1,0)</f>
        <v/>
      </c>
    </row>
    <row r="525" ht="24" customHeight="1">
      <c r="A525" s="38" t="n">
        <v>524</v>
      </c>
      <c r="B525" s="32" t="inlineStr">
        <is>
          <t>Кровельная компания</t>
        </is>
      </c>
      <c r="C525" s="49" t="inlineStr">
        <is>
          <t>Очередь</t>
        </is>
      </c>
      <c r="D525" s="49" t="n"/>
      <c r="E525" s="50" t="n"/>
      <c r="F525" s="51">
        <f>IF(OR(C525="",C525="Очередь",C525="Клиент",C525="Отказ",C525="Не писать"),"",IF(E525="",IF(AND(C525="Отправлено",I525&lt;&gt;"",TODAY()-INT(I525)&gt;=3),"молчит "&amp;(TODAY()-INT(I525))&amp;" дн.",IF(OR(C525="Перезвонить",C525="Созвон"),"укажи дату","")),IF(INT(E525)&lt;TODAY(),"просрочено",IF(INT(E525)=TODAY(),"сегодня",IF(INT(E525)=TODAY()+1,"завтра",TEXT(E525,"dd.mm"))))))</f>
        <v/>
      </c>
      <c r="G525" s="52" t="n"/>
      <c r="H525" s="36" t="inlineStr">
        <is>
          <t>79525833344</t>
        </is>
      </c>
      <c r="I525" s="53" t="n"/>
      <c r="J525" s="38">
        <f>IFERROR(MATCH(C525,'Справка'!$A$12:$A$21,0),99)</f>
        <v/>
      </c>
      <c r="K525" s="39">
        <f>HYPERLINK("https://wa.me/"&amp;H525&amp;"?text="&amp;ENCODEURL(T525),"✉ Написать")</f>
        <v/>
      </c>
      <c r="L525" s="39">
        <f>HYPERLINK("https://wa.me/"&amp;H525,"Открыть чат")</f>
        <v/>
      </c>
      <c r="M525" s="38" t="inlineStr">
        <is>
          <t>Новочеркасск</t>
        </is>
      </c>
      <c r="N525" s="38" t="n"/>
      <c r="O525" s="38" t="n"/>
      <c r="P525" s="38" t="inlineStr">
        <is>
          <t>stroikrovli.ru</t>
        </is>
      </c>
      <c r="Q525" s="38" t="inlineStr">
        <is>
          <t>есть сайт: сначала впиши в текст, что на нём не так, WhatsApp не подтверждён</t>
        </is>
      </c>
      <c r="R525" s="38" t="n">
        <v>2</v>
      </c>
      <c r="S525" s="38" t="inlineStr">
        <is>
          <t>Ростовская область</t>
        </is>
      </c>
      <c r="T525" s="38" t="inlineStr">
        <is>
          <t>Здравствуйте! Смотрел в 2ГИС кровельные компании в Новочеркасске, зашёл на ваш сайт с телефона: [ЧТО НЕ ТАК НА САЙТЕ].
Могу за вечер собрать вариант под «Кровельная компания», где это исправлено, и показать. Собрать?</t>
        </is>
      </c>
      <c r="U525" s="38">
        <f>B525&amp;IF(D525&lt;&gt;""," · "&amp;D525,"")&amp;IF(F525&lt;&gt;"",CHAR(10)&amp;F525,"")</f>
        <v/>
      </c>
      <c r="V525" s="38">
        <f>IF(OR(F525="просрочено",F525="сегодня",F525="укажи дату",LEFT(F525,6)="молчит"),1,0)</f>
        <v/>
      </c>
    </row>
    <row r="526" ht="24" customHeight="1">
      <c r="A526" s="38" t="n">
        <v>525</v>
      </c>
      <c r="B526" s="32" t="inlineStr">
        <is>
          <t>Строительная компания</t>
        </is>
      </c>
      <c r="C526" s="49" t="inlineStr">
        <is>
          <t>Очередь</t>
        </is>
      </c>
      <c r="D526" s="49" t="n"/>
      <c r="E526" s="50" t="n"/>
      <c r="F526" s="51">
        <f>IF(OR(C526="",C526="Очередь",C526="Клиент",C526="Отказ",C526="Не писать"),"",IF(E526="",IF(AND(C526="Отправлено",I526&lt;&gt;"",TODAY()-INT(I526)&gt;=3),"молчит "&amp;(TODAY()-INT(I526))&amp;" дн.",IF(OR(C526="Перезвонить",C526="Созвон"),"укажи дату","")),IF(INT(E526)&lt;TODAY(),"просрочено",IF(INT(E526)=TODAY(),"сегодня",IF(INT(E526)=TODAY()+1,"завтра",TEXT(E526,"dd.mm"))))))</f>
        <v/>
      </c>
      <c r="G526" s="52" t="n"/>
      <c r="H526" s="36" t="inlineStr">
        <is>
          <t>79054853032</t>
        </is>
      </c>
      <c r="I526" s="53" t="n"/>
      <c r="J526" s="38">
        <f>IFERROR(MATCH(C526,'Справка'!$A$12:$A$21,0),99)</f>
        <v/>
      </c>
      <c r="K526" s="39">
        <f>HYPERLINK("https://wa.me/"&amp;H526&amp;"?text="&amp;ENCODEURL(T526),"✉ Написать")</f>
        <v/>
      </c>
      <c r="L526" s="39">
        <f>HYPERLINK("https://wa.me/"&amp;H526,"Открыть чат")</f>
        <v/>
      </c>
      <c r="M526" s="38" t="inlineStr">
        <is>
          <t>Миллерово</t>
        </is>
      </c>
      <c r="N526" s="38" t="n"/>
      <c r="O526" s="38" t="n"/>
      <c r="P526" s="38" t="inlineStr">
        <is>
          <t>krovlya-millerovo.ru</t>
        </is>
      </c>
      <c r="Q526" s="38" t="inlineStr">
        <is>
          <t>есть сайт: сначала впиши в текст, что на нём не так, WhatsApp не подтверждён</t>
        </is>
      </c>
      <c r="R526" s="38" t="n">
        <v>2</v>
      </c>
      <c r="S526" s="38" t="inlineStr">
        <is>
          <t>Ростовская область</t>
        </is>
      </c>
      <c r="T526" s="38" t="inlineStr">
        <is>
          <t>Здравствуйте! Смотрел в 2ГИС кровельные компании в Миллерово, зашёл на ваш сайт с телефона: [ЧТО НЕ ТАК НА САЙТЕ].
Могу за вечер собрать вариант под «Строительная компания», где это исправлено, и показать. Собрать?</t>
        </is>
      </c>
      <c r="U526" s="38">
        <f>B526&amp;IF(D526&lt;&gt;""," · "&amp;D526,"")&amp;IF(F526&lt;&gt;"",CHAR(10)&amp;F526,"")</f>
        <v/>
      </c>
      <c r="V526" s="38">
        <f>IF(OR(F526="просрочено",F526="сегодня",F526="укажи дату",LEFT(F526,6)="молчит"),1,0)</f>
        <v/>
      </c>
    </row>
    <row r="527" ht="24" customHeight="1">
      <c r="A527" s="38" t="n">
        <v>526</v>
      </c>
      <c r="B527" s="32" t="inlineStr">
        <is>
          <t>Строй Дом</t>
        </is>
      </c>
      <c r="C527" s="49" t="inlineStr">
        <is>
          <t>Очередь</t>
        </is>
      </c>
      <c r="D527" s="49" t="n"/>
      <c r="E527" s="50" t="n"/>
      <c r="F527" s="51">
        <f>IF(OR(C527="",C527="Очередь",C527="Клиент",C527="Отказ",C527="Не писать"),"",IF(E527="",IF(AND(C527="Отправлено",I527&lt;&gt;"",TODAY()-INT(I527)&gt;=3),"молчит "&amp;(TODAY()-INT(I527))&amp;" дн.",IF(OR(C527="Перезвонить",C527="Созвон"),"укажи дату","")),IF(INT(E527)&lt;TODAY(),"просрочено",IF(INT(E527)=TODAY(),"сегодня",IF(INT(E527)=TODAY()+1,"завтра",TEXT(E527,"dd.mm"))))))</f>
        <v/>
      </c>
      <c r="G527" s="52" t="n"/>
      <c r="H527" s="36" t="inlineStr">
        <is>
          <t>79397077088</t>
        </is>
      </c>
      <c r="I527" s="53" t="n"/>
      <c r="J527" s="38">
        <f>IFERROR(MATCH(C527,'Справка'!$A$12:$A$21,0),99)</f>
        <v/>
      </c>
      <c r="K527" s="39">
        <f>HYPERLINK("https://wa.me/"&amp;H527&amp;"?text="&amp;ENCODEURL(T527),"✉ Написать")</f>
        <v/>
      </c>
      <c r="L527" s="39">
        <f>HYPERLINK("https://wa.me/"&amp;H527,"Открыть чат")</f>
        <v/>
      </c>
      <c r="M527" s="38" t="inlineStr">
        <is>
          <t>Самара</t>
        </is>
      </c>
      <c r="N527" s="38" t="n">
        <v>4.2</v>
      </c>
      <c r="O527" s="38" t="n">
        <v>10</v>
      </c>
      <c r="P527" s="38" t="inlineStr">
        <is>
          <t>samara.stroitelstvo-domov-pod-klyuch.ru</t>
        </is>
      </c>
      <c r="Q527" s="38" t="inlineStr">
        <is>
          <t>есть сайт: сначала впиши в текст, что на нём не так, WhatsApp не подтверждён</t>
        </is>
      </c>
      <c r="R527" s="38" t="n">
        <v>2</v>
      </c>
      <c r="S527" s="38" t="inlineStr">
        <is>
          <t>Самарская область</t>
        </is>
      </c>
      <c r="T527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«Строй Дом», где это исправлено, и показать. Собрать?</t>
        </is>
      </c>
      <c r="U527" s="38">
        <f>B527&amp;IF(D527&lt;&gt;""," · "&amp;D527,"")&amp;IF(F527&lt;&gt;"",CHAR(10)&amp;F527,"")</f>
        <v/>
      </c>
      <c r="V527" s="38">
        <f>IF(OR(F527="просрочено",F527="сегодня",F527="укажи дату",LEFT(F527,6)="молчит"),1,0)</f>
        <v/>
      </c>
    </row>
    <row r="528" ht="24" customHeight="1">
      <c r="A528" s="38" t="n">
        <v>527</v>
      </c>
      <c r="B528" s="32" t="inlineStr">
        <is>
          <t>Ладар</t>
        </is>
      </c>
      <c r="C528" s="49" t="inlineStr">
        <is>
          <t>Очередь</t>
        </is>
      </c>
      <c r="D528" s="49" t="n"/>
      <c r="E528" s="50" t="n"/>
      <c r="F528" s="51">
        <f>IF(OR(C528="",C528="Очередь",C528="Клиент",C528="Отказ",C528="Не писать"),"",IF(E528="",IF(AND(C528="Отправлено",I528&lt;&gt;"",TODAY()-INT(I528)&gt;=3),"молчит "&amp;(TODAY()-INT(I528))&amp;" дн.",IF(OR(C528="Перезвонить",C528="Созвон"),"укажи дату","")),IF(INT(E528)&lt;TODAY(),"просрочено",IF(INT(E528)=TODAY(),"сегодня",IF(INT(E528)=TODAY()+1,"завтра",TEXT(E528,"dd.mm"))))))</f>
        <v/>
      </c>
      <c r="G528" s="52" t="n"/>
      <c r="H528" s="36" t="inlineStr">
        <is>
          <t>79272900119</t>
        </is>
      </c>
      <c r="I528" s="53" t="n"/>
      <c r="J528" s="38">
        <f>IFERROR(MATCH(C528,'Справка'!$A$12:$A$21,0),99)</f>
        <v/>
      </c>
      <c r="K528" s="39">
        <f>HYPERLINK("https://wa.me/"&amp;H528&amp;"?text="&amp;ENCODEURL(T528),"✉ Написать")</f>
        <v/>
      </c>
      <c r="L528" s="39">
        <f>HYPERLINK("https://wa.me/"&amp;H528,"Открыть чат")</f>
        <v/>
      </c>
      <c r="M528" s="38" t="inlineStr">
        <is>
          <t>Самара</t>
        </is>
      </c>
      <c r="N528" s="38" t="n">
        <v>5</v>
      </c>
      <c r="O528" s="38" t="n">
        <v>2</v>
      </c>
      <c r="P528" s="38" t="inlineStr">
        <is>
          <t>кровляпвх.рф</t>
        </is>
      </c>
      <c r="Q528" s="38" t="inlineStr">
        <is>
          <t>есть сайт: сначала впиши в текст, что на нём не так, WhatsApp не подтверждён</t>
        </is>
      </c>
      <c r="R528" s="38" t="n">
        <v>2</v>
      </c>
      <c r="S528" s="38" t="inlineStr">
        <is>
          <t>Самарская область</t>
        </is>
      </c>
      <c r="T528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«Ладар», где это исправлено, и показать. Собрать?</t>
        </is>
      </c>
      <c r="U528" s="38">
        <f>B528&amp;IF(D528&lt;&gt;""," · "&amp;D528,"")&amp;IF(F528&lt;&gt;"",CHAR(10)&amp;F528,"")</f>
        <v/>
      </c>
      <c r="V528" s="38">
        <f>IF(OR(F528="просрочено",F528="сегодня",F528="укажи дату",LEFT(F528,6)="молчит"),1,0)</f>
        <v/>
      </c>
    </row>
    <row r="529" ht="24" customHeight="1">
      <c r="A529" s="38" t="n">
        <v>528</v>
      </c>
      <c r="B529" s="32" t="inlineStr">
        <is>
          <t>Альпинистский сервис пик</t>
        </is>
      </c>
      <c r="C529" s="49" t="inlineStr">
        <is>
          <t>Очередь</t>
        </is>
      </c>
      <c r="D529" s="49" t="n"/>
      <c r="E529" s="50" t="n"/>
      <c r="F529" s="51">
        <f>IF(OR(C529="",C529="Очередь",C529="Клиент",C529="Отказ",C529="Не писать"),"",IF(E529="",IF(AND(C529="Отправлено",I529&lt;&gt;"",TODAY()-INT(I529)&gt;=3),"молчит "&amp;(TODAY()-INT(I529))&amp;" дн.",IF(OR(C529="Перезвонить",C529="Созвон"),"укажи дату","")),IF(INT(E529)&lt;TODAY(),"просрочено",IF(INT(E529)=TODAY(),"сегодня",IF(INT(E529)=TODAY()+1,"завтра",TEXT(E529,"dd.mm"))))))</f>
        <v/>
      </c>
      <c r="G529" s="52" t="n"/>
      <c r="H529" s="36" t="inlineStr">
        <is>
          <t>79053026150</t>
        </is>
      </c>
      <c r="I529" s="53" t="n"/>
      <c r="J529" s="38">
        <f>IFERROR(MATCH(C529,'Справка'!$A$12:$A$21,0),99)</f>
        <v/>
      </c>
      <c r="K529" s="39">
        <f>HYPERLINK("https://wa.me/"&amp;H529&amp;"?text="&amp;ENCODEURL(T529),"✉ Написать")</f>
        <v/>
      </c>
      <c r="L529" s="39">
        <f>HYPERLINK("https://wa.me/"&amp;H529,"Открыть чат")</f>
        <v/>
      </c>
      <c r="M529" s="38" t="inlineStr">
        <is>
          <t>Самара</t>
        </is>
      </c>
      <c r="N529" s="38" t="n">
        <v>5</v>
      </c>
      <c r="O529" s="38" t="n">
        <v>2</v>
      </c>
      <c r="P529" s="38" t="inlineStr">
        <is>
          <t>www.alpservis-pik.ru</t>
        </is>
      </c>
      <c r="Q529" s="38" t="inlineStr">
        <is>
          <t>есть сайт: сначала впиши в текст, что на нём не так, WhatsApp не подтверждён</t>
        </is>
      </c>
      <c r="R529" s="38" t="n">
        <v>2</v>
      </c>
      <c r="S529" s="38" t="inlineStr">
        <is>
          <t>Самарская область</t>
        </is>
      </c>
      <c r="T529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«Альпинистский сервис пик», где это исправлено, и показать. Собрать?</t>
        </is>
      </c>
      <c r="U529" s="38">
        <f>B529&amp;IF(D529&lt;&gt;""," · "&amp;D529,"")&amp;IF(F529&lt;&gt;"",CHAR(10)&amp;F529,"")</f>
        <v/>
      </c>
      <c r="V529" s="38">
        <f>IF(OR(F529="просрочено",F529="сегодня",F529="укажи дату",LEFT(F529,6)="молчит"),1,0)</f>
        <v/>
      </c>
    </row>
    <row r="530" ht="24" customHeight="1">
      <c r="A530" s="38" t="n">
        <v>529</v>
      </c>
      <c r="B530" s="32" t="inlineStr">
        <is>
          <t>Вико</t>
        </is>
      </c>
      <c r="C530" s="49" t="inlineStr">
        <is>
          <t>Очередь</t>
        </is>
      </c>
      <c r="D530" s="49" t="n"/>
      <c r="E530" s="50" t="n"/>
      <c r="F530" s="51">
        <f>IF(OR(C530="",C530="Очередь",C530="Клиент",C530="Отказ",C530="Не писать"),"",IF(E530="",IF(AND(C530="Отправлено",I530&lt;&gt;"",TODAY()-INT(I530)&gt;=3),"молчит "&amp;(TODAY()-INT(I530))&amp;" дн.",IF(OR(C530="Перезвонить",C530="Созвон"),"укажи дату","")),IF(INT(E530)&lt;TODAY(),"просрочено",IF(INT(E530)=TODAY(),"сегодня",IF(INT(E530)=TODAY()+1,"завтра",TEXT(E530,"dd.mm"))))))</f>
        <v/>
      </c>
      <c r="G530" s="52" t="n"/>
      <c r="H530" s="36" t="inlineStr">
        <is>
          <t>79053000247</t>
        </is>
      </c>
      <c r="I530" s="53" t="n"/>
      <c r="J530" s="38">
        <f>IFERROR(MATCH(C530,'Справка'!$A$12:$A$21,0),99)</f>
        <v/>
      </c>
      <c r="K530" s="39">
        <f>HYPERLINK("https://wa.me/"&amp;H530&amp;"?text="&amp;ENCODEURL(T530),"✉ Написать")</f>
        <v/>
      </c>
      <c r="L530" s="39">
        <f>HYPERLINK("https://wa.me/"&amp;H530,"Открыть чат")</f>
        <v/>
      </c>
      <c r="M530" s="38" t="inlineStr">
        <is>
          <t>Самара</t>
        </is>
      </c>
      <c r="N530" s="38" t="n">
        <v>5</v>
      </c>
      <c r="O530" s="38" t="n">
        <v>1</v>
      </c>
      <c r="P530" s="38" t="inlineStr">
        <is>
          <t>viko-stroysmr.ru</t>
        </is>
      </c>
      <c r="Q530" s="38" t="inlineStr">
        <is>
          <t>есть сайт: сначала впиши в текст, что на нём не так, WhatsApp не подтверждён</t>
        </is>
      </c>
      <c r="R530" s="38" t="n">
        <v>2</v>
      </c>
      <c r="S530" s="38" t="inlineStr">
        <is>
          <t>Самарская область</t>
        </is>
      </c>
      <c r="T530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«Вико», где это исправлено, и показать. Собрать?</t>
        </is>
      </c>
      <c r="U530" s="38">
        <f>B530&amp;IF(D530&lt;&gt;""," · "&amp;D530,"")&amp;IF(F530&lt;&gt;"",CHAR(10)&amp;F530,"")</f>
        <v/>
      </c>
      <c r="V530" s="38">
        <f>IF(OR(F530="просрочено",F530="сегодня",F530="укажи дату",LEFT(F530,6)="молчит"),1,0)</f>
        <v/>
      </c>
    </row>
    <row r="531" ht="24" customHeight="1">
      <c r="A531" s="38" t="n">
        <v>530</v>
      </c>
      <c r="B531" s="32" t="inlineStr">
        <is>
          <t>Водосток 63</t>
        </is>
      </c>
      <c r="C531" s="49" t="inlineStr">
        <is>
          <t>Очередь</t>
        </is>
      </c>
      <c r="D531" s="49" t="n"/>
      <c r="E531" s="50" t="n"/>
      <c r="F531" s="51">
        <f>IF(OR(C531="",C531="Очередь",C531="Клиент",C531="Отказ",C531="Не писать"),"",IF(E531="",IF(AND(C531="Отправлено",I531&lt;&gt;"",TODAY()-INT(I531)&gt;=3),"молчит "&amp;(TODAY()-INT(I531))&amp;" дн.",IF(OR(C531="Перезвонить",C531="Созвон"),"укажи дату","")),IF(INT(E531)&lt;TODAY(),"просрочено",IF(INT(E531)=TODAY(),"сегодня",IF(INT(E531)=TODAY()+1,"завтра",TEXT(E531,"dd.mm"))))))</f>
        <v/>
      </c>
      <c r="G531" s="52" t="n"/>
      <c r="H531" s="36" t="inlineStr">
        <is>
          <t>79613877496</t>
        </is>
      </c>
      <c r="I531" s="53" t="n"/>
      <c r="J531" s="38">
        <f>IFERROR(MATCH(C531,'Справка'!$A$12:$A$21,0),99)</f>
        <v/>
      </c>
      <c r="K531" s="39">
        <f>HYPERLINK("https://wa.me/"&amp;H531&amp;"?text="&amp;ENCODEURL(T531),"✉ Написать")</f>
        <v/>
      </c>
      <c r="L531" s="39">
        <f>HYPERLINK("https://wa.me/"&amp;H531,"Открыть чат")</f>
        <v/>
      </c>
      <c r="M531" s="38" t="inlineStr">
        <is>
          <t>Самара</t>
        </is>
      </c>
      <c r="N531" s="38" t="n">
        <v>5</v>
      </c>
      <c r="O531" s="38" t="n">
        <v>1</v>
      </c>
      <c r="P531" s="38" t="inlineStr">
        <is>
          <t>vodostok63.ru</t>
        </is>
      </c>
      <c r="Q531" s="38" t="inlineStr">
        <is>
          <t>есть сайт: сначала впиши в текст, что на нём не так, WhatsApp не подтверждён</t>
        </is>
      </c>
      <c r="R531" s="38" t="n">
        <v>2</v>
      </c>
      <c r="S531" s="38" t="inlineStr">
        <is>
          <t>Самарская область</t>
        </is>
      </c>
      <c r="T531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«Водосток 63», где это исправлено, и показать. Собрать?</t>
        </is>
      </c>
      <c r="U531" s="38">
        <f>B531&amp;IF(D531&lt;&gt;""," · "&amp;D531,"")&amp;IF(F531&lt;&gt;"",CHAR(10)&amp;F531,"")</f>
        <v/>
      </c>
      <c r="V531" s="38">
        <f>IF(OR(F531="просрочено",F531="сегодня",F531="укажи дату",LEFT(F531,6)="молчит"),1,0)</f>
        <v/>
      </c>
    </row>
    <row r="532" ht="24" customHeight="1">
      <c r="A532" s="38" t="n">
        <v>531</v>
      </c>
      <c r="B532" s="32" t="inlineStr">
        <is>
          <t>Дом Плюс</t>
        </is>
      </c>
      <c r="C532" s="49" t="inlineStr">
        <is>
          <t>Очередь</t>
        </is>
      </c>
      <c r="D532" s="49" t="n"/>
      <c r="E532" s="50" t="n"/>
      <c r="F532" s="51">
        <f>IF(OR(C532="",C532="Очередь",C532="Клиент",C532="Отказ",C532="Не писать"),"",IF(E532="",IF(AND(C532="Отправлено",I532&lt;&gt;"",TODAY()-INT(I532)&gt;=3),"молчит "&amp;(TODAY()-INT(I532))&amp;" дн.",IF(OR(C532="Перезвонить",C532="Созвон"),"укажи дату","")),IF(INT(E532)&lt;TODAY(),"просрочено",IF(INT(E532)=TODAY(),"сегодня",IF(INT(E532)=TODAY()+1,"завтра",TEXT(E532,"dd.mm"))))))</f>
        <v/>
      </c>
      <c r="G532" s="52" t="n"/>
      <c r="H532" s="36" t="inlineStr">
        <is>
          <t>79171640564</t>
        </is>
      </c>
      <c r="I532" s="53" t="n"/>
      <c r="J532" s="38">
        <f>IFERROR(MATCH(C532,'Справка'!$A$12:$A$21,0),99)</f>
        <v/>
      </c>
      <c r="K532" s="39">
        <f>HYPERLINK("https://wa.me/"&amp;H532&amp;"?text="&amp;ENCODEURL(T532),"✉ Написать")</f>
        <v/>
      </c>
      <c r="L532" s="39">
        <f>HYPERLINK("https://wa.me/"&amp;H532,"Открыть чат")</f>
        <v/>
      </c>
      <c r="M532" s="38" t="inlineStr">
        <is>
          <t>Самара</t>
        </is>
      </c>
      <c r="N532" s="38" t="n">
        <v>5</v>
      </c>
      <c r="O532" s="38" t="n">
        <v>1</v>
      </c>
      <c r="P532" s="38" t="inlineStr">
        <is>
          <t>domplus24.ru</t>
        </is>
      </c>
      <c r="Q532" s="38" t="inlineStr">
        <is>
          <t>есть сайт: сначала впиши в текст, что на нём не так, WhatsApp не подтверждён</t>
        </is>
      </c>
      <c r="R532" s="38" t="n">
        <v>2</v>
      </c>
      <c r="S532" s="38" t="inlineStr">
        <is>
          <t>Самарская область</t>
        </is>
      </c>
      <c r="T532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«Дом Плюс», где это исправлено, и показать. Собрать?</t>
        </is>
      </c>
      <c r="U532" s="38">
        <f>B532&amp;IF(D532&lt;&gt;""," · "&amp;D532,"")&amp;IF(F532&lt;&gt;"",CHAR(10)&amp;F532,"")</f>
        <v/>
      </c>
      <c r="V532" s="38">
        <f>IF(OR(F532="просрочено",F532="сегодня",F532="укажи дату",LEFT(F532,6)="молчит"),1,0)</f>
        <v/>
      </c>
    </row>
    <row r="533" ht="24" customHeight="1">
      <c r="A533" s="38" t="n">
        <v>532</v>
      </c>
      <c r="B533" s="32" t="inlineStr">
        <is>
          <t>РСК Средняя Волга</t>
        </is>
      </c>
      <c r="C533" s="49" t="inlineStr">
        <is>
          <t>Очередь</t>
        </is>
      </c>
      <c r="D533" s="49" t="n"/>
      <c r="E533" s="50" t="n"/>
      <c r="F533" s="51">
        <f>IF(OR(C533="",C533="Очередь",C533="Клиент",C533="Отказ",C533="Не писать"),"",IF(E533="",IF(AND(C533="Отправлено",I533&lt;&gt;"",TODAY()-INT(I533)&gt;=3),"молчит "&amp;(TODAY()-INT(I533))&amp;" дн.",IF(OR(C533="Перезвонить",C533="Созвон"),"укажи дату","")),IF(INT(E533)&lt;TODAY(),"просрочено",IF(INT(E533)=TODAY(),"сегодня",IF(INT(E533)=TODAY()+1,"завтра",TEXT(E533,"dd.mm"))))))</f>
        <v/>
      </c>
      <c r="G533" s="52" t="n"/>
      <c r="H533" s="36" t="inlineStr">
        <is>
          <t>79272603202</t>
        </is>
      </c>
      <c r="I533" s="53" t="n"/>
      <c r="J533" s="38">
        <f>IFERROR(MATCH(C533,'Справка'!$A$12:$A$21,0),99)</f>
        <v/>
      </c>
      <c r="K533" s="39">
        <f>HYPERLINK("https://wa.me/"&amp;H533&amp;"?text="&amp;ENCODEURL(T533),"✉ Написать")</f>
        <v/>
      </c>
      <c r="L533" s="39">
        <f>HYPERLINK("https://wa.me/"&amp;H533,"Открыть чат")</f>
        <v/>
      </c>
      <c r="M533" s="38" t="inlineStr">
        <is>
          <t>Самара</t>
        </is>
      </c>
      <c r="N533" s="38" t="n"/>
      <c r="O533" s="38" t="n"/>
      <c r="P533" s="38" t="inlineStr">
        <is>
          <t>rsk-sv.ru</t>
        </is>
      </c>
      <c r="Q533" s="38" t="inlineStr">
        <is>
          <t>есть сайт: сначала впиши в текст, что на нём не так, WhatsApp не подтверждён</t>
        </is>
      </c>
      <c r="R533" s="38" t="n">
        <v>2</v>
      </c>
      <c r="S533" s="38" t="inlineStr">
        <is>
          <t>Самарская область</t>
        </is>
      </c>
      <c r="T533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«РСК Средняя Волга», где это исправлено, и показать. Собрать?</t>
        </is>
      </c>
      <c r="U533" s="38">
        <f>B533&amp;IF(D533&lt;&gt;""," · "&amp;D533,"")&amp;IF(F533&lt;&gt;"",CHAR(10)&amp;F533,"")</f>
        <v/>
      </c>
      <c r="V533" s="38">
        <f>IF(OR(F533="просрочено",F533="сегодня",F533="укажи дату",LEFT(F533,6)="молчит"),1,0)</f>
        <v/>
      </c>
    </row>
    <row r="534" ht="24" customHeight="1">
      <c r="A534" s="38" t="n">
        <v>533</v>
      </c>
      <c r="B534" s="32" t="inlineStr">
        <is>
          <t>Nippon ace</t>
        </is>
      </c>
      <c r="C534" s="49" t="inlineStr">
        <is>
          <t>Очередь</t>
        </is>
      </c>
      <c r="D534" s="49" t="n"/>
      <c r="E534" s="50" t="n"/>
      <c r="F534" s="51">
        <f>IF(OR(C534="",C534="Очередь",C534="Клиент",C534="Отказ",C534="Не писать"),"",IF(E534="",IF(AND(C534="Отправлено",I534&lt;&gt;"",TODAY()-INT(I534)&gt;=3),"молчит "&amp;(TODAY()-INT(I534))&amp;" дн.",IF(OR(C534="Перезвонить",C534="Созвон"),"укажи дату","")),IF(INT(E534)&lt;TODAY(),"просрочено",IF(INT(E534)=TODAY(),"сегодня",IF(INT(E534)=TODAY()+1,"завтра",TEXT(E534,"dd.mm"))))))</f>
        <v/>
      </c>
      <c r="G534" s="52" t="n"/>
      <c r="H534" s="36" t="inlineStr">
        <is>
          <t>79376566556</t>
        </is>
      </c>
      <c r="I534" s="53" t="n"/>
      <c r="J534" s="38">
        <f>IFERROR(MATCH(C534,'Справка'!$A$12:$A$21,0),99)</f>
        <v/>
      </c>
      <c r="K534" s="39">
        <f>HYPERLINK("https://wa.me/"&amp;H534&amp;"?text="&amp;ENCODEURL(T534),"✉ Написать")</f>
        <v/>
      </c>
      <c r="L534" s="39">
        <f>HYPERLINK("https://wa.me/"&amp;H534,"Открыть чат")</f>
        <v/>
      </c>
      <c r="M534" s="38" t="inlineStr">
        <is>
          <t>Самара</t>
        </is>
      </c>
      <c r="N534" s="38" t="n"/>
      <c r="O534" s="38" t="n"/>
      <c r="P534" s="38" t="inlineStr">
        <is>
          <t>nipponace.ru</t>
        </is>
      </c>
      <c r="Q534" s="38" t="inlineStr">
        <is>
          <t>есть сайт: сначала впиши в текст, что на нём не так, WhatsApp не подтверждён</t>
        </is>
      </c>
      <c r="R534" s="38" t="n">
        <v>2</v>
      </c>
      <c r="S534" s="38" t="inlineStr">
        <is>
          <t>Самарская область</t>
        </is>
      </c>
      <c r="T534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«Nippon ace», где это исправлено, и показать. Собрать?</t>
        </is>
      </c>
      <c r="U534" s="38">
        <f>B534&amp;IF(D534&lt;&gt;""," · "&amp;D534,"")&amp;IF(F534&lt;&gt;"",CHAR(10)&amp;F534,"")</f>
        <v/>
      </c>
      <c r="V534" s="38">
        <f>IF(OR(F534="просрочено",F534="сегодня",F534="укажи дату",LEFT(F534,6)="молчит"),1,0)</f>
        <v/>
      </c>
    </row>
    <row r="535" ht="24" customHeight="1">
      <c r="A535" s="38" t="n">
        <v>534</v>
      </c>
      <c r="B535" s="32" t="inlineStr">
        <is>
          <t>Надёжный дом</t>
        </is>
      </c>
      <c r="C535" s="49" t="inlineStr">
        <is>
          <t>Очередь</t>
        </is>
      </c>
      <c r="D535" s="49" t="n"/>
      <c r="E535" s="50" t="n"/>
      <c r="F535" s="51">
        <f>IF(OR(C535="",C535="Очередь",C535="Клиент",C535="Отказ",C535="Не писать"),"",IF(E535="",IF(AND(C535="Отправлено",I535&lt;&gt;"",TODAY()-INT(I535)&gt;=3),"молчит "&amp;(TODAY()-INT(I535))&amp;" дн.",IF(OR(C535="Перезвонить",C535="Созвон"),"укажи дату","")),IF(INT(E535)&lt;TODAY(),"просрочено",IF(INT(E535)=TODAY(),"сегодня",IF(INT(E535)=TODAY()+1,"завтра",TEXT(E535,"dd.mm"))))))</f>
        <v/>
      </c>
      <c r="G535" s="52" t="n"/>
      <c r="H535" s="36" t="inlineStr">
        <is>
          <t>79934621529</t>
        </is>
      </c>
      <c r="I535" s="53" t="n"/>
      <c r="J535" s="38">
        <f>IFERROR(MATCH(C535,'Справка'!$A$12:$A$21,0),99)</f>
        <v/>
      </c>
      <c r="K535" s="39">
        <f>HYPERLINK("https://wa.me/"&amp;H535&amp;"?text="&amp;ENCODEURL(T535),"✉ Написать")</f>
        <v/>
      </c>
      <c r="L535" s="39">
        <f>HYPERLINK("https://wa.me/"&amp;H535,"Открыть чат")</f>
        <v/>
      </c>
      <c r="M535" s="38" t="inlineStr">
        <is>
          <t>Самара</t>
        </is>
      </c>
      <c r="N535" s="38" t="n"/>
      <c r="O535" s="38" t="n"/>
      <c r="P535" s="38" t="inlineStr">
        <is>
          <t>ck-63.ru</t>
        </is>
      </c>
      <c r="Q535" s="38" t="inlineStr">
        <is>
          <t>есть сайт: сначала впиши в текст, что на нём не так, WhatsApp не подтверждён</t>
        </is>
      </c>
      <c r="R535" s="38" t="n">
        <v>2</v>
      </c>
      <c r="S535" s="38" t="inlineStr">
        <is>
          <t>Самарская область</t>
        </is>
      </c>
      <c r="T535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«Надёжный дом», где это исправлено, и показать. Собрать?</t>
        </is>
      </c>
      <c r="U535" s="38">
        <f>B535&amp;IF(D535&lt;&gt;""," · "&amp;D535,"")&amp;IF(F535&lt;&gt;"",CHAR(10)&amp;F535,"")</f>
        <v/>
      </c>
      <c r="V535" s="38">
        <f>IF(OR(F535="просрочено",F535="сегодня",F535="укажи дату",LEFT(F535,6)="молчит"),1,0)</f>
        <v/>
      </c>
    </row>
    <row r="536" ht="24" customHeight="1">
      <c r="A536" s="38" t="n">
        <v>535</v>
      </c>
      <c r="B536" s="32" t="inlineStr">
        <is>
          <t>Кайзер Строй</t>
        </is>
      </c>
      <c r="C536" s="49" t="inlineStr">
        <is>
          <t>Очередь</t>
        </is>
      </c>
      <c r="D536" s="49" t="n"/>
      <c r="E536" s="50" t="n"/>
      <c r="F536" s="51">
        <f>IF(OR(C536="",C536="Очередь",C536="Клиент",C536="Отказ",C536="Не писать"),"",IF(E536="",IF(AND(C536="Отправлено",I536&lt;&gt;"",TODAY()-INT(I536)&gt;=3),"молчит "&amp;(TODAY()-INT(I536))&amp;" дн.",IF(OR(C536="Перезвонить",C536="Созвон"),"укажи дату","")),IF(INT(E536)&lt;TODAY(),"просрочено",IF(INT(E536)=TODAY(),"сегодня",IF(INT(E536)=TODAY()+1,"завтра",TEXT(E536,"dd.mm"))))))</f>
        <v/>
      </c>
      <c r="G536" s="52" t="n"/>
      <c r="H536" s="36" t="inlineStr">
        <is>
          <t>79966255350</t>
        </is>
      </c>
      <c r="I536" s="53" t="n"/>
      <c r="J536" s="38">
        <f>IFERROR(MATCH(C536,'Справка'!$A$12:$A$21,0),99)</f>
        <v/>
      </c>
      <c r="K536" s="39">
        <f>HYPERLINK("https://wa.me/"&amp;H536&amp;"?text="&amp;ENCODEURL(T536),"✉ Написать")</f>
        <v/>
      </c>
      <c r="L536" s="39">
        <f>HYPERLINK("https://wa.me/"&amp;H536,"Открыть чат")</f>
        <v/>
      </c>
      <c r="M536" s="38" t="inlineStr">
        <is>
          <t>Самара</t>
        </is>
      </c>
      <c r="N536" s="38" t="n"/>
      <c r="O536" s="38" t="n"/>
      <c r="P536" s="38" t="inlineStr">
        <is>
          <t>kaiserstroi.ru</t>
        </is>
      </c>
      <c r="Q536" s="38" t="inlineStr">
        <is>
          <t>есть сайт: сначала впиши в текст, что на нём не так, WhatsApp не подтверждён</t>
        </is>
      </c>
      <c r="R536" s="38" t="n">
        <v>2</v>
      </c>
      <c r="S536" s="38" t="inlineStr">
        <is>
          <t>Самарская область</t>
        </is>
      </c>
      <c r="T536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«Кайзер Строй», где это исправлено, и показать. Собрать?</t>
        </is>
      </c>
      <c r="U536" s="38">
        <f>B536&amp;IF(D536&lt;&gt;""," · "&amp;D536,"")&amp;IF(F536&lt;&gt;"",CHAR(10)&amp;F536,"")</f>
        <v/>
      </c>
      <c r="V536" s="38">
        <f>IF(OR(F536="просрочено",F536="сегодня",F536="укажи дату",LEFT(F536,6)="молчит"),1,0)</f>
        <v/>
      </c>
    </row>
    <row r="537" ht="24" customHeight="1">
      <c r="A537" s="38" t="n">
        <v>536</v>
      </c>
      <c r="B537" s="32" t="inlineStr">
        <is>
          <t>Элиткров</t>
        </is>
      </c>
      <c r="C537" s="49" t="inlineStr">
        <is>
          <t>Очередь</t>
        </is>
      </c>
      <c r="D537" s="49" t="n"/>
      <c r="E537" s="50" t="n"/>
      <c r="F537" s="51">
        <f>IF(OR(C537="",C537="Очередь",C537="Клиент",C537="Отказ",C537="Не писать"),"",IF(E537="",IF(AND(C537="Отправлено",I537&lt;&gt;"",TODAY()-INT(I537)&gt;=3),"молчит "&amp;(TODAY()-INT(I537))&amp;" дн.",IF(OR(C537="Перезвонить",C537="Созвон"),"укажи дату","")),IF(INT(E537)&lt;TODAY(),"просрочено",IF(INT(E537)=TODAY(),"сегодня",IF(INT(E537)=TODAY()+1,"завтра",TEXT(E537,"dd.mm"))))))</f>
        <v/>
      </c>
      <c r="G537" s="52" t="n"/>
      <c r="H537" s="36" t="inlineStr">
        <is>
          <t>79376502078</t>
        </is>
      </c>
      <c r="I537" s="53" t="n"/>
      <c r="J537" s="38">
        <f>IFERROR(MATCH(C537,'Справка'!$A$12:$A$21,0),99)</f>
        <v/>
      </c>
      <c r="K537" s="39">
        <f>HYPERLINK("https://wa.me/"&amp;H537&amp;"?text="&amp;ENCODEURL(T537),"✉ Написать")</f>
        <v/>
      </c>
      <c r="L537" s="39">
        <f>HYPERLINK("https://wa.me/"&amp;H537,"Открыть чат")</f>
        <v/>
      </c>
      <c r="M537" s="38" t="inlineStr">
        <is>
          <t>Самара</t>
        </is>
      </c>
      <c r="N537" s="38" t="n"/>
      <c r="O537" s="38" t="n"/>
      <c r="P537" s="38" t="inlineStr">
        <is>
          <t>elitekrov63.ru</t>
        </is>
      </c>
      <c r="Q537" s="38" t="inlineStr">
        <is>
          <t>есть сайт: сначала впиши в текст, что на нём не так, WhatsApp не подтверждён</t>
        </is>
      </c>
      <c r="R537" s="38" t="n">
        <v>2</v>
      </c>
      <c r="S537" s="38" t="inlineStr">
        <is>
          <t>Самарская область</t>
        </is>
      </c>
      <c r="T537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«Элиткров», где это исправлено, и показать. Собрать?</t>
        </is>
      </c>
      <c r="U537" s="38">
        <f>B537&amp;IF(D537&lt;&gt;""," · "&amp;D537,"")&amp;IF(F537&lt;&gt;"",CHAR(10)&amp;F537,"")</f>
        <v/>
      </c>
      <c r="V537" s="38">
        <f>IF(OR(F537="просрочено",F537="сегодня",F537="укажи дату",LEFT(F537,6)="молчит"),1,0)</f>
        <v/>
      </c>
    </row>
    <row r="538" ht="24" customHeight="1">
      <c r="A538" s="38" t="n">
        <v>537</v>
      </c>
      <c r="B538" s="32" t="inlineStr">
        <is>
          <t>Коттедж-стройколор</t>
        </is>
      </c>
      <c r="C538" s="49" t="inlineStr">
        <is>
          <t>Очередь</t>
        </is>
      </c>
      <c r="D538" s="49" t="n"/>
      <c r="E538" s="50" t="n"/>
      <c r="F538" s="51">
        <f>IF(OR(C538="",C538="Очередь",C538="Клиент",C538="Отказ",C538="Не писать"),"",IF(E538="",IF(AND(C538="Отправлено",I538&lt;&gt;"",TODAY()-INT(I538)&gt;=3),"молчит "&amp;(TODAY()-INT(I538))&amp;" дн.",IF(OR(C538="Перезвонить",C538="Созвон"),"укажи дату","")),IF(INT(E538)&lt;TODAY(),"просрочено",IF(INT(E538)=TODAY(),"сегодня",IF(INT(E538)=TODAY()+1,"завтра",TEXT(E538,"dd.mm"))))))</f>
        <v/>
      </c>
      <c r="G538" s="52" t="n"/>
      <c r="H538" s="36" t="inlineStr">
        <is>
          <t>79170361888</t>
        </is>
      </c>
      <c r="I538" s="53" t="n"/>
      <c r="J538" s="38">
        <f>IFERROR(MATCH(C538,'Справка'!$A$12:$A$21,0),99)</f>
        <v/>
      </c>
      <c r="K538" s="39">
        <f>HYPERLINK("https://wa.me/"&amp;H538&amp;"?text="&amp;ENCODEURL(T538),"✉ Написать")</f>
        <v/>
      </c>
      <c r="L538" s="39">
        <f>HYPERLINK("https://wa.me/"&amp;H538,"Открыть чат")</f>
        <v/>
      </c>
      <c r="M538" s="38" t="inlineStr">
        <is>
          <t>Самара</t>
        </is>
      </c>
      <c r="N538" s="38" t="n"/>
      <c r="O538" s="38" t="n"/>
      <c r="P538" s="38" t="inlineStr">
        <is>
          <t>коттеджстройколор.рф</t>
        </is>
      </c>
      <c r="Q538" s="38" t="inlineStr">
        <is>
          <t>есть сайт: сначала впиши в текст, что на нём не так, WhatsApp не подтверждён</t>
        </is>
      </c>
      <c r="R538" s="38" t="n">
        <v>2</v>
      </c>
      <c r="S538" s="38" t="inlineStr">
        <is>
          <t>Самарская область</t>
        </is>
      </c>
      <c r="T538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«Коттедж-стройколор», где это исправлено, и показать. Собрать?</t>
        </is>
      </c>
      <c r="U538" s="38">
        <f>B538&amp;IF(D538&lt;&gt;""," · "&amp;D538,"")&amp;IF(F538&lt;&gt;"",CHAR(10)&amp;F538,"")</f>
        <v/>
      </c>
      <c r="V538" s="38">
        <f>IF(OR(F538="просрочено",F538="сегодня",F538="укажи дату",LEFT(F538,6)="молчит"),1,0)</f>
        <v/>
      </c>
    </row>
    <row r="539" ht="24" customHeight="1">
      <c r="A539" s="38" t="n">
        <v>538</v>
      </c>
      <c r="B539" s="32" t="inlineStr">
        <is>
          <t>ЭлитМастерс</t>
        </is>
      </c>
      <c r="C539" s="49" t="inlineStr">
        <is>
          <t>Очередь</t>
        </is>
      </c>
      <c r="D539" s="49" t="n"/>
      <c r="E539" s="50" t="n"/>
      <c r="F539" s="51">
        <f>IF(OR(C539="",C539="Очередь",C539="Клиент",C539="Отказ",C539="Не писать"),"",IF(E539="",IF(AND(C539="Отправлено",I539&lt;&gt;"",TODAY()-INT(I539)&gt;=3),"молчит "&amp;(TODAY()-INT(I539))&amp;" дн.",IF(OR(C539="Перезвонить",C539="Созвон"),"укажи дату","")),IF(INT(E539)&lt;TODAY(),"просрочено",IF(INT(E539)=TODAY(),"сегодня",IF(INT(E539)=TODAY()+1,"завтра",TEXT(E539,"dd.mm"))))))</f>
        <v/>
      </c>
      <c r="G539" s="52" t="n"/>
      <c r="H539" s="36" t="inlineStr">
        <is>
          <t>79956641635</t>
        </is>
      </c>
      <c r="I539" s="53" t="n"/>
      <c r="J539" s="38">
        <f>IFERROR(MATCH(C539,'Справка'!$A$12:$A$21,0),99)</f>
        <v/>
      </c>
      <c r="K539" s="39">
        <f>HYPERLINK("https://wa.me/"&amp;H539&amp;"?text="&amp;ENCODEURL(T539),"✉ Написать")</f>
        <v/>
      </c>
      <c r="L539" s="39">
        <f>HYPERLINK("https://wa.me/"&amp;H539,"Открыть чат")</f>
        <v/>
      </c>
      <c r="M539" s="38" t="inlineStr">
        <is>
          <t>Самара</t>
        </is>
      </c>
      <c r="N539" s="38" t="n"/>
      <c r="O539" s="38" t="n"/>
      <c r="P539" s="38" t="inlineStr">
        <is>
          <t>elit-naves.ru</t>
        </is>
      </c>
      <c r="Q539" s="38" t="inlineStr">
        <is>
          <t>есть сайт: сначала впиши в текст, что на нём не так, WhatsApp не подтверждён</t>
        </is>
      </c>
      <c r="R539" s="38" t="n">
        <v>2</v>
      </c>
      <c r="S539" s="38" t="inlineStr">
        <is>
          <t>Самарская область</t>
        </is>
      </c>
      <c r="T539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«ЭлитМастерс», где это исправлено, и показать. Собрать?</t>
        </is>
      </c>
      <c r="U539" s="38">
        <f>B539&amp;IF(D539&lt;&gt;""," · "&amp;D539,"")&amp;IF(F539&lt;&gt;"",CHAR(10)&amp;F539,"")</f>
        <v/>
      </c>
      <c r="V539" s="38">
        <f>IF(OR(F539="просрочено",F539="сегодня",F539="укажи дату",LEFT(F539,6)="молчит"),1,0)</f>
        <v/>
      </c>
    </row>
    <row r="540" ht="24" customHeight="1">
      <c r="A540" s="38" t="n">
        <v>539</v>
      </c>
      <c r="B540" s="32" t="inlineStr">
        <is>
          <t>Dream House</t>
        </is>
      </c>
      <c r="C540" s="49" t="inlineStr">
        <is>
          <t>Очередь</t>
        </is>
      </c>
      <c r="D540" s="49" t="n"/>
      <c r="E540" s="50" t="n"/>
      <c r="F540" s="51">
        <f>IF(OR(C540="",C540="Очередь",C540="Клиент",C540="Отказ",C540="Не писать"),"",IF(E540="",IF(AND(C540="Отправлено",I540&lt;&gt;"",TODAY()-INT(I540)&gt;=3),"молчит "&amp;(TODAY()-INT(I540))&amp;" дн.",IF(OR(C540="Перезвонить",C540="Созвон"),"укажи дату","")),IF(INT(E540)&lt;TODAY(),"просрочено",IF(INT(E540)=TODAY(),"сегодня",IF(INT(E540)=TODAY()+1,"завтра",TEXT(E540,"dd.mm"))))))</f>
        <v/>
      </c>
      <c r="G540" s="52" t="n"/>
      <c r="H540" s="36" t="inlineStr">
        <is>
          <t>79278910080</t>
        </is>
      </c>
      <c r="I540" s="53" t="n"/>
      <c r="J540" s="38">
        <f>IFERROR(MATCH(C540,'Справка'!$A$12:$A$21,0),99)</f>
        <v/>
      </c>
      <c r="K540" s="39">
        <f>HYPERLINK("https://wa.me/"&amp;H540&amp;"?text="&amp;ENCODEURL(T540),"✉ Написать")</f>
        <v/>
      </c>
      <c r="L540" s="39">
        <f>HYPERLINK("https://wa.me/"&amp;H540,"Открыть чат")</f>
        <v/>
      </c>
      <c r="M540" s="38" t="inlineStr">
        <is>
          <t>Самара</t>
        </is>
      </c>
      <c r="N540" s="38" t="n"/>
      <c r="O540" s="38" t="n"/>
      <c r="P540" s="38" t="inlineStr">
        <is>
          <t>www.dreamhouse63.ru</t>
        </is>
      </c>
      <c r="Q540" s="38" t="inlineStr">
        <is>
          <t>есть сайт: сначала впиши в текст, что на нём не так, WhatsApp не подтверждён</t>
        </is>
      </c>
      <c r="R540" s="38" t="n">
        <v>2</v>
      </c>
      <c r="S540" s="38" t="inlineStr">
        <is>
          <t>Самарская область</t>
        </is>
      </c>
      <c r="T540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«Dream House», где это исправлено, и показать. Собрать?</t>
        </is>
      </c>
      <c r="U540" s="38">
        <f>B540&amp;IF(D540&lt;&gt;""," · "&amp;D540,"")&amp;IF(F540&lt;&gt;"",CHAR(10)&amp;F540,"")</f>
        <v/>
      </c>
      <c r="V540" s="38">
        <f>IF(OR(F540="просрочено",F540="сегодня",F540="укажи дату",LEFT(F540,6)="молчит"),1,0)</f>
        <v/>
      </c>
    </row>
    <row r="541" ht="24" customHeight="1">
      <c r="A541" s="38" t="n">
        <v>540</v>
      </c>
      <c r="B541" s="32" t="inlineStr">
        <is>
          <t>Стройград</t>
        </is>
      </c>
      <c r="C541" s="49" t="inlineStr">
        <is>
          <t>Очередь</t>
        </is>
      </c>
      <c r="D541" s="49" t="n"/>
      <c r="E541" s="50" t="n"/>
      <c r="F541" s="51">
        <f>IF(OR(C541="",C541="Очередь",C541="Клиент",C541="Отказ",C541="Не писать"),"",IF(E541="",IF(AND(C541="Отправлено",I541&lt;&gt;"",TODAY()-INT(I541)&gt;=3),"молчит "&amp;(TODAY()-INT(I541))&amp;" дн.",IF(OR(C541="Перезвонить",C541="Созвон"),"укажи дату","")),IF(INT(E541)&lt;TODAY(),"просрочено",IF(INT(E541)=TODAY(),"сегодня",IF(INT(E541)=TODAY()+1,"завтра",TEXT(E541,"dd.mm"))))))</f>
        <v/>
      </c>
      <c r="G541" s="52" t="n"/>
      <c r="H541" s="36" t="inlineStr">
        <is>
          <t>79272037373</t>
        </is>
      </c>
      <c r="I541" s="53" t="n"/>
      <c r="J541" s="38">
        <f>IFERROR(MATCH(C541,'Справка'!$A$12:$A$21,0),99)</f>
        <v/>
      </c>
      <c r="K541" s="39">
        <f>HYPERLINK("https://wa.me/"&amp;H541&amp;"?text="&amp;ENCODEURL(T541),"✉ Написать")</f>
        <v/>
      </c>
      <c r="L541" s="39">
        <f>HYPERLINK("https://wa.me/"&amp;H541,"Открыть чат")</f>
        <v/>
      </c>
      <c r="M541" s="38" t="inlineStr">
        <is>
          <t>Самара</t>
        </is>
      </c>
      <c r="N541" s="38" t="n"/>
      <c r="O541" s="38" t="n"/>
      <c r="P541" s="38" t="inlineStr">
        <is>
          <t>Перейти в Telegram-канал</t>
        </is>
      </c>
      <c r="Q541" s="38" t="inlineStr">
        <is>
          <t>есть сайт: сначала впиши в текст, что на нём не так, WhatsApp не подтверждён</t>
        </is>
      </c>
      <c r="R541" s="38" t="n">
        <v>2</v>
      </c>
      <c r="S541" s="38" t="inlineStr">
        <is>
          <t>Самарская область</t>
        </is>
      </c>
      <c r="T541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«Стройград», где это исправлено, и показать. Собрать?</t>
        </is>
      </c>
      <c r="U541" s="38">
        <f>B541&amp;IF(D541&lt;&gt;""," · "&amp;D541,"")&amp;IF(F541&lt;&gt;"",CHAR(10)&amp;F541,"")</f>
        <v/>
      </c>
      <c r="V541" s="38">
        <f>IF(OR(F541="просрочено",F541="сегодня",F541="укажи дату",LEFT(F541,6)="молчит"),1,0)</f>
        <v/>
      </c>
    </row>
    <row r="542" ht="24" customHeight="1">
      <c r="A542" s="38" t="n">
        <v>541</v>
      </c>
      <c r="B542" s="32" t="inlineStr">
        <is>
          <t>Югкомсервис</t>
        </is>
      </c>
      <c r="C542" s="49" t="inlineStr">
        <is>
          <t>Очередь</t>
        </is>
      </c>
      <c r="D542" s="49" t="n"/>
      <c r="E542" s="50" t="n"/>
      <c r="F542" s="51">
        <f>IF(OR(C542="",C542="Очередь",C542="Клиент",C542="Отказ",C542="Не писать"),"",IF(E542="",IF(AND(C542="Отправлено",I542&lt;&gt;"",TODAY()-INT(I542)&gt;=3),"молчит "&amp;(TODAY()-INT(I542))&amp;" дн.",IF(OR(C542="Перезвонить",C542="Созвон"),"укажи дату","")),IF(INT(E542)&lt;TODAY(),"просрочено",IF(INT(E542)=TODAY(),"сегодня",IF(INT(E542)=TODAY()+1,"завтра",TEXT(E542,"dd.mm"))))))</f>
        <v/>
      </c>
      <c r="G542" s="52" t="n"/>
      <c r="H542" s="36" t="inlineStr">
        <is>
          <t>79283020074</t>
        </is>
      </c>
      <c r="I542" s="53" t="n"/>
      <c r="J542" s="38">
        <f>IFERROR(MATCH(C542,'Справка'!$A$12:$A$21,0),99)</f>
        <v/>
      </c>
      <c r="K542" s="39">
        <f>HYPERLINK("https://wa.me/"&amp;H542&amp;"?text="&amp;ENCODEURL(T542),"✉ Написать")</f>
        <v/>
      </c>
      <c r="L542" s="39">
        <f>HYPERLINK("https://wa.me/"&amp;H542,"Открыть чат")</f>
        <v/>
      </c>
      <c r="M542" s="38" t="inlineStr">
        <is>
          <t>Ставрополь</t>
        </is>
      </c>
      <c r="N542" s="38" t="n"/>
      <c r="O542" s="38" t="n"/>
      <c r="P542" s="38" t="inlineStr">
        <is>
          <t>metalltorg.tb.ru</t>
        </is>
      </c>
      <c r="Q542" s="38" t="inlineStr">
        <is>
          <t>есть сайт: сначала впиши в текст, что на нём не так, WhatsApp не подтверждён</t>
        </is>
      </c>
      <c r="R542" s="38" t="n">
        <v>2</v>
      </c>
      <c r="S542" s="38" t="inlineStr">
        <is>
          <t>Ставропольский край</t>
        </is>
      </c>
      <c r="T542" s="38" t="inlineStr">
        <is>
          <t>Здравствуйте! Смотрел в 2ГИС кровельные компании в Ставрополе, зашёл на ваш сайт с телефона: [ЧТО НЕ ТАК НА САЙТЕ].
Могу за вечер собрать вариант под «Югкомсервис», где это исправлено, и показать. Собрать?</t>
        </is>
      </c>
      <c r="U542" s="38">
        <f>B542&amp;IF(D542&lt;&gt;""," · "&amp;D542,"")&amp;IF(F542&lt;&gt;"",CHAR(10)&amp;F542,"")</f>
        <v/>
      </c>
      <c r="V542" s="38">
        <f>IF(OR(F542="просрочено",F542="сегодня",F542="укажи дату",LEFT(F542,6)="молчит"),1,0)</f>
        <v/>
      </c>
    </row>
    <row r="543" ht="24" customHeight="1">
      <c r="A543" s="38" t="n">
        <v>542</v>
      </c>
      <c r="B543" s="32" t="inlineStr">
        <is>
          <t>Памир</t>
        </is>
      </c>
      <c r="C543" s="49" t="inlineStr">
        <is>
          <t>Очередь</t>
        </is>
      </c>
      <c r="D543" s="49" t="n"/>
      <c r="E543" s="50" t="n"/>
      <c r="F543" s="51">
        <f>IF(OR(C543="",C543="Очередь",C543="Клиент",C543="Отказ",C543="Не писать"),"",IF(E543="",IF(AND(C543="Отправлено",I543&lt;&gt;"",TODAY()-INT(I543)&gt;=3),"молчит "&amp;(TODAY()-INT(I543))&amp;" дн.",IF(OR(C543="Перезвонить",C543="Созвон"),"укажи дату","")),IF(INT(E543)&lt;TODAY(),"просрочено",IF(INT(E543)=TODAY(),"сегодня",IF(INT(E543)=TODAY()+1,"завтра",TEXT(E543,"dd.mm"))))))</f>
        <v/>
      </c>
      <c r="G543" s="52" t="n"/>
      <c r="H543" s="36" t="inlineStr">
        <is>
          <t>79620239006</t>
        </is>
      </c>
      <c r="I543" s="53" t="n"/>
      <c r="J543" s="38">
        <f>IFERROR(MATCH(C543,'Справка'!$A$12:$A$21,0),99)</f>
        <v/>
      </c>
      <c r="K543" s="39">
        <f>HYPERLINK("https://wa.me/"&amp;H543&amp;"?text="&amp;ENCODEURL(T543),"✉ Написать")</f>
        <v/>
      </c>
      <c r="L543" s="39">
        <f>HYPERLINK("https://wa.me/"&amp;H543,"Открыть чат")</f>
        <v/>
      </c>
      <c r="M543" s="38" t="inlineStr">
        <is>
          <t>Изобильный</t>
        </is>
      </c>
      <c r="N543" s="38" t="n"/>
      <c r="O543" s="38" t="n"/>
      <c r="P543" s="38" t="inlineStr">
        <is>
          <t>kanadskyi-dom.ru</t>
        </is>
      </c>
      <c r="Q543" s="38" t="inlineStr">
        <is>
          <t>есть сайт: сначала впиши в текст, что на нём не так, WhatsApp не подтверждён</t>
        </is>
      </c>
      <c r="R543" s="38" t="n">
        <v>2</v>
      </c>
      <c r="S543" s="38" t="inlineStr">
        <is>
          <t>Ставропольский край</t>
        </is>
      </c>
      <c r="T543" s="38" t="inlineStr">
        <is>
          <t>Здравствуйте! Смотрел в 2ГИС кровельные компании в Изобильном, зашёл на ваш сайт с телефона: [ЧТО НЕ ТАК НА САЙТЕ].
Могу за вечер собрать вариант под «Памир», где это исправлено, и показать. Собрать?</t>
        </is>
      </c>
      <c r="U543" s="38">
        <f>B543&amp;IF(D543&lt;&gt;""," · "&amp;D543,"")&amp;IF(F543&lt;&gt;"",CHAR(10)&amp;F543,"")</f>
        <v/>
      </c>
      <c r="V543" s="38">
        <f>IF(OR(F543="просрочено",F543="сегодня",F543="укажи дату",LEFT(F543,6)="молчит"),1,0)</f>
        <v/>
      </c>
    </row>
    <row r="544" ht="24" customHeight="1">
      <c r="A544" s="38" t="n">
        <v>543</v>
      </c>
      <c r="B544" s="32" t="inlineStr">
        <is>
          <t>Памир</t>
        </is>
      </c>
      <c r="C544" s="49" t="inlineStr">
        <is>
          <t>Очередь</t>
        </is>
      </c>
      <c r="D544" s="49" t="n"/>
      <c r="E544" s="50" t="n"/>
      <c r="F544" s="51">
        <f>IF(OR(C544="",C544="Очередь",C544="Клиент",C544="Отказ",C544="Не писать"),"",IF(E544="",IF(AND(C544="Отправлено",I544&lt;&gt;"",TODAY()-INT(I544)&gt;=3),"молчит "&amp;(TODAY()-INT(I544))&amp;" дн.",IF(OR(C544="Перезвонить",C544="Созвон"),"укажи дату","")),IF(INT(E544)&lt;TODAY(),"просрочено",IF(INT(E544)=TODAY(),"сегодня",IF(INT(E544)=TODAY()+1,"завтра",TEXT(E544,"dd.mm"))))))</f>
        <v/>
      </c>
      <c r="G544" s="52" t="n"/>
      <c r="H544" s="36" t="inlineStr">
        <is>
          <t>79188026111</t>
        </is>
      </c>
      <c r="I544" s="53" t="n"/>
      <c r="J544" s="38">
        <f>IFERROR(MATCH(C544,'Справка'!$A$12:$A$21,0),99)</f>
        <v/>
      </c>
      <c r="K544" s="39">
        <f>HYPERLINK("https://wa.me/"&amp;H544&amp;"?text="&amp;ENCODEURL(T544),"✉ Написать")</f>
        <v/>
      </c>
      <c r="L544" s="39">
        <f>HYPERLINK("https://wa.me/"&amp;H544,"Открыть чат")</f>
        <v/>
      </c>
      <c r="M544" s="38" t="inlineStr">
        <is>
          <t>Изобильный</t>
        </is>
      </c>
      <c r="N544" s="38" t="n"/>
      <c r="O544" s="38" t="n"/>
      <c r="P544" s="38" t="inlineStr">
        <is>
          <t>kanadskyi-dom.ru</t>
        </is>
      </c>
      <c r="Q544" s="38" t="inlineStr">
        <is>
          <t>есть сайт: сначала впиши в текст, что на нём не так, WhatsApp не подтверждён</t>
        </is>
      </c>
      <c r="R544" s="38" t="n">
        <v>2</v>
      </c>
      <c r="S544" s="38" t="inlineStr">
        <is>
          <t>Ставропольский край</t>
        </is>
      </c>
      <c r="T544" s="38" t="inlineStr">
        <is>
          <t>Здравствуйте! Смотрел в 2ГИС кровельные компании в Изобильном, зашёл на ваш сайт с телефона: [ЧТО НЕ ТАК НА САЙТЕ].
Могу за вечер собрать вариант под «Памир», где это исправлено, и показать. Собрать?</t>
        </is>
      </c>
      <c r="U544" s="38">
        <f>B544&amp;IF(D544&lt;&gt;""," · "&amp;D544,"")&amp;IF(F544&lt;&gt;"",CHAR(10)&amp;F544,"")</f>
        <v/>
      </c>
      <c r="V544" s="38">
        <f>IF(OR(F544="просрочено",F544="сегодня",F544="укажи дату",LEFT(F544,6)="молчит"),1,0)</f>
        <v/>
      </c>
    </row>
    <row r="545" ht="24" customHeight="1">
      <c r="A545" s="38" t="n">
        <v>544</v>
      </c>
      <c r="B545" s="32" t="inlineStr">
        <is>
          <t>Мастер дом 36</t>
        </is>
      </c>
      <c r="C545" s="49" t="inlineStr">
        <is>
          <t>Очередь</t>
        </is>
      </c>
      <c r="D545" s="49" t="n"/>
      <c r="E545" s="50" t="n"/>
      <c r="F545" s="51">
        <f>IF(OR(C545="",C545="Очередь",C545="Клиент",C545="Отказ",C545="Не писать"),"",IF(E545="",IF(AND(C545="Отправлено",I545&lt;&gt;"",TODAY()-INT(I545)&gt;=3),"молчит "&amp;(TODAY()-INT(I545))&amp;" дн.",IF(OR(C545="Перезвонить",C545="Созвон"),"укажи дату","")),IF(INT(E545)&lt;TODAY(),"просрочено",IF(INT(E545)=TODAY(),"сегодня",IF(INT(E545)=TODAY()+1,"завтра",TEXT(E545,"dd.mm"))))))</f>
        <v/>
      </c>
      <c r="G545" s="52" t="n"/>
      <c r="H545" s="36" t="inlineStr">
        <is>
          <t>79529582116</t>
        </is>
      </c>
      <c r="I545" s="53" t="n"/>
      <c r="J545" s="38">
        <f>IFERROR(MATCH(C545,'Справка'!$A$12:$A$21,0),99)</f>
        <v/>
      </c>
      <c r="K545" s="39">
        <f>HYPERLINK("https://wa.me/"&amp;H545&amp;"?text="&amp;ENCODEURL(T545),"✉ Написать")</f>
        <v/>
      </c>
      <c r="L545" s="39">
        <f>HYPERLINK("https://wa.me/"&amp;H545,"Открыть чат")</f>
        <v/>
      </c>
      <c r="M545" s="38" t="inlineStr">
        <is>
          <t>Воронеж</t>
        </is>
      </c>
      <c r="N545" s="38" t="n">
        <v>5</v>
      </c>
      <c r="O545" s="38" t="n">
        <v>162</v>
      </c>
      <c r="P545" s="38" t="inlineStr">
        <is>
          <t>мастер-дом36.рф</t>
        </is>
      </c>
      <c r="Q545" s="38" t="inlineStr">
        <is>
          <t>есть сайт: сначала впиши в текст, что на нём не так</t>
        </is>
      </c>
      <c r="R545" s="38" t="n">
        <v>2</v>
      </c>
      <c r="S545" s="38" t="inlineStr">
        <is>
          <t>Воронежская область</t>
        </is>
      </c>
      <c r="T545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«Мастер дом 36», где это исправлено, и показать. Собрать?</t>
        </is>
      </c>
      <c r="U545" s="38">
        <f>B545&amp;IF(D545&lt;&gt;""," · "&amp;D545,"")&amp;IF(F545&lt;&gt;"",CHAR(10)&amp;F545,"")</f>
        <v/>
      </c>
      <c r="V545" s="38">
        <f>IF(OR(F545="просрочено",F545="сегодня",F545="укажи дату",LEFT(F545,6)="молчит"),1,0)</f>
        <v/>
      </c>
    </row>
    <row r="546" ht="24" customHeight="1">
      <c r="A546" s="38" t="n">
        <v>545</v>
      </c>
      <c r="B546" s="32" t="inlineStr">
        <is>
          <t>Строительная компания Древо</t>
        </is>
      </c>
      <c r="C546" s="49" t="inlineStr">
        <is>
          <t>Очередь</t>
        </is>
      </c>
      <c r="D546" s="49" t="n"/>
      <c r="E546" s="50" t="n"/>
      <c r="F546" s="51">
        <f>IF(OR(C546="",C546="Очередь",C546="Клиент",C546="Отказ",C546="Не писать"),"",IF(E546="",IF(AND(C546="Отправлено",I546&lt;&gt;"",TODAY()-INT(I546)&gt;=3),"молчит "&amp;(TODAY()-INT(I546))&amp;" дн.",IF(OR(C546="Перезвонить",C546="Созвон"),"укажи дату","")),IF(INT(E546)&lt;TODAY(),"просрочено",IF(INT(E546)=TODAY(),"сегодня",IF(INT(E546)=TODAY()+1,"завтра",TEXT(E546,"dd.mm"))))))</f>
        <v/>
      </c>
      <c r="G546" s="52" t="n"/>
      <c r="H546" s="36" t="inlineStr">
        <is>
          <t>79527836469</t>
        </is>
      </c>
      <c r="I546" s="53" t="n"/>
      <c r="J546" s="38">
        <f>IFERROR(MATCH(C546,'Справка'!$A$12:$A$21,0),99)</f>
        <v/>
      </c>
      <c r="K546" s="39">
        <f>HYPERLINK("https://wa.me/"&amp;H546&amp;"?text="&amp;ENCODEURL(T546),"✉ Написать")</f>
        <v/>
      </c>
      <c r="L546" s="39">
        <f>HYPERLINK("https://wa.me/"&amp;H546,"Открыть чат")</f>
        <v/>
      </c>
      <c r="M546" s="38" t="inlineStr">
        <is>
          <t>Нижний Новгород</t>
        </is>
      </c>
      <c r="N546" s="38" t="n">
        <v>4.9</v>
      </c>
      <c r="O546" s="38" t="n">
        <v>76</v>
      </c>
      <c r="P546" s="38" t="inlineStr">
        <is>
          <t>skdrevo.ru</t>
        </is>
      </c>
      <c r="Q546" s="38" t="inlineStr">
        <is>
          <t>есть сайт: сначала впиши в текст, что на нём не так</t>
        </is>
      </c>
      <c r="R546" s="38" t="n">
        <v>2</v>
      </c>
      <c r="S546" s="38" t="inlineStr">
        <is>
          <t>Нижегородская область</t>
        </is>
      </c>
      <c r="T546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«Строительная компания Древо», где это исправлено, и показать. Собрать?</t>
        </is>
      </c>
      <c r="U546" s="38">
        <f>B546&amp;IF(D546&lt;&gt;""," · "&amp;D546,"")&amp;IF(F546&lt;&gt;"",CHAR(10)&amp;F546,"")</f>
        <v/>
      </c>
      <c r="V546" s="38">
        <f>IF(OR(F546="просрочено",F546="сегодня",F546="укажи дату",LEFT(F546,6)="молчит"),1,0)</f>
        <v/>
      </c>
    </row>
    <row r="547" ht="24" customHeight="1">
      <c r="A547" s="38" t="n">
        <v>546</v>
      </c>
      <c r="B547" s="32" t="inlineStr">
        <is>
          <t>Строим дом мечты</t>
        </is>
      </c>
      <c r="C547" s="49" t="inlineStr">
        <is>
          <t>Очередь</t>
        </is>
      </c>
      <c r="D547" s="49" t="n"/>
      <c r="E547" s="50" t="n"/>
      <c r="F547" s="51">
        <f>IF(OR(C547="",C547="Очередь",C547="Клиент",C547="Отказ",C547="Не писать"),"",IF(E547="",IF(AND(C547="Отправлено",I547&lt;&gt;"",TODAY()-INT(I547)&gt;=3),"молчит "&amp;(TODAY()-INT(I547))&amp;" дн.",IF(OR(C547="Перезвонить",C547="Созвон"),"укажи дату","")),IF(INT(E547)&lt;TODAY(),"просрочено",IF(INT(E547)=TODAY(),"сегодня",IF(INT(E547)=TODAY()+1,"завтра",TEXT(E547,"dd.mm"))))))</f>
        <v/>
      </c>
      <c r="G547" s="52" t="n"/>
      <c r="H547" s="36" t="inlineStr">
        <is>
          <t>79872988695</t>
        </is>
      </c>
      <c r="I547" s="53" t="n"/>
      <c r="J547" s="38">
        <f>IFERROR(MATCH(C547,'Справка'!$A$12:$A$21,0),99)</f>
        <v/>
      </c>
      <c r="K547" s="39">
        <f>HYPERLINK("https://wa.me/"&amp;H547&amp;"?text="&amp;ENCODEURL(T547),"✉ Написать")</f>
        <v/>
      </c>
      <c r="L547" s="39">
        <f>HYPERLINK("https://wa.me/"&amp;H547,"Открыть чат")</f>
        <v/>
      </c>
      <c r="M547" s="38" t="inlineStr">
        <is>
          <t>Казань</t>
        </is>
      </c>
      <c r="N547" s="38" t="n">
        <v>5</v>
      </c>
      <c r="O547" s="38" t="n">
        <v>170</v>
      </c>
      <c r="P547" s="38" t="inlineStr">
        <is>
          <t>sdmkarkas.ru</t>
        </is>
      </c>
      <c r="Q547" s="38" t="inlineStr">
        <is>
          <t>есть сайт: сначала впиши в текст, что на нём не так</t>
        </is>
      </c>
      <c r="R547" s="38" t="n">
        <v>2</v>
      </c>
      <c r="S547" s="38" t="inlineStr">
        <is>
          <t>Республика Татарстан</t>
        </is>
      </c>
      <c r="T547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«Строим дом мечты», где это исправлено, и показать. Собрать?</t>
        </is>
      </c>
      <c r="U547" s="38">
        <f>B547&amp;IF(D547&lt;&gt;""," · "&amp;D547,"")&amp;IF(F547&lt;&gt;"",CHAR(10)&amp;F547,"")</f>
        <v/>
      </c>
      <c r="V547" s="38">
        <f>IF(OR(F547="просрочено",F547="сегодня",F547="укажи дату",LEFT(F547,6)="молчит"),1,0)</f>
        <v/>
      </c>
    </row>
    <row r="548" ht="24" customHeight="1">
      <c r="A548" s="38" t="n">
        <v>547</v>
      </c>
      <c r="B548" s="32" t="inlineStr">
        <is>
          <t>Арлана</t>
        </is>
      </c>
      <c r="C548" s="49" t="inlineStr">
        <is>
          <t>Очередь</t>
        </is>
      </c>
      <c r="D548" s="49" t="n"/>
      <c r="E548" s="50" t="n"/>
      <c r="F548" s="51">
        <f>IF(OR(C548="",C548="Очередь",C548="Клиент",C548="Отказ",C548="Не писать"),"",IF(E548="",IF(AND(C548="Отправлено",I548&lt;&gt;"",TODAY()-INT(I548)&gt;=3),"молчит "&amp;(TODAY()-INT(I548))&amp;" дн.",IF(OR(C548="Перезвонить",C548="Созвон"),"укажи дату","")),IF(INT(E548)&lt;TODAY(),"просрочено",IF(INT(E548)=TODAY(),"сегодня",IF(INT(E548)=TODAY()+1,"завтра",TEXT(E548,"dd.mm"))))))</f>
        <v/>
      </c>
      <c r="G548" s="52" t="n"/>
      <c r="H548" s="36" t="inlineStr">
        <is>
          <t>79662505255</t>
        </is>
      </c>
      <c r="I548" s="53" t="n"/>
      <c r="J548" s="38">
        <f>IFERROR(MATCH(C548,'Справка'!$A$12:$A$21,0),99)</f>
        <v/>
      </c>
      <c r="K548" s="39">
        <f>HYPERLINK("https://wa.me/"&amp;H548&amp;"?text="&amp;ENCODEURL(T548),"✉ Написать")</f>
        <v/>
      </c>
      <c r="L548" s="39">
        <f>HYPERLINK("https://wa.me/"&amp;H548,"Открыть чат")</f>
        <v/>
      </c>
      <c r="M548" s="38" t="inlineStr">
        <is>
          <t>Казань</t>
        </is>
      </c>
      <c r="N548" s="38" t="n">
        <v>5</v>
      </c>
      <c r="O548" s="38" t="n">
        <v>39</v>
      </c>
      <c r="P548" s="38" t="inlineStr">
        <is>
          <t>арлана.рф</t>
        </is>
      </c>
      <c r="Q548" s="38" t="inlineStr">
        <is>
          <t>есть сайт: сначала впиши в текст, что на нём не так</t>
        </is>
      </c>
      <c r="R548" s="38" t="n">
        <v>2</v>
      </c>
      <c r="S548" s="38" t="inlineStr">
        <is>
          <t>Республика Татарстан</t>
        </is>
      </c>
      <c r="T548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«Арлана», где это исправлено, и показать. Собрать?</t>
        </is>
      </c>
      <c r="U548" s="38">
        <f>B548&amp;IF(D548&lt;&gt;""," · "&amp;D548,"")&amp;IF(F548&lt;&gt;"",CHAR(10)&amp;F548,"")</f>
        <v/>
      </c>
      <c r="V548" s="38">
        <f>IF(OR(F548="просрочено",F548="сегодня",F548="укажи дату",LEFT(F548,6)="молчит"),1,0)</f>
        <v/>
      </c>
    </row>
    <row r="549" ht="24" customHeight="1">
      <c r="A549" s="38" t="n">
        <v>548</v>
      </c>
      <c r="B549" s="32" t="inlineStr">
        <is>
          <t>ТермоХаус</t>
        </is>
      </c>
      <c r="C549" s="49" t="inlineStr">
        <is>
          <t>Очередь</t>
        </is>
      </c>
      <c r="D549" s="49" t="n"/>
      <c r="E549" s="50" t="n"/>
      <c r="F549" s="51">
        <f>IF(OR(C549="",C549="Очередь",C549="Клиент",C549="Отказ",C549="Не писать"),"",IF(E549="",IF(AND(C549="Отправлено",I549&lt;&gt;"",TODAY()-INT(I549)&gt;=3),"молчит "&amp;(TODAY()-INT(I549))&amp;" дн.",IF(OR(C549="Перезвонить",C549="Созвон"),"укажи дату","")),IF(INT(E549)&lt;TODAY(),"просрочено",IF(INT(E549)=TODAY(),"сегодня",IF(INT(E549)=TODAY()+1,"завтра",TEXT(E549,"dd.mm"))))))</f>
        <v/>
      </c>
      <c r="G549" s="52" t="n"/>
      <c r="H549" s="36" t="inlineStr">
        <is>
          <t>79600806086</t>
        </is>
      </c>
      <c r="I549" s="53" t="n"/>
      <c r="J549" s="38">
        <f>IFERROR(MATCH(C549,'Справка'!$A$12:$A$21,0),99)</f>
        <v/>
      </c>
      <c r="K549" s="39">
        <f>HYPERLINK("https://wa.me/"&amp;H549&amp;"?text="&amp;ENCODEURL(T549),"✉ Написать")</f>
        <v/>
      </c>
      <c r="L549" s="39">
        <f>HYPERLINK("https://wa.me/"&amp;H549,"Открыть чат")</f>
        <v/>
      </c>
      <c r="M549" s="38" t="inlineStr">
        <is>
          <t>Казань</t>
        </is>
      </c>
      <c r="N549" s="38" t="n">
        <v>5</v>
      </c>
      <c r="O549" s="38" t="n">
        <v>35</v>
      </c>
      <c r="P549" s="38" t="inlineStr">
        <is>
          <t>www.tmhs.ru</t>
        </is>
      </c>
      <c r="Q549" s="38" t="inlineStr">
        <is>
          <t>есть сайт: сначала впиши в текст, что на нём не так</t>
        </is>
      </c>
      <c r="R549" s="38" t="n">
        <v>2</v>
      </c>
      <c r="S549" s="38" t="inlineStr">
        <is>
          <t>Республика Татарстан</t>
        </is>
      </c>
      <c r="T549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«ТермоХаус», где это исправлено, и показать. Собрать?</t>
        </is>
      </c>
      <c r="U549" s="38">
        <f>B549&amp;IF(D549&lt;&gt;""," · "&amp;D549,"")&amp;IF(F549&lt;&gt;"",CHAR(10)&amp;F549,"")</f>
        <v/>
      </c>
      <c r="V549" s="38">
        <f>IF(OR(F549="просрочено",F549="сегодня",F549="укажи дату",LEFT(F549,6)="молчит"),1,0)</f>
        <v/>
      </c>
    </row>
    <row r="550" ht="24" customHeight="1">
      <c r="A550" s="38" t="n">
        <v>549</v>
      </c>
      <c r="B550" s="32" t="inlineStr">
        <is>
          <t>Вавилон Групп</t>
        </is>
      </c>
      <c r="C550" s="49" t="inlineStr">
        <is>
          <t>Очередь</t>
        </is>
      </c>
      <c r="D550" s="49" t="n"/>
      <c r="E550" s="50" t="n"/>
      <c r="F550" s="51">
        <f>IF(OR(C550="",C550="Очередь",C550="Клиент",C550="Отказ",C550="Не писать"),"",IF(E550="",IF(AND(C550="Отправлено",I550&lt;&gt;"",TODAY()-INT(I550)&gt;=3),"молчит "&amp;(TODAY()-INT(I550))&amp;" дн.",IF(OR(C550="Перезвонить",C550="Созвон"),"укажи дату","")),IF(INT(E550)&lt;TODAY(),"просрочено",IF(INT(E550)=TODAY(),"сегодня",IF(INT(E550)=TODAY()+1,"завтра",TEXT(E550,"dd.mm"))))))</f>
        <v/>
      </c>
      <c r="G550" s="52" t="n"/>
      <c r="H550" s="36" t="inlineStr">
        <is>
          <t>79050206060</t>
        </is>
      </c>
      <c r="I550" s="53" t="n"/>
      <c r="J550" s="38">
        <f>IFERROR(MATCH(C550,'Справка'!$A$12:$A$21,0),99)</f>
        <v/>
      </c>
      <c r="K550" s="39">
        <f>HYPERLINK("https://wa.me/"&amp;H550&amp;"?text="&amp;ENCODEURL(T550),"✉ Написать")</f>
        <v/>
      </c>
      <c r="L550" s="39">
        <f>HYPERLINK("https://wa.me/"&amp;H550,"Открыть чат")</f>
        <v/>
      </c>
      <c r="M550" s="38" t="inlineStr">
        <is>
          <t>Казань</t>
        </is>
      </c>
      <c r="N550" s="38" t="n">
        <v>4.9</v>
      </c>
      <c r="O550" s="38" t="n">
        <v>31</v>
      </c>
      <c r="P550" s="38" t="inlineStr">
        <is>
          <t>vavilonkazan.ru</t>
        </is>
      </c>
      <c r="Q550" s="38" t="inlineStr">
        <is>
          <t>есть сайт: сначала впиши в текст, что на нём не так</t>
        </is>
      </c>
      <c r="R550" s="38" t="n">
        <v>2</v>
      </c>
      <c r="S550" s="38" t="inlineStr">
        <is>
          <t>Республика Татарстан</t>
        </is>
      </c>
      <c r="T550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«Вавилон Групп», где это исправлено, и показать. Собрать?</t>
        </is>
      </c>
      <c r="U550" s="38">
        <f>B550&amp;IF(D550&lt;&gt;""," · "&amp;D550,"")&amp;IF(F550&lt;&gt;"",CHAR(10)&amp;F550,"")</f>
        <v/>
      </c>
      <c r="V550" s="38">
        <f>IF(OR(F550="просрочено",F550="сегодня",F550="укажи дату",LEFT(F550,6)="молчит"),1,0)</f>
        <v/>
      </c>
    </row>
    <row r="551" ht="24" customHeight="1">
      <c r="A551" s="38" t="n">
        <v>550</v>
      </c>
      <c r="B551" s="32" t="inlineStr">
        <is>
          <t>Мирай</t>
        </is>
      </c>
      <c r="C551" s="49" t="inlineStr">
        <is>
          <t>Очередь</t>
        </is>
      </c>
      <c r="D551" s="49" t="n"/>
      <c r="E551" s="50" t="n"/>
      <c r="F551" s="51">
        <f>IF(OR(C551="",C551="Очередь",C551="Клиент",C551="Отказ",C551="Не писать"),"",IF(E551="",IF(AND(C551="Отправлено",I551&lt;&gt;"",TODAY()-INT(I551)&gt;=3),"молчит "&amp;(TODAY()-INT(I551))&amp;" дн.",IF(OR(C551="Перезвонить",C551="Созвон"),"укажи дату","")),IF(INT(E551)&lt;TODAY(),"просрочено",IF(INT(E551)=TODAY(),"сегодня",IF(INT(E551)=TODAY()+1,"завтра",TEXT(E551,"dd.mm"))))))</f>
        <v/>
      </c>
      <c r="G551" s="52" t="n"/>
      <c r="H551" s="36" t="inlineStr">
        <is>
          <t>79526008000</t>
        </is>
      </c>
      <c r="I551" s="53" t="n"/>
      <c r="J551" s="38">
        <f>IFERROR(MATCH(C551,'Справка'!$A$12:$A$21,0),99)</f>
        <v/>
      </c>
      <c r="K551" s="39">
        <f>HYPERLINK("https://wa.me/"&amp;H551&amp;"?text="&amp;ENCODEURL(T551),"✉ Написать")</f>
        <v/>
      </c>
      <c r="L551" s="39">
        <f>HYPERLINK("https://wa.me/"&amp;H551,"Открыть чат")</f>
        <v/>
      </c>
      <c r="M551" s="38" t="inlineStr">
        <is>
          <t>Ростов-на-Дону</t>
        </is>
      </c>
      <c r="N551" s="38" t="n">
        <v>4.9</v>
      </c>
      <c r="O551" s="38" t="n">
        <v>39</v>
      </c>
      <c r="P551" s="38" t="inlineStr">
        <is>
          <t>www.mirai161.ru/</t>
        </is>
      </c>
      <c r="Q551" s="38" t="inlineStr">
        <is>
          <t>есть сайт: сначала впиши в текст, что на нём не так</t>
        </is>
      </c>
      <c r="R551" s="38" t="n">
        <v>2</v>
      </c>
      <c r="S551" s="38" t="inlineStr">
        <is>
          <t>Ростовская область</t>
        </is>
      </c>
      <c r="T551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«Мирай», где это исправлено, и показать. Собрать?</t>
        </is>
      </c>
      <c r="U551" s="38">
        <f>B551&amp;IF(D551&lt;&gt;""," · "&amp;D551,"")&amp;IF(F551&lt;&gt;"",CHAR(10)&amp;F551,"")</f>
        <v/>
      </c>
      <c r="V551" s="38">
        <f>IF(OR(F551="просрочено",F551="сегодня",F551="укажи дату",LEFT(F551,6)="молчит"),1,0)</f>
        <v/>
      </c>
    </row>
    <row r="552" ht="24" customHeight="1">
      <c r="A552" s="38" t="n">
        <v>551</v>
      </c>
      <c r="B552" s="32" t="inlineStr">
        <is>
          <t>Вектра</t>
        </is>
      </c>
      <c r="C552" s="49" t="inlineStr">
        <is>
          <t>Очередь</t>
        </is>
      </c>
      <c r="D552" s="49" t="n"/>
      <c r="E552" s="50" t="n"/>
      <c r="F552" s="51">
        <f>IF(OR(C552="",C552="Очередь",C552="Клиент",C552="Отказ",C552="Не писать"),"",IF(E552="",IF(AND(C552="Отправлено",I552&lt;&gt;"",TODAY()-INT(I552)&gt;=3),"молчит "&amp;(TODAY()-INT(I552))&amp;" дн.",IF(OR(C552="Перезвонить",C552="Созвон"),"укажи дату","")),IF(INT(E552)&lt;TODAY(),"просрочено",IF(INT(E552)=TODAY(),"сегодня",IF(INT(E552)=TODAY()+1,"завтра",TEXT(E552,"dd.mm"))))))</f>
        <v/>
      </c>
      <c r="G552" s="52" t="n"/>
      <c r="H552" s="36" t="inlineStr">
        <is>
          <t>79270168963</t>
        </is>
      </c>
      <c r="I552" s="53" t="n"/>
      <c r="J552" s="38">
        <f>IFERROR(MATCH(C552,'Справка'!$A$12:$A$21,0),99)</f>
        <v/>
      </c>
      <c r="K552" s="39">
        <f>HYPERLINK("https://wa.me/"&amp;H552&amp;"?text="&amp;ENCODEURL(T552),"✉ Написать")</f>
        <v/>
      </c>
      <c r="L552" s="39">
        <f>HYPERLINK("https://wa.me/"&amp;H552,"Открыть чат")</f>
        <v/>
      </c>
      <c r="M552" s="38" t="inlineStr">
        <is>
          <t>Самара</t>
        </is>
      </c>
      <c r="N552" s="38" t="n">
        <v>4.5</v>
      </c>
      <c r="O552" s="38" t="n">
        <v>185</v>
      </c>
      <c r="P552" s="38" t="inlineStr">
        <is>
          <t>vektragroup.ru</t>
        </is>
      </c>
      <c r="Q552" s="38" t="inlineStr">
        <is>
          <t>есть сайт: сначала впиши в текст, что на нём не так</t>
        </is>
      </c>
      <c r="R552" s="38" t="n">
        <v>2</v>
      </c>
      <c r="S552" s="38" t="inlineStr">
        <is>
          <t>Самарская область</t>
        </is>
      </c>
      <c r="T552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«Вектра», где это исправлено, и показать. Собрать?</t>
        </is>
      </c>
      <c r="U552" s="38">
        <f>B552&amp;IF(D552&lt;&gt;""," · "&amp;D552,"")&amp;IF(F552&lt;&gt;"",CHAR(10)&amp;F552,"")</f>
        <v/>
      </c>
      <c r="V552" s="38">
        <f>IF(OR(F552="просрочено",F552="сегодня",F552="укажи дату",LEFT(F552,6)="молчит"),1,0)</f>
        <v/>
      </c>
    </row>
    <row r="553" ht="24" customHeight="1">
      <c r="A553" s="38" t="n">
        <v>552</v>
      </c>
      <c r="B553" s="32" t="inlineStr">
        <is>
          <t>Солнечный терем</t>
        </is>
      </c>
      <c r="C553" s="49" t="inlineStr">
        <is>
          <t>Очередь</t>
        </is>
      </c>
      <c r="D553" s="49" t="n"/>
      <c r="E553" s="50" t="n"/>
      <c r="F553" s="51">
        <f>IF(OR(C553="",C553="Очередь",C553="Клиент",C553="Отказ",C553="Не писать"),"",IF(E553="",IF(AND(C553="Отправлено",I553&lt;&gt;"",TODAY()-INT(I553)&gt;=3),"молчит "&amp;(TODAY()-INT(I553))&amp;" дн.",IF(OR(C553="Перезвонить",C553="Созвон"),"укажи дату","")),IF(INT(E553)&lt;TODAY(),"просрочено",IF(INT(E553)=TODAY(),"сегодня",IF(INT(E553)=TODAY()+1,"завтра",TEXT(E553,"dd.mm"))))))</f>
        <v/>
      </c>
      <c r="G553" s="52" t="n"/>
      <c r="H553" s="36" t="inlineStr">
        <is>
          <t>79307088833</t>
        </is>
      </c>
      <c r="I553" s="53" t="n"/>
      <c r="J553" s="38">
        <f>IFERROR(MATCH(C553,'Справка'!$A$12:$A$21,0),99)</f>
        <v/>
      </c>
      <c r="K553" s="39">
        <f>HYPERLINK("https://wa.me/"&amp;H553&amp;"?text="&amp;ENCODEURL(T553),"✉ Написать")</f>
        <v/>
      </c>
      <c r="L553" s="39">
        <f>HYPERLINK("https://wa.me/"&amp;H553,"Открыть чат")</f>
        <v/>
      </c>
      <c r="M553" s="38" t="inlineStr">
        <is>
          <t>Нижний Новгород</t>
        </is>
      </c>
      <c r="N553" s="38" t="n">
        <v>5</v>
      </c>
      <c r="O553" s="38" t="n">
        <v>38</v>
      </c>
      <c r="P553" s="38" t="inlineStr">
        <is>
          <t>sterem.ru</t>
        </is>
      </c>
      <c r="Q553" s="38" t="inlineStr">
        <is>
          <t>есть сайт: сначала впиши в текст, что на нём не так, WhatsApp не подтверждён</t>
        </is>
      </c>
      <c r="R553" s="38" t="n">
        <v>2</v>
      </c>
      <c r="S553" s="38" t="inlineStr">
        <is>
          <t>Нижегородская область</t>
        </is>
      </c>
      <c r="T553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«Солнечный терем», где это исправлено, и показать. Собрать?</t>
        </is>
      </c>
      <c r="U553" s="38">
        <f>B553&amp;IF(D553&lt;&gt;""," · "&amp;D553,"")&amp;IF(F553&lt;&gt;"",CHAR(10)&amp;F553,"")</f>
        <v/>
      </c>
      <c r="V553" s="38">
        <f>IF(OR(F553="просрочено",F553="сегодня",F553="укажи дату",LEFT(F553,6)="молчит"),1,0)</f>
        <v/>
      </c>
    </row>
    <row r="554" ht="24" customHeight="1">
      <c r="A554" s="38" t="n">
        <v>553</v>
      </c>
      <c r="B554" s="32" t="inlineStr">
        <is>
          <t>Brickwood</t>
        </is>
      </c>
      <c r="C554" s="49" t="inlineStr">
        <is>
          <t>Очередь</t>
        </is>
      </c>
      <c r="D554" s="49" t="n"/>
      <c r="E554" s="50" t="n"/>
      <c r="F554" s="51">
        <f>IF(OR(C554="",C554="Очередь",C554="Клиент",C554="Отказ",C554="Не писать"),"",IF(E554="",IF(AND(C554="Отправлено",I554&lt;&gt;"",TODAY()-INT(I554)&gt;=3),"молчит "&amp;(TODAY()-INT(I554))&amp;" дн.",IF(OR(C554="Перезвонить",C554="Созвон"),"укажи дату","")),IF(INT(E554)&lt;TODAY(),"просрочено",IF(INT(E554)=TODAY(),"сегодня",IF(INT(E554)=TODAY()+1,"завтра",TEXT(E554,"dd.mm"))))))</f>
        <v/>
      </c>
      <c r="G554" s="52" t="n"/>
      <c r="H554" s="36" t="inlineStr">
        <is>
          <t>79659921616</t>
        </is>
      </c>
      <c r="I554" s="53" t="n"/>
      <c r="J554" s="38">
        <f>IFERROR(MATCH(C554,'Справка'!$A$12:$A$21,0),99)</f>
        <v/>
      </c>
      <c r="K554" s="39">
        <f>HYPERLINK("https://wa.me/"&amp;H554&amp;"?text="&amp;ENCODEURL(T554),"✉ Написать")</f>
        <v/>
      </c>
      <c r="L554" s="39">
        <f>HYPERLINK("https://wa.me/"&amp;H554,"Открыть чат")</f>
        <v/>
      </c>
      <c r="M554" s="38" t="inlineStr">
        <is>
          <t>Казань</t>
        </is>
      </c>
      <c r="N554" s="38" t="n">
        <v>4.5</v>
      </c>
      <c r="O554" s="38" t="n">
        <v>108</v>
      </c>
      <c r="P554" s="38" t="inlineStr">
        <is>
          <t>brkwood.ru/</t>
        </is>
      </c>
      <c r="Q554" s="38" t="inlineStr">
        <is>
          <t>есть сайт: сначала впиши в текст, что на нём не так, WhatsApp не подтверждён</t>
        </is>
      </c>
      <c r="R554" s="38" t="n">
        <v>2</v>
      </c>
      <c r="S554" s="38" t="inlineStr">
        <is>
          <t>Республика Татарстан</t>
        </is>
      </c>
      <c r="T554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«Brickwood», где это исправлено, и показать. Собрать?</t>
        </is>
      </c>
      <c r="U554" s="38">
        <f>B554&amp;IF(D554&lt;&gt;""," · "&amp;D554,"")&amp;IF(F554&lt;&gt;"",CHAR(10)&amp;F554,"")</f>
        <v/>
      </c>
      <c r="V554" s="38">
        <f>IF(OR(F554="просрочено",F554="сегодня",F554="укажи дату",LEFT(F554,6)="молчит"),1,0)</f>
        <v/>
      </c>
    </row>
    <row r="555" ht="24" customHeight="1">
      <c r="A555" s="38" t="n">
        <v>554</v>
      </c>
      <c r="B555" s="32" t="inlineStr">
        <is>
          <t>Денкор Строй</t>
        </is>
      </c>
      <c r="C555" s="49" t="inlineStr">
        <is>
          <t>Очередь</t>
        </is>
      </c>
      <c r="D555" s="49" t="n"/>
      <c r="E555" s="50" t="n"/>
      <c r="F555" s="51">
        <f>IF(OR(C555="",C555="Очередь",C555="Клиент",C555="Отказ",C555="Не писать"),"",IF(E555="",IF(AND(C555="Отправлено",I555&lt;&gt;"",TODAY()-INT(I555)&gt;=3),"молчит "&amp;(TODAY()-INT(I555))&amp;" дн.",IF(OR(C555="Перезвонить",C555="Созвон"),"укажи дату","")),IF(INT(E555)&lt;TODAY(),"просрочено",IF(INT(E555)=TODAY(),"сегодня",IF(INT(E555)=TODAY()+1,"завтра",TEXT(E555,"dd.mm"))))))</f>
        <v/>
      </c>
      <c r="G555" s="52" t="n"/>
      <c r="H555" s="36" t="inlineStr">
        <is>
          <t>79616668506</t>
        </is>
      </c>
      <c r="I555" s="53" t="n"/>
      <c r="J555" s="38">
        <f>IFERROR(MATCH(C555,'Справка'!$A$12:$A$21,0),99)</f>
        <v/>
      </c>
      <c r="K555" s="39">
        <f>HYPERLINK("https://wa.me/"&amp;H555&amp;"?text="&amp;ENCODEURL(T555),"✉ Написать")</f>
        <v/>
      </c>
      <c r="L555" s="39">
        <f>HYPERLINK("https://wa.me/"&amp;H555,"Открыть чат")</f>
        <v/>
      </c>
      <c r="M555" s="38" t="inlineStr">
        <is>
          <t>Волгоград</t>
        </is>
      </c>
      <c r="N555" s="38" t="n">
        <v>4.6</v>
      </c>
      <c r="O555" s="38" t="n">
        <v>55</v>
      </c>
      <c r="P555" s="38" t="n"/>
      <c r="Q555" s="38" t="inlineStr">
        <is>
          <t>без сайта, похоже на магазин</t>
        </is>
      </c>
      <c r="R555" s="38" t="n">
        <v>2</v>
      </c>
      <c r="S555" s="38" t="inlineStr">
        <is>
          <t>Волгоградская область</t>
        </is>
      </c>
      <c r="T555" s="38" t="inlineStr">
        <is>
          <t>Здравствуйте! Искал в 2ГИС кровельные компании в Волгограде и наткнулся на вас: отзывы хорошие, а сайта нет.
Могу за вечер собрать для «Денкор Строй» сайт и показать. Платить не нужно, пока не понравится. Собрать?</t>
        </is>
      </c>
      <c r="U555" s="38">
        <f>B555&amp;IF(D555&lt;&gt;""," · "&amp;D555,"")&amp;IF(F555&lt;&gt;"",CHAR(10)&amp;F555,"")</f>
        <v/>
      </c>
      <c r="V555" s="38">
        <f>IF(OR(F555="просрочено",F555="сегодня",F555="укажи дату",LEFT(F555,6)="молчит"),1,0)</f>
        <v/>
      </c>
    </row>
    <row r="556" ht="24" customHeight="1">
      <c r="A556" s="38" t="n">
        <v>555</v>
      </c>
      <c r="B556" s="32" t="inlineStr">
        <is>
          <t>Производственно-монтажная компания</t>
        </is>
      </c>
      <c r="C556" s="49" t="inlineStr">
        <is>
          <t>Очередь</t>
        </is>
      </c>
      <c r="D556" s="49" t="n"/>
      <c r="E556" s="50" t="n"/>
      <c r="F556" s="51">
        <f>IF(OR(C556="",C556="Очередь",C556="Клиент",C556="Отказ",C556="Не писать"),"",IF(E556="",IF(AND(C556="Отправлено",I556&lt;&gt;"",TODAY()-INT(I556)&gt;=3),"молчит "&amp;(TODAY()-INT(I556))&amp;" дн.",IF(OR(C556="Перезвонить",C556="Созвон"),"укажи дату","")),IF(INT(E556)&lt;TODAY(),"просрочено",IF(INT(E556)=TODAY(),"сегодня",IF(INT(E556)=TODAY()+1,"завтра",TEXT(E556,"dd.mm"))))))</f>
        <v/>
      </c>
      <c r="G556" s="52" t="n"/>
      <c r="H556" s="36" t="inlineStr">
        <is>
          <t>79876479413</t>
        </is>
      </c>
      <c r="I556" s="53" t="n"/>
      <c r="J556" s="38">
        <f>IFERROR(MATCH(C556,'Справка'!$A$12:$A$21,0),99)</f>
        <v/>
      </c>
      <c r="K556" s="39">
        <f>HYPERLINK("https://wa.me/"&amp;H556&amp;"?text="&amp;ENCODEURL(T556),"✉ Написать")</f>
        <v/>
      </c>
      <c r="L556" s="39">
        <f>HYPERLINK("https://wa.me/"&amp;H556,"Открыть чат")</f>
        <v/>
      </c>
      <c r="M556" s="38" t="inlineStr">
        <is>
          <t>Волгоград</t>
        </is>
      </c>
      <c r="N556" s="38" t="n">
        <v>5</v>
      </c>
      <c r="O556" s="38" t="n">
        <v>2</v>
      </c>
      <c r="P556" s="38" t="n"/>
      <c r="Q556" s="38" t="inlineStr">
        <is>
          <t>без сайта, похоже на магазин</t>
        </is>
      </c>
      <c r="R556" s="38" t="n">
        <v>2</v>
      </c>
      <c r="S556" s="38" t="inlineStr">
        <is>
          <t>Волгоградская область</t>
        </is>
      </c>
      <c r="T556" s="38" t="inlineStr">
        <is>
          <t>Здравствуйте! Смотрел в 2ГИС, кто делает кровлю в Волгограде, и нашёл «Производственно-монтажная компания». Сайта в карточке нет.
Готов за вечер собрать сайт для «Производственно-монтажная компания» и показать вам. Денег вперёд не беру. Собрать?</t>
        </is>
      </c>
      <c r="U556" s="38">
        <f>B556&amp;IF(D556&lt;&gt;""," · "&amp;D556,"")&amp;IF(F556&lt;&gt;"",CHAR(10)&amp;F556,"")</f>
        <v/>
      </c>
      <c r="V556" s="38">
        <f>IF(OR(F556="просрочено",F556="сегодня",F556="укажи дату",LEFT(F556,6)="молчит"),1,0)</f>
        <v/>
      </c>
    </row>
    <row r="557" ht="24" customHeight="1">
      <c r="A557" s="38" t="n">
        <v>556</v>
      </c>
      <c r="B557" s="32" t="inlineStr">
        <is>
          <t>Смарт кровля</t>
        </is>
      </c>
      <c r="C557" s="49" t="inlineStr">
        <is>
          <t>Очередь</t>
        </is>
      </c>
      <c r="D557" s="49" t="n"/>
      <c r="E557" s="50" t="n"/>
      <c r="F557" s="51">
        <f>IF(OR(C557="",C557="Очередь",C557="Клиент",C557="Отказ",C557="Не писать"),"",IF(E557="",IF(AND(C557="Отправлено",I557&lt;&gt;"",TODAY()-INT(I557)&gt;=3),"молчит "&amp;(TODAY()-INT(I557))&amp;" дн.",IF(OR(C557="Перезвонить",C557="Созвон"),"укажи дату","")),IF(INT(E557)&lt;TODAY(),"просрочено",IF(INT(E557)=TODAY(),"сегодня",IF(INT(E557)=TODAY()+1,"завтра",TEXT(E557,"dd.mm"))))))</f>
        <v/>
      </c>
      <c r="G557" s="52" t="n"/>
      <c r="H557" s="36" t="inlineStr">
        <is>
          <t>79616894408</t>
        </is>
      </c>
      <c r="I557" s="53" t="n"/>
      <c r="J557" s="38">
        <f>IFERROR(MATCH(C557,'Справка'!$A$12:$A$21,0),99)</f>
        <v/>
      </c>
      <c r="K557" s="39">
        <f>HYPERLINK("https://wa.me/"&amp;H557&amp;"?text="&amp;ENCODEURL(T557),"✉ Написать")</f>
        <v/>
      </c>
      <c r="L557" s="39">
        <f>HYPERLINK("https://wa.me/"&amp;H557,"Открыть чат")</f>
        <v/>
      </c>
      <c r="M557" s="38" t="inlineStr">
        <is>
          <t>Волжский</t>
        </is>
      </c>
      <c r="N557" s="38" t="n">
        <v>3</v>
      </c>
      <c r="O557" s="38" t="n">
        <v>2</v>
      </c>
      <c r="P557" s="38" t="n"/>
      <c r="Q557" s="38" t="inlineStr">
        <is>
          <t>без сайта, похоже на магазин</t>
        </is>
      </c>
      <c r="R557" s="38" t="n">
        <v>2</v>
      </c>
      <c r="S557" s="38" t="inlineStr">
        <is>
          <t>Волгоградская область</t>
        </is>
      </c>
      <c r="T557" s="38" t="inlineStr">
        <is>
          <t>Здравствуйте! Нашёл вас в 2ГИС среди кровельных компаний в Волжском, а сайта в карточке не нашёл.
Могу собрать сайт под «Смарт кровля» за вечер и показать. Не понравится — ничего не должны. Сделать?</t>
        </is>
      </c>
      <c r="U557" s="38">
        <f>B557&amp;IF(D557&lt;&gt;""," · "&amp;D557,"")&amp;IF(F557&lt;&gt;"",CHAR(10)&amp;F557,"")</f>
        <v/>
      </c>
      <c r="V557" s="38">
        <f>IF(OR(F557="просрочено",F557="сегодня",F557="укажи дату",LEFT(F557,6)="молчит"),1,0)</f>
        <v/>
      </c>
    </row>
    <row r="558" ht="24" customHeight="1">
      <c r="A558" s="38" t="n">
        <v>557</v>
      </c>
      <c r="B558" s="32" t="inlineStr">
        <is>
          <t>Все для кровли и фасада</t>
        </is>
      </c>
      <c r="C558" s="49" t="inlineStr">
        <is>
          <t>Очередь</t>
        </is>
      </c>
      <c r="D558" s="49" t="n"/>
      <c r="E558" s="50" t="n"/>
      <c r="F558" s="51">
        <f>IF(OR(C558="",C558="Очередь",C558="Клиент",C558="Отказ",C558="Не писать"),"",IF(E558="",IF(AND(C558="Отправлено",I558&lt;&gt;"",TODAY()-INT(I558)&gt;=3),"молчит "&amp;(TODAY()-INT(I558))&amp;" дн.",IF(OR(C558="Перезвонить",C558="Созвон"),"укажи дату","")),IF(INT(E558)&lt;TODAY(),"просрочено",IF(INT(E558)=TODAY(),"сегодня",IF(INT(E558)=TODAY()+1,"завтра",TEXT(E558,"dd.mm"))))))</f>
        <v/>
      </c>
      <c r="G558" s="52" t="n"/>
      <c r="H558" s="36" t="inlineStr">
        <is>
          <t>79050625295</t>
        </is>
      </c>
      <c r="I558" s="53" t="n"/>
      <c r="J558" s="38">
        <f>IFERROR(MATCH(C558,'Справка'!$A$12:$A$21,0),99)</f>
        <v/>
      </c>
      <c r="K558" s="39">
        <f>HYPERLINK("https://wa.me/"&amp;H558&amp;"?text="&amp;ENCODEURL(T558),"✉ Написать")</f>
        <v/>
      </c>
      <c r="L558" s="39">
        <f>HYPERLINK("https://wa.me/"&amp;H558,"Открыть чат")</f>
        <v/>
      </c>
      <c r="M558" s="38" t="inlineStr">
        <is>
          <t>Волжский</t>
        </is>
      </c>
      <c r="N558" s="38" t="n">
        <v>5</v>
      </c>
      <c r="O558" s="38" t="n">
        <v>1</v>
      </c>
      <c r="P558" s="38" t="n"/>
      <c r="Q558" s="38" t="inlineStr">
        <is>
          <t>без сайта, похоже на магазин</t>
        </is>
      </c>
      <c r="R558" s="38" t="n">
        <v>2</v>
      </c>
      <c r="S558" s="38" t="inlineStr">
        <is>
          <t>Волгоградская область</t>
        </is>
      </c>
      <c r="T558" s="38" t="inlineStr">
        <is>
          <t>Здравствуйте! Искал в 2ГИС кровельные компании в Волжском и наткнулся на вас. Сайта в карточке не увидел.
Могу за вечер собрать для «Все для кровли и фасада» сайт и показать. Платить не нужно, пока не понравится. Собрать?</t>
        </is>
      </c>
      <c r="U558" s="38">
        <f>B558&amp;IF(D558&lt;&gt;""," · "&amp;D558,"")&amp;IF(F558&lt;&gt;"",CHAR(10)&amp;F558,"")</f>
        <v/>
      </c>
      <c r="V558" s="38">
        <f>IF(OR(F558="просрочено",F558="сегодня",F558="укажи дату",LEFT(F558,6)="молчит"),1,0)</f>
        <v/>
      </c>
    </row>
    <row r="559" ht="24" customHeight="1">
      <c r="A559" s="38" t="n">
        <v>558</v>
      </c>
      <c r="B559" s="32" t="inlineStr">
        <is>
          <t>Евробилд</t>
        </is>
      </c>
      <c r="C559" s="49" t="inlineStr">
        <is>
          <t>Очередь</t>
        </is>
      </c>
      <c r="D559" s="49" t="n"/>
      <c r="E559" s="50" t="n"/>
      <c r="F559" s="51">
        <f>IF(OR(C559="",C559="Очередь",C559="Клиент",C559="Отказ",C559="Не писать"),"",IF(E559="",IF(AND(C559="Отправлено",I559&lt;&gt;"",TODAY()-INT(I559)&gt;=3),"молчит "&amp;(TODAY()-INT(I559))&amp;" дн.",IF(OR(C559="Перезвонить",C559="Созвон"),"укажи дату","")),IF(INT(E559)&lt;TODAY(),"просрочено",IF(INT(E559)=TODAY(),"сегодня",IF(INT(E559)=TODAY()+1,"завтра",TEXT(E559,"dd.mm"))))))</f>
        <v/>
      </c>
      <c r="G559" s="52" t="n"/>
      <c r="H559" s="36" t="inlineStr">
        <is>
          <t>79377189444</t>
        </is>
      </c>
      <c r="I559" s="53" t="n"/>
      <c r="J559" s="38">
        <f>IFERROR(MATCH(C559,'Справка'!$A$12:$A$21,0),99)</f>
        <v/>
      </c>
      <c r="K559" s="39">
        <f>HYPERLINK("https://wa.me/"&amp;H559&amp;"?text="&amp;ENCODEURL(T559),"✉ Написать")</f>
        <v/>
      </c>
      <c r="L559" s="39">
        <f>HYPERLINK("https://wa.me/"&amp;H559,"Открыть чат")</f>
        <v/>
      </c>
      <c r="M559" s="38" t="inlineStr">
        <is>
          <t>Волгоград</t>
        </is>
      </c>
      <c r="N559" s="38" t="n"/>
      <c r="O559" s="38" t="n"/>
      <c r="P559" s="38" t="n"/>
      <c r="Q559" s="38" t="inlineStr">
        <is>
          <t>без сайта, похоже на магазин</t>
        </is>
      </c>
      <c r="R559" s="38" t="n">
        <v>2</v>
      </c>
      <c r="S559" s="38" t="inlineStr">
        <is>
          <t>Волгоградская область</t>
        </is>
      </c>
      <c r="T559" s="38" t="inlineStr">
        <is>
          <t>Здравствуйте! Смотрел в 2ГИС, кто делает кровлю в Волгограде, и нашёл «Евробилд». Сайта в карточке нет.
Готов за вечер собрать сайт для «Евробилд» и показать вам. Денег вперёд не беру. Собрать?</t>
        </is>
      </c>
      <c r="U559" s="38">
        <f>B559&amp;IF(D559&lt;&gt;""," · "&amp;D559,"")&amp;IF(F559&lt;&gt;"",CHAR(10)&amp;F559,"")</f>
        <v/>
      </c>
      <c r="V559" s="38">
        <f>IF(OR(F559="просрочено",F559="сегодня",F559="укажи дату",LEFT(F559,6)="молчит"),1,0)</f>
        <v/>
      </c>
    </row>
    <row r="560" ht="24" customHeight="1">
      <c r="A560" s="38" t="n">
        <v>559</v>
      </c>
      <c r="B560" s="32" t="inlineStr">
        <is>
          <t>Кв Плюс</t>
        </is>
      </c>
      <c r="C560" s="49" t="inlineStr">
        <is>
          <t>Очередь</t>
        </is>
      </c>
      <c r="D560" s="49" t="n"/>
      <c r="E560" s="50" t="n"/>
      <c r="F560" s="51">
        <f>IF(OR(C560="",C560="Очередь",C560="Клиент",C560="Отказ",C560="Не писать"),"",IF(E560="",IF(AND(C560="Отправлено",I560&lt;&gt;"",TODAY()-INT(I560)&gt;=3),"молчит "&amp;(TODAY()-INT(I560))&amp;" дн.",IF(OR(C560="Перезвонить",C560="Созвон"),"укажи дату","")),IF(INT(E560)&lt;TODAY(),"просрочено",IF(INT(E560)=TODAY(),"сегодня",IF(INT(E560)=TODAY()+1,"завтра",TEXT(E560,"dd.mm"))))))</f>
        <v/>
      </c>
      <c r="G560" s="52" t="n"/>
      <c r="H560" s="36" t="inlineStr">
        <is>
          <t>79177256000</t>
        </is>
      </c>
      <c r="I560" s="53" t="n"/>
      <c r="J560" s="38">
        <f>IFERROR(MATCH(C560,'Справка'!$A$12:$A$21,0),99)</f>
        <v/>
      </c>
      <c r="K560" s="39">
        <f>HYPERLINK("https://wa.me/"&amp;H560&amp;"?text="&amp;ENCODEURL(T560),"✉ Написать")</f>
        <v/>
      </c>
      <c r="L560" s="39">
        <f>HYPERLINK("https://wa.me/"&amp;H560,"Открыть чат")</f>
        <v/>
      </c>
      <c r="M560" s="38" t="inlineStr">
        <is>
          <t>Волгоград</t>
        </is>
      </c>
      <c r="N560" s="38" t="n"/>
      <c r="O560" s="38" t="n"/>
      <c r="P560" s="38" t="n"/>
      <c r="Q560" s="38" t="inlineStr">
        <is>
          <t>без сайта, похоже на магазин</t>
        </is>
      </c>
      <c r="R560" s="38" t="n">
        <v>2</v>
      </c>
      <c r="S560" s="38" t="inlineStr">
        <is>
          <t>Волгоградская область</t>
        </is>
      </c>
      <c r="T560" s="38" t="inlineStr">
        <is>
          <t>Здравствуйте! Нашёл вас в 2ГИС среди кровельных компаний в Волгограде, а сайта в карточке не нашёл.
Могу собрать сайт под «Кв Плюс» за вечер и показать. Не понравится — ничего не должны. Сделать?</t>
        </is>
      </c>
      <c r="U560" s="38">
        <f>B560&amp;IF(D560&lt;&gt;""," · "&amp;D560,"")&amp;IF(F560&lt;&gt;"",CHAR(10)&amp;F560,"")</f>
        <v/>
      </c>
      <c r="V560" s="38">
        <f>IF(OR(F560="просрочено",F560="сегодня",F560="укажи дату",LEFT(F560,6)="молчит"),1,0)</f>
        <v/>
      </c>
    </row>
    <row r="561" ht="24" customHeight="1">
      <c r="A561" s="38" t="n">
        <v>560</v>
      </c>
      <c r="B561" s="32" t="inlineStr">
        <is>
          <t>Строй-контент</t>
        </is>
      </c>
      <c r="C561" s="49" t="inlineStr">
        <is>
          <t>Очередь</t>
        </is>
      </c>
      <c r="D561" s="49" t="n"/>
      <c r="E561" s="50" t="n"/>
      <c r="F561" s="51">
        <f>IF(OR(C561="",C561="Очередь",C561="Клиент",C561="Отказ",C561="Не писать"),"",IF(E561="",IF(AND(C561="Отправлено",I561&lt;&gt;"",TODAY()-INT(I561)&gt;=3),"молчит "&amp;(TODAY()-INT(I561))&amp;" дн.",IF(OR(C561="Перезвонить",C561="Созвон"),"укажи дату","")),IF(INT(E561)&lt;TODAY(),"просрочено",IF(INT(E561)=TODAY(),"сегодня",IF(INT(E561)=TODAY()+1,"завтра",TEXT(E561,"dd.mm"))))))</f>
        <v/>
      </c>
      <c r="G561" s="52" t="n"/>
      <c r="H561" s="36" t="inlineStr">
        <is>
          <t>79275007423</t>
        </is>
      </c>
      <c r="I561" s="53" t="n"/>
      <c r="J561" s="38">
        <f>IFERROR(MATCH(C561,'Справка'!$A$12:$A$21,0),99)</f>
        <v/>
      </c>
      <c r="K561" s="39">
        <f>HYPERLINK("https://wa.me/"&amp;H561&amp;"?text="&amp;ENCODEURL(T561),"✉ Написать")</f>
        <v/>
      </c>
      <c r="L561" s="39">
        <f>HYPERLINK("https://wa.me/"&amp;H561,"Открыть чат")</f>
        <v/>
      </c>
      <c r="M561" s="38" t="inlineStr">
        <is>
          <t>Волжский</t>
        </is>
      </c>
      <c r="N561" s="38" t="n"/>
      <c r="O561" s="38" t="n"/>
      <c r="P561" s="38" t="n"/>
      <c r="Q561" s="38" t="inlineStr">
        <is>
          <t>без сайта, похоже на магазин</t>
        </is>
      </c>
      <c r="R561" s="38" t="n">
        <v>2</v>
      </c>
      <c r="S561" s="38" t="inlineStr">
        <is>
          <t>Волгоградская область</t>
        </is>
      </c>
      <c r="T561" s="38" t="inlineStr">
        <is>
          <t>Здравствуйте! Искал в 2ГИС кровельные компании в Волжском и наткнулся на вас. Сайта в карточке не увидел.
Могу за вечер собрать для «Строй-контент» сайт и показать. Платить не нужно, пока не понравится. Собрать?</t>
        </is>
      </c>
      <c r="U561" s="38">
        <f>B561&amp;IF(D561&lt;&gt;""," · "&amp;D561,"")&amp;IF(F561&lt;&gt;"",CHAR(10)&amp;F561,"")</f>
        <v/>
      </c>
      <c r="V561" s="38">
        <f>IF(OR(F561="просрочено",F561="сегодня",F561="укажи дату",LEFT(F561,6)="молчит"),1,0)</f>
        <v/>
      </c>
    </row>
    <row r="562" ht="24" customHeight="1">
      <c r="A562" s="38" t="n">
        <v>561</v>
      </c>
      <c r="B562" s="32" t="inlineStr">
        <is>
          <t>Лидер+</t>
        </is>
      </c>
      <c r="C562" s="49" t="inlineStr">
        <is>
          <t>Очередь</t>
        </is>
      </c>
      <c r="D562" s="49" t="n"/>
      <c r="E562" s="50" t="n"/>
      <c r="F562" s="51">
        <f>IF(OR(C562="",C562="Очередь",C562="Клиент",C562="Отказ",C562="Не писать"),"",IF(E562="",IF(AND(C562="Отправлено",I562&lt;&gt;"",TODAY()-INT(I562)&gt;=3),"молчит "&amp;(TODAY()-INT(I562))&amp;" дн.",IF(OR(C562="Перезвонить",C562="Созвон"),"укажи дату","")),IF(INT(E562)&lt;TODAY(),"просрочено",IF(INT(E562)=TODAY(),"сегодня",IF(INT(E562)=TODAY()+1,"завтра",TEXT(E562,"dd.mm"))))))</f>
        <v/>
      </c>
      <c r="G562" s="52" t="n"/>
      <c r="H562" s="36" t="inlineStr">
        <is>
          <t>79518656176</t>
        </is>
      </c>
      <c r="I562" s="53" t="n"/>
      <c r="J562" s="38">
        <f>IFERROR(MATCH(C562,'Справка'!$A$12:$A$21,0),99)</f>
        <v/>
      </c>
      <c r="K562" s="39">
        <f>HYPERLINK("https://wa.me/"&amp;H562&amp;"?text="&amp;ENCODEURL(T562),"✉ Написать")</f>
        <v/>
      </c>
      <c r="L562" s="39">
        <f>HYPERLINK("https://wa.me/"&amp;H562,"Открыть чат")</f>
        <v/>
      </c>
      <c r="M562" s="38" t="inlineStr">
        <is>
          <t>Воронеж</t>
        </is>
      </c>
      <c r="N562" s="38" t="n">
        <v>5</v>
      </c>
      <c r="O562" s="38" t="n">
        <v>1</v>
      </c>
      <c r="P562" s="38" t="n"/>
      <c r="Q562" s="38" t="inlineStr">
        <is>
          <t>без сайта, похоже на магазин</t>
        </is>
      </c>
      <c r="R562" s="38" t="n">
        <v>2</v>
      </c>
      <c r="S562" s="38" t="inlineStr">
        <is>
          <t>Воронежская область</t>
        </is>
      </c>
      <c r="T562" s="38" t="inlineStr">
        <is>
          <t>Здравствуйте! Смотрел в 2ГИС, кто делает кровлю в Воронеже, и нашёл «Лидер+». Сайта в карточке нет.
Готов за вечер собрать сайт для «Лидер+» и показать вам. Денег вперёд не беру. Собрать?</t>
        </is>
      </c>
      <c r="U562" s="38">
        <f>B562&amp;IF(D562&lt;&gt;""," · "&amp;D562,"")&amp;IF(F562&lt;&gt;"",CHAR(10)&amp;F562,"")</f>
        <v/>
      </c>
      <c r="V562" s="38">
        <f>IF(OR(F562="просрочено",F562="сегодня",F562="укажи дату",LEFT(F562,6)="молчит"),1,0)</f>
        <v/>
      </c>
    </row>
    <row r="563" ht="24" customHeight="1">
      <c r="A563" s="38" t="n">
        <v>562</v>
      </c>
      <c r="B563" s="32" t="inlineStr">
        <is>
          <t>Тм</t>
        </is>
      </c>
      <c r="C563" s="49" t="inlineStr">
        <is>
          <t>Очередь</t>
        </is>
      </c>
      <c r="D563" s="49" t="n"/>
      <c r="E563" s="50" t="n"/>
      <c r="F563" s="51">
        <f>IF(OR(C563="",C563="Очередь",C563="Клиент",C563="Отказ",C563="Не писать"),"",IF(E563="",IF(AND(C563="Отправлено",I563&lt;&gt;"",TODAY()-INT(I563)&gt;=3),"молчит "&amp;(TODAY()-INT(I563))&amp;" дн.",IF(OR(C563="Перезвонить",C563="Созвон"),"укажи дату","")),IF(INT(E563)&lt;TODAY(),"просрочено",IF(INT(E563)=TODAY(),"сегодня",IF(INT(E563)=TODAY()+1,"завтра",TEXT(E563,"dd.mm"))))))</f>
        <v/>
      </c>
      <c r="G563" s="52" t="n"/>
      <c r="H563" s="36" t="inlineStr">
        <is>
          <t>79081483280</t>
        </is>
      </c>
      <c r="I563" s="53" t="n"/>
      <c r="J563" s="38">
        <f>IFERROR(MATCH(C563,'Справка'!$A$12:$A$21,0),99)</f>
        <v/>
      </c>
      <c r="K563" s="39">
        <f>HYPERLINK("https://wa.me/"&amp;H563&amp;"?text="&amp;ENCODEURL(T563),"✉ Написать")</f>
        <v/>
      </c>
      <c r="L563" s="39">
        <f>HYPERLINK("https://wa.me/"&amp;H563,"Открыть чат")</f>
        <v/>
      </c>
      <c r="M563" s="38" t="inlineStr">
        <is>
          <t>Воронеж</t>
        </is>
      </c>
      <c r="N563" s="38" t="n">
        <v>1</v>
      </c>
      <c r="O563" s="38" t="n">
        <v>1</v>
      </c>
      <c r="P563" s="38" t="n"/>
      <c r="Q563" s="38" t="inlineStr">
        <is>
          <t>без сайта, похоже на магазин</t>
        </is>
      </c>
      <c r="R563" s="38" t="n">
        <v>2</v>
      </c>
      <c r="S563" s="38" t="inlineStr">
        <is>
          <t>Воронежская область</t>
        </is>
      </c>
      <c r="T563" s="38" t="inlineStr">
        <is>
          <t>Здравствуйте! Нашёл вас в 2ГИС среди кровельных компаний в Воронеже, а сайта в карточке не нашёл.
Могу собрать сайт под «Тм» за вечер и показать. Не понравится — ничего не должны. Сделать?</t>
        </is>
      </c>
      <c r="U563" s="38">
        <f>B563&amp;IF(D563&lt;&gt;""," · "&amp;D563,"")&amp;IF(F563&lt;&gt;"",CHAR(10)&amp;F563,"")</f>
        <v/>
      </c>
      <c r="V563" s="38">
        <f>IF(OR(F563="просрочено",F563="сегодня",F563="укажи дату",LEFT(F563,6)="молчит"),1,0)</f>
        <v/>
      </c>
    </row>
    <row r="564" ht="24" customHeight="1">
      <c r="A564" s="38" t="n">
        <v>563</v>
      </c>
      <c r="B564" s="32" t="inlineStr">
        <is>
          <t>Гидрокор</t>
        </is>
      </c>
      <c r="C564" s="49" t="inlineStr">
        <is>
          <t>Очередь</t>
        </is>
      </c>
      <c r="D564" s="49" t="n"/>
      <c r="E564" s="50" t="n"/>
      <c r="F564" s="51">
        <f>IF(OR(C564="",C564="Очередь",C564="Клиент",C564="Отказ",C564="Не писать"),"",IF(E564="",IF(AND(C564="Отправлено",I564&lt;&gt;"",TODAY()-INT(I564)&gt;=3),"молчит "&amp;(TODAY()-INT(I564))&amp;" дн.",IF(OR(C564="Перезвонить",C564="Созвон"),"укажи дату","")),IF(INT(E564)&lt;TODAY(),"просрочено",IF(INT(E564)=TODAY(),"сегодня",IF(INT(E564)=TODAY()+1,"завтра",TEXT(E564,"dd.mm"))))))</f>
        <v/>
      </c>
      <c r="G564" s="52" t="n"/>
      <c r="H564" s="36" t="inlineStr">
        <is>
          <t>79003016193</t>
        </is>
      </c>
      <c r="I564" s="53" t="n"/>
      <c r="J564" s="38">
        <f>IFERROR(MATCH(C564,'Справка'!$A$12:$A$21,0),99)</f>
        <v/>
      </c>
      <c r="K564" s="39">
        <f>HYPERLINK("https://wa.me/"&amp;H564&amp;"?text="&amp;ENCODEURL(T564),"✉ Написать")</f>
        <v/>
      </c>
      <c r="L564" s="39">
        <f>HYPERLINK("https://wa.me/"&amp;H564,"Открыть чат")</f>
        <v/>
      </c>
      <c r="M564" s="38" t="inlineStr">
        <is>
          <t>Воронеж</t>
        </is>
      </c>
      <c r="N564" s="38" t="n"/>
      <c r="O564" s="38" t="n"/>
      <c r="P564" s="38" t="n"/>
      <c r="Q564" s="38" t="inlineStr">
        <is>
          <t>без сайта, похоже на магазин</t>
        </is>
      </c>
      <c r="R564" s="38" t="n">
        <v>2</v>
      </c>
      <c r="S564" s="38" t="inlineStr">
        <is>
          <t>Воронежская область</t>
        </is>
      </c>
      <c r="T564" s="38" t="inlineStr">
        <is>
          <t>Здравствуйте! Искал в 2ГИС кровельные компании в Воронеже и наткнулся на вас. Сайта в карточке не увидел.
Могу за вечер собрать для «Гидрокор» сайт и показать. Платить не нужно, пока не понравится. Собрать?</t>
        </is>
      </c>
      <c r="U564" s="38">
        <f>B564&amp;IF(D564&lt;&gt;""," · "&amp;D564,"")&amp;IF(F564&lt;&gt;"",CHAR(10)&amp;F564,"")</f>
        <v/>
      </c>
      <c r="V564" s="38">
        <f>IF(OR(F564="просрочено",F564="сегодня",F564="укажи дату",LEFT(F564,6)="молчит"),1,0)</f>
        <v/>
      </c>
    </row>
    <row r="565" ht="24" customHeight="1">
      <c r="A565" s="38" t="n">
        <v>564</v>
      </c>
      <c r="B565" s="32" t="inlineStr">
        <is>
          <t>Кров-комплект</t>
        </is>
      </c>
      <c r="C565" s="49" t="inlineStr">
        <is>
          <t>Очередь</t>
        </is>
      </c>
      <c r="D565" s="49" t="n"/>
      <c r="E565" s="50" t="n"/>
      <c r="F565" s="51">
        <f>IF(OR(C565="",C565="Очередь",C565="Клиент",C565="Отказ",C565="Не писать"),"",IF(E565="",IF(AND(C565="Отправлено",I565&lt;&gt;"",TODAY()-INT(I565)&gt;=3),"молчит "&amp;(TODAY()-INT(I565))&amp;" дн.",IF(OR(C565="Перезвонить",C565="Созвон"),"укажи дату","")),IF(INT(E565)&lt;TODAY(),"просрочено",IF(INT(E565)=TODAY(),"сегодня",IF(INT(E565)=TODAY()+1,"завтра",TEXT(E565,"dd.mm"))))))</f>
        <v/>
      </c>
      <c r="G565" s="52" t="n"/>
      <c r="H565" s="36" t="inlineStr">
        <is>
          <t>79507782928</t>
        </is>
      </c>
      <c r="I565" s="53" t="n"/>
      <c r="J565" s="38">
        <f>IFERROR(MATCH(C565,'Справка'!$A$12:$A$21,0),99)</f>
        <v/>
      </c>
      <c r="K565" s="39">
        <f>HYPERLINK("https://wa.me/"&amp;H565&amp;"?text="&amp;ENCODEURL(T565),"✉ Написать")</f>
        <v/>
      </c>
      <c r="L565" s="39">
        <f>HYPERLINK("https://wa.me/"&amp;H565,"Открыть чат")</f>
        <v/>
      </c>
      <c r="M565" s="38" t="inlineStr">
        <is>
          <t>Воронеж</t>
        </is>
      </c>
      <c r="N565" s="38" t="n"/>
      <c r="O565" s="38" t="n"/>
      <c r="P565" s="38" t="n"/>
      <c r="Q565" s="38" t="inlineStr">
        <is>
          <t>без сайта, похоже на магазин</t>
        </is>
      </c>
      <c r="R565" s="38" t="n">
        <v>2</v>
      </c>
      <c r="S565" s="38" t="inlineStr">
        <is>
          <t>Воронежская область</t>
        </is>
      </c>
      <c r="T565" s="38" t="inlineStr">
        <is>
          <t>Здравствуйте! Смотрел в 2ГИС, кто делает кровлю в Воронеже, и нашёл «Кров-комплект». Сайта в карточке нет.
Готов за вечер собрать сайт для «Кров-комплект» и показать вам. Денег вперёд не беру. Собрать?</t>
        </is>
      </c>
      <c r="U565" s="38">
        <f>B565&amp;IF(D565&lt;&gt;""," · "&amp;D565,"")&amp;IF(F565&lt;&gt;"",CHAR(10)&amp;F565,"")</f>
        <v/>
      </c>
      <c r="V565" s="38">
        <f>IF(OR(F565="просрочено",F565="сегодня",F565="укажи дату",LEFT(F565,6)="молчит"),1,0)</f>
        <v/>
      </c>
    </row>
    <row r="566" ht="24" customHeight="1">
      <c r="A566" s="38" t="n">
        <v>565</v>
      </c>
      <c r="B566" s="32" t="inlineStr">
        <is>
          <t>Донворот</t>
        </is>
      </c>
      <c r="C566" s="49" t="inlineStr">
        <is>
          <t>Очередь</t>
        </is>
      </c>
      <c r="D566" s="49" t="n"/>
      <c r="E566" s="50" t="n"/>
      <c r="F566" s="51">
        <f>IF(OR(C566="",C566="Очередь",C566="Клиент",C566="Отказ",C566="Не писать"),"",IF(E566="",IF(AND(C566="Отправлено",I566&lt;&gt;"",TODAY()-INT(I566)&gt;=3),"молчит "&amp;(TODAY()-INT(I566))&amp;" дн.",IF(OR(C566="Перезвонить",C566="Созвон"),"укажи дату","")),IF(INT(E566)&lt;TODAY(),"просрочено",IF(INT(E566)=TODAY(),"сегодня",IF(INT(E566)=TODAY()+1,"завтра",TEXT(E566,"dd.mm"))))))</f>
        <v/>
      </c>
      <c r="G566" s="52" t="n"/>
      <c r="H566" s="36" t="inlineStr">
        <is>
          <t>79065859594</t>
        </is>
      </c>
      <c r="I566" s="53" t="n"/>
      <c r="J566" s="38">
        <f>IFERROR(MATCH(C566,'Справка'!$A$12:$A$21,0),99)</f>
        <v/>
      </c>
      <c r="K566" s="39">
        <f>HYPERLINK("https://wa.me/"&amp;H566&amp;"?text="&amp;ENCODEURL(T566),"✉ Написать")</f>
        <v/>
      </c>
      <c r="L566" s="39">
        <f>HYPERLINK("https://wa.me/"&amp;H566,"Открыть чат")</f>
        <v/>
      </c>
      <c r="M566" s="38" t="inlineStr">
        <is>
          <t>Воронеж</t>
        </is>
      </c>
      <c r="N566" s="38" t="n"/>
      <c r="O566" s="38" t="n"/>
      <c r="P566" s="38" t="n"/>
      <c r="Q566" s="38" t="inlineStr">
        <is>
          <t>без сайта, похоже на магазин</t>
        </is>
      </c>
      <c r="R566" s="38" t="n">
        <v>2</v>
      </c>
      <c r="S566" s="38" t="inlineStr">
        <is>
          <t>Воронежская область</t>
        </is>
      </c>
      <c r="T566" s="38" t="inlineStr">
        <is>
          <t>Здравствуйте! Нашёл вас в 2ГИС среди кровельных компаний в Воронеже, а сайта в карточке не нашёл.
Могу собрать сайт под «Донворот» за вечер и показать. Не понравится — ничего не должны. Сделать?</t>
        </is>
      </c>
      <c r="U566" s="38">
        <f>B566&amp;IF(D566&lt;&gt;""," · "&amp;D566,"")&amp;IF(F566&lt;&gt;"",CHAR(10)&amp;F566,"")</f>
        <v/>
      </c>
      <c r="V566" s="38">
        <f>IF(OR(F566="просрочено",F566="сегодня",F566="укажи дату",LEFT(F566,6)="молчит"),1,0)</f>
        <v/>
      </c>
    </row>
    <row r="567" ht="24" customHeight="1">
      <c r="A567" s="38" t="n">
        <v>566</v>
      </c>
      <c r="B567" s="32" t="inlineStr">
        <is>
          <t>Protan</t>
        </is>
      </c>
      <c r="C567" s="49" t="inlineStr">
        <is>
          <t>Очередь</t>
        </is>
      </c>
      <c r="D567" s="49" t="n"/>
      <c r="E567" s="50" t="n"/>
      <c r="F567" s="51">
        <f>IF(OR(C567="",C567="Очередь",C567="Клиент",C567="Отказ",C567="Не писать"),"",IF(E567="",IF(AND(C567="Отправлено",I567&lt;&gt;"",TODAY()-INT(I567)&gt;=3),"молчит "&amp;(TODAY()-INT(I567))&amp;" дн.",IF(OR(C567="Перезвонить",C567="Созвон"),"укажи дату","")),IF(INT(E567)&lt;TODAY(),"просрочено",IF(INT(E567)=TODAY(),"сегодня",IF(INT(E567)=TODAY()+1,"завтра",TEXT(E567,"dd.mm"))))))</f>
        <v/>
      </c>
      <c r="G567" s="52" t="n"/>
      <c r="H567" s="36" t="inlineStr">
        <is>
          <t>79049700036</t>
        </is>
      </c>
      <c r="I567" s="53" t="n"/>
      <c r="J567" s="38">
        <f>IFERROR(MATCH(C567,'Справка'!$A$12:$A$21,0),99)</f>
        <v/>
      </c>
      <c r="K567" s="39">
        <f>HYPERLINK("https://wa.me/"&amp;H567&amp;"?text="&amp;ENCODEURL(T567),"✉ Написать")</f>
        <v/>
      </c>
      <c r="L567" s="39">
        <f>HYPERLINK("https://wa.me/"&amp;H567,"Открыть чат")</f>
        <v/>
      </c>
      <c r="M567" s="38" t="inlineStr">
        <is>
          <t>Сочи</t>
        </is>
      </c>
      <c r="N567" s="38" t="n"/>
      <c r="O567" s="38" t="n"/>
      <c r="P567" s="38" t="n"/>
      <c r="Q567" s="38" t="inlineStr">
        <is>
          <t>без сайта, похоже на магазин</t>
        </is>
      </c>
      <c r="R567" s="38" t="n">
        <v>2</v>
      </c>
      <c r="S567" s="38" t="inlineStr">
        <is>
          <t>Краснодарский край</t>
        </is>
      </c>
      <c r="T567" s="38" t="inlineStr">
        <is>
          <t>Здравствуйте! Искал в 2ГИС кровельные компании в Сочи и наткнулся на вас. Сайта в карточке не увидел.
Могу за вечер собрать для «Protan» сайт и показать. Платить не нужно, пока не понравится. Собрать?</t>
        </is>
      </c>
      <c r="U567" s="38">
        <f>B567&amp;IF(D567&lt;&gt;""," · "&amp;D567,"")&amp;IF(F567&lt;&gt;"",CHAR(10)&amp;F567,"")</f>
        <v/>
      </c>
      <c r="V567" s="38">
        <f>IF(OR(F567="просрочено",F567="сегодня",F567="укажи дату",LEFT(F567,6)="молчит"),1,0)</f>
        <v/>
      </c>
    </row>
    <row r="568" ht="24" customHeight="1">
      <c r="A568" s="38" t="n">
        <v>567</v>
      </c>
      <c r="B568" s="32" t="inlineStr">
        <is>
          <t>Кровляэксперт</t>
        </is>
      </c>
      <c r="C568" s="49" t="inlineStr">
        <is>
          <t>Очередь</t>
        </is>
      </c>
      <c r="D568" s="49" t="n"/>
      <c r="E568" s="50" t="n"/>
      <c r="F568" s="51">
        <f>IF(OR(C568="",C568="Очередь",C568="Клиент",C568="Отказ",C568="Не писать"),"",IF(E568="",IF(AND(C568="Отправлено",I568&lt;&gt;"",TODAY()-INT(I568)&gt;=3),"молчит "&amp;(TODAY()-INT(I568))&amp;" дн.",IF(OR(C568="Перезвонить",C568="Созвон"),"укажи дату","")),IF(INT(E568)&lt;TODAY(),"просрочено",IF(INT(E568)=TODAY(),"сегодня",IF(INT(E568)=TODAY()+1,"завтра",TEXT(E568,"dd.mm"))))))</f>
        <v/>
      </c>
      <c r="G568" s="52" t="n"/>
      <c r="H568" s="36" t="inlineStr">
        <is>
          <t>79282162411</t>
        </is>
      </c>
      <c r="I568" s="53" t="n"/>
      <c r="J568" s="38">
        <f>IFERROR(MATCH(C568,'Справка'!$A$12:$A$21,0),99)</f>
        <v/>
      </c>
      <c r="K568" s="39">
        <f>HYPERLINK("https://wa.me/"&amp;H568&amp;"?text="&amp;ENCODEURL(T568),"✉ Написать")</f>
        <v/>
      </c>
      <c r="L568" s="39">
        <f>HYPERLINK("https://wa.me/"&amp;H568,"Открыть чат")</f>
        <v/>
      </c>
      <c r="M568" s="38" t="inlineStr">
        <is>
          <t>Сочи</t>
        </is>
      </c>
      <c r="N568" s="38" t="n"/>
      <c r="O568" s="38" t="n"/>
      <c r="P568" s="38" t="n"/>
      <c r="Q568" s="38" t="inlineStr">
        <is>
          <t>без сайта, похоже на магазин</t>
        </is>
      </c>
      <c r="R568" s="38" t="n">
        <v>2</v>
      </c>
      <c r="S568" s="38" t="inlineStr">
        <is>
          <t>Краснодарский край</t>
        </is>
      </c>
      <c r="T568" s="38" t="inlineStr">
        <is>
          <t>Здравствуйте! Смотрел в 2ГИС, кто делает кровлю в Сочи, и нашёл «Кровляэксперт». Сайта в карточке нет.
Готов за вечер собрать сайт для «Кровляэксперт» и показать вам. Денег вперёд не беру. Собрать?</t>
        </is>
      </c>
      <c r="U568" s="38">
        <f>B568&amp;IF(D568&lt;&gt;""," · "&amp;D568,"")&amp;IF(F568&lt;&gt;"",CHAR(10)&amp;F568,"")</f>
        <v/>
      </c>
      <c r="V568" s="38">
        <f>IF(OR(F568="просрочено",F568="сегодня",F568="укажи дату",LEFT(F568,6)="молчит"),1,0)</f>
        <v/>
      </c>
    </row>
    <row r="569" ht="24" customHeight="1">
      <c r="A569" s="38" t="n">
        <v>568</v>
      </c>
      <c r="B569" s="32" t="inlineStr">
        <is>
          <t>Неоруф</t>
        </is>
      </c>
      <c r="C569" s="49" t="inlineStr">
        <is>
          <t>Очередь</t>
        </is>
      </c>
      <c r="D569" s="49" t="n"/>
      <c r="E569" s="50" t="n"/>
      <c r="F569" s="51">
        <f>IF(OR(C569="",C569="Очередь",C569="Клиент",C569="Отказ",C569="Не писать"),"",IF(E569="",IF(AND(C569="Отправлено",I569&lt;&gt;"",TODAY()-INT(I569)&gt;=3),"молчит "&amp;(TODAY()-INT(I569))&amp;" дн.",IF(OR(C569="Перезвонить",C569="Созвон"),"укажи дату","")),IF(INT(E569)&lt;TODAY(),"просрочено",IF(INT(E569)=TODAY(),"сегодня",IF(INT(E569)=TODAY()+1,"завтра",TEXT(E569,"dd.mm"))))))</f>
        <v/>
      </c>
      <c r="G569" s="52" t="n"/>
      <c r="H569" s="36" t="inlineStr">
        <is>
          <t>79524551614</t>
        </is>
      </c>
      <c r="I569" s="53" t="n"/>
      <c r="J569" s="38">
        <f>IFERROR(MATCH(C569,'Справка'!$A$12:$A$21,0),99)</f>
        <v/>
      </c>
      <c r="K569" s="39">
        <f>HYPERLINK("https://wa.me/"&amp;H569&amp;"?text="&amp;ENCODEURL(T569),"✉ Написать")</f>
        <v/>
      </c>
      <c r="L569" s="39">
        <f>HYPERLINK("https://wa.me/"&amp;H569,"Открыть чат")</f>
        <v/>
      </c>
      <c r="M569" s="38" t="inlineStr">
        <is>
          <t>Нижний Новгород</t>
        </is>
      </c>
      <c r="N569" s="38" t="n">
        <v>4.5</v>
      </c>
      <c r="O569" s="38" t="n">
        <v>4</v>
      </c>
      <c r="P569" s="38" t="n"/>
      <c r="Q569" s="38" t="inlineStr">
        <is>
          <t>без сайта, похоже на магазин</t>
        </is>
      </c>
      <c r="R569" s="38" t="n">
        <v>2</v>
      </c>
      <c r="S569" s="38" t="inlineStr">
        <is>
          <t>Нижегородская область</t>
        </is>
      </c>
      <c r="T569" s="38" t="inlineStr">
        <is>
          <t>Здравствуйте! Нашёл вас в 2ГИС среди кровельных компаний в Нижнем Новгороде: оценки высокие, а сайта нет.
Могу собрать сайт под «Неоруф» за вечер и показать. Не понравится — ничего не должны. Сделать?</t>
        </is>
      </c>
      <c r="U569" s="38">
        <f>B569&amp;IF(D569&lt;&gt;""," · "&amp;D569,"")&amp;IF(F569&lt;&gt;"",CHAR(10)&amp;F569,"")</f>
        <v/>
      </c>
      <c r="V569" s="38">
        <f>IF(OR(F569="просрочено",F569="сегодня",F569="укажи дату",LEFT(F569,6)="молчит"),1,0)</f>
        <v/>
      </c>
    </row>
    <row r="570" ht="24" customHeight="1">
      <c r="A570" s="38" t="n">
        <v>569</v>
      </c>
      <c r="B570" s="32" t="inlineStr">
        <is>
          <t>Дзержинский центр кровли</t>
        </is>
      </c>
      <c r="C570" s="49" t="inlineStr">
        <is>
          <t>Очередь</t>
        </is>
      </c>
      <c r="D570" s="49" t="n"/>
      <c r="E570" s="50" t="n"/>
      <c r="F570" s="51">
        <f>IF(OR(C570="",C570="Очередь",C570="Клиент",C570="Отказ",C570="Не писать"),"",IF(E570="",IF(AND(C570="Отправлено",I570&lt;&gt;"",TODAY()-INT(I570)&gt;=3),"молчит "&amp;(TODAY()-INT(I570))&amp;" дн.",IF(OR(C570="Перезвонить",C570="Созвон"),"укажи дату","")),IF(INT(E570)&lt;TODAY(),"просрочено",IF(INT(E570)=TODAY(),"сегодня",IF(INT(E570)=TODAY()+1,"завтра",TEXT(E570,"dd.mm"))))))</f>
        <v/>
      </c>
      <c r="G570" s="52" t="n"/>
      <c r="H570" s="36" t="inlineStr">
        <is>
          <t>79200109860</t>
        </is>
      </c>
      <c r="I570" s="53" t="n"/>
      <c r="J570" s="38">
        <f>IFERROR(MATCH(C570,'Справка'!$A$12:$A$21,0),99)</f>
        <v/>
      </c>
      <c r="K570" s="39">
        <f>HYPERLINK("https://wa.me/"&amp;H570&amp;"?text="&amp;ENCODEURL(T570),"✉ Написать")</f>
        <v/>
      </c>
      <c r="L570" s="39">
        <f>HYPERLINK("https://wa.me/"&amp;H570,"Открыть чат")</f>
        <v/>
      </c>
      <c r="M570" s="38" t="inlineStr">
        <is>
          <t>Дзержинск</t>
        </is>
      </c>
      <c r="N570" s="38" t="n">
        <v>5</v>
      </c>
      <c r="O570" s="38" t="n">
        <v>1</v>
      </c>
      <c r="P570" s="38" t="n"/>
      <c r="Q570" s="38" t="inlineStr">
        <is>
          <t>без сайта, похоже на магазин</t>
        </is>
      </c>
      <c r="R570" s="38" t="n">
        <v>2</v>
      </c>
      <c r="S570" s="38" t="inlineStr">
        <is>
          <t>Нижегородская область</t>
        </is>
      </c>
      <c r="T570" s="38" t="inlineStr">
        <is>
          <t>Здравствуйте! Искал в 2ГИС кровельные компании в Дзержинске и наткнулся на вас. Сайта в карточке не увидел.
Могу за вечер собрать для «Дзержинский центр кровли» сайт и показать. Платить не нужно, пока не понравится. Собрать?</t>
        </is>
      </c>
      <c r="U570" s="38">
        <f>B570&amp;IF(D570&lt;&gt;""," · "&amp;D570,"")&amp;IF(F570&lt;&gt;"",CHAR(10)&amp;F570,"")</f>
        <v/>
      </c>
      <c r="V570" s="38">
        <f>IF(OR(F570="просрочено",F570="сегодня",F570="укажи дату",LEFT(F570,6)="молчит"),1,0)</f>
        <v/>
      </c>
    </row>
    <row r="571" ht="24" customHeight="1">
      <c r="A571" s="38" t="n">
        <v>570</v>
      </c>
      <c r="B571" s="32" t="inlineStr">
        <is>
          <t>Югус-НН</t>
        </is>
      </c>
      <c r="C571" s="49" t="inlineStr">
        <is>
          <t>Очередь</t>
        </is>
      </c>
      <c r="D571" s="49" t="n"/>
      <c r="E571" s="50" t="n"/>
      <c r="F571" s="51">
        <f>IF(OR(C571="",C571="Очередь",C571="Клиент",C571="Отказ",C571="Не писать"),"",IF(E571="",IF(AND(C571="Отправлено",I571&lt;&gt;"",TODAY()-INT(I571)&gt;=3),"молчит "&amp;(TODAY()-INT(I571))&amp;" дн.",IF(OR(C571="Перезвонить",C571="Созвон"),"укажи дату","")),IF(INT(E571)&lt;TODAY(),"просрочено",IF(INT(E571)=TODAY(),"сегодня",IF(INT(E571)=TODAY()+1,"завтра",TEXT(E571,"dd.mm"))))))</f>
        <v/>
      </c>
      <c r="G571" s="52" t="n"/>
      <c r="H571" s="36" t="inlineStr">
        <is>
          <t>79519035252</t>
        </is>
      </c>
      <c r="I571" s="53" t="n"/>
      <c r="J571" s="38">
        <f>IFERROR(MATCH(C571,'Справка'!$A$12:$A$21,0),99)</f>
        <v/>
      </c>
      <c r="K571" s="39">
        <f>HYPERLINK("https://wa.me/"&amp;H571&amp;"?text="&amp;ENCODEURL(T571),"✉ Написать")</f>
        <v/>
      </c>
      <c r="L571" s="39">
        <f>HYPERLINK("https://wa.me/"&amp;H571,"Открыть чат")</f>
        <v/>
      </c>
      <c r="M571" s="38" t="inlineStr">
        <is>
          <t>Нижний Новгород</t>
        </is>
      </c>
      <c r="N571" s="38" t="n"/>
      <c r="O571" s="38" t="n"/>
      <c r="P571" s="38" t="n"/>
      <c r="Q571" s="38" t="inlineStr">
        <is>
          <t>без сайта, похоже на магазин</t>
        </is>
      </c>
      <c r="R571" s="38" t="n">
        <v>2</v>
      </c>
      <c r="S571" s="38" t="inlineStr">
        <is>
          <t>Нижегородская область</t>
        </is>
      </c>
      <c r="T571" s="38" t="inlineStr">
        <is>
          <t>Здравствуйте! Смотрел в 2ГИС, кто делает кровлю в Нижнем Новгороде, и нашёл «Югус-НН». Сайта в карточке нет.
Готов за вечер собрать сайт для «Югус-НН» и показать вам. Денег вперёд не беру. Собрать?</t>
        </is>
      </c>
      <c r="U571" s="38">
        <f>B571&amp;IF(D571&lt;&gt;""," · "&amp;D571,"")&amp;IF(F571&lt;&gt;"",CHAR(10)&amp;F571,"")</f>
        <v/>
      </c>
      <c r="V571" s="38">
        <f>IF(OR(F571="просрочено",F571="сегодня",F571="укажи дату",LEFT(F571,6)="молчит"),1,0)</f>
        <v/>
      </c>
    </row>
    <row r="572" ht="24" customHeight="1">
      <c r="A572" s="38" t="n">
        <v>571</v>
      </c>
      <c r="B572" s="32" t="inlineStr">
        <is>
          <t>Талер</t>
        </is>
      </c>
      <c r="C572" s="49" t="inlineStr">
        <is>
          <t>Очередь</t>
        </is>
      </c>
      <c r="D572" s="49" t="n"/>
      <c r="E572" s="50" t="n"/>
      <c r="F572" s="51">
        <f>IF(OR(C572="",C572="Очередь",C572="Клиент",C572="Отказ",C572="Не писать"),"",IF(E572="",IF(AND(C572="Отправлено",I572&lt;&gt;"",TODAY()-INT(I572)&gt;=3),"молчит "&amp;(TODAY()-INT(I572))&amp;" дн.",IF(OR(C572="Перезвонить",C572="Созвон"),"укажи дату","")),IF(INT(E572)&lt;TODAY(),"просрочено",IF(INT(E572)=TODAY(),"сегодня",IF(INT(E572)=TODAY()+1,"завтра",TEXT(E572,"dd.mm"))))))</f>
        <v/>
      </c>
      <c r="G572" s="52" t="n"/>
      <c r="H572" s="36" t="inlineStr">
        <is>
          <t>79107949057</t>
        </is>
      </c>
      <c r="I572" s="53" t="n"/>
      <c r="J572" s="38">
        <f>IFERROR(MATCH(C572,'Справка'!$A$12:$A$21,0),99)</f>
        <v/>
      </c>
      <c r="K572" s="39">
        <f>HYPERLINK("https://wa.me/"&amp;H572&amp;"?text="&amp;ENCODEURL(T572),"✉ Написать")</f>
        <v/>
      </c>
      <c r="L572" s="39">
        <f>HYPERLINK("https://wa.me/"&amp;H572,"Открыть чат")</f>
        <v/>
      </c>
      <c r="M572" s="38" t="inlineStr">
        <is>
          <t>Нижний Новгород</t>
        </is>
      </c>
      <c r="N572" s="38" t="n"/>
      <c r="O572" s="38" t="n"/>
      <c r="P572" s="38" t="n"/>
      <c r="Q572" s="38" t="inlineStr">
        <is>
          <t>без сайта, похоже на магазин</t>
        </is>
      </c>
      <c r="R572" s="38" t="n">
        <v>2</v>
      </c>
      <c r="S572" s="38" t="inlineStr">
        <is>
          <t>Нижегородская область</t>
        </is>
      </c>
      <c r="T572" s="38" t="inlineStr">
        <is>
          <t>Здравствуйте! Нашёл вас в 2ГИС среди кровельных компаний в Нижнем Новгороде, а сайта в карточке не нашёл.
Могу собрать сайт под «Талер» за вечер и показать. Не понравится — ничего не должны. Сделать?</t>
        </is>
      </c>
      <c r="U572" s="38">
        <f>B572&amp;IF(D572&lt;&gt;""," · "&amp;D572,"")&amp;IF(F572&lt;&gt;"",CHAR(10)&amp;F572,"")</f>
        <v/>
      </c>
      <c r="V572" s="38">
        <f>IF(OR(F572="просрочено",F572="сегодня",F572="укажи дату",LEFT(F572,6)="молчит"),1,0)</f>
        <v/>
      </c>
    </row>
    <row r="573" ht="24" customHeight="1">
      <c r="A573" s="38" t="n">
        <v>572</v>
      </c>
      <c r="B573" s="32" t="inlineStr">
        <is>
          <t>Экохимстрой</t>
        </is>
      </c>
      <c r="C573" s="49" t="inlineStr">
        <is>
          <t>Очередь</t>
        </is>
      </c>
      <c r="D573" s="49" t="n"/>
      <c r="E573" s="50" t="n"/>
      <c r="F573" s="51">
        <f>IF(OR(C573="",C573="Очередь",C573="Клиент",C573="Отказ",C573="Не писать"),"",IF(E573="",IF(AND(C573="Отправлено",I573&lt;&gt;"",TODAY()-INT(I573)&gt;=3),"молчит "&amp;(TODAY()-INT(I573))&amp;" дн.",IF(OR(C573="Перезвонить",C573="Созвон"),"укажи дату","")),IF(INT(E573)&lt;TODAY(),"просрочено",IF(INT(E573)=TODAY(),"сегодня",IF(INT(E573)=TODAY()+1,"завтра",TEXT(E573,"dd.mm"))))))</f>
        <v/>
      </c>
      <c r="G573" s="52" t="n"/>
      <c r="H573" s="36" t="inlineStr">
        <is>
          <t>79036042354</t>
        </is>
      </c>
      <c r="I573" s="53" t="n"/>
      <c r="J573" s="38">
        <f>IFERROR(MATCH(C573,'Справка'!$A$12:$A$21,0),99)</f>
        <v/>
      </c>
      <c r="K573" s="39">
        <f>HYPERLINK("https://wa.me/"&amp;H573&amp;"?text="&amp;ENCODEURL(T573),"✉ Написать")</f>
        <v/>
      </c>
      <c r="L573" s="39">
        <f>HYPERLINK("https://wa.me/"&amp;H573,"Открыть чат")</f>
        <v/>
      </c>
      <c r="M573" s="38" t="inlineStr">
        <is>
          <t>Бор</t>
        </is>
      </c>
      <c r="N573" s="38" t="n"/>
      <c r="O573" s="38" t="n"/>
      <c r="P573" s="38" t="n"/>
      <c r="Q573" s="38" t="inlineStr">
        <is>
          <t>без сайта, похоже на магазин</t>
        </is>
      </c>
      <c r="R573" s="38" t="n">
        <v>2</v>
      </c>
      <c r="S573" s="38" t="inlineStr">
        <is>
          <t>Нижегородская область</t>
        </is>
      </c>
      <c r="T573" s="38" t="inlineStr">
        <is>
          <t>Здравствуйте! Искал в 2ГИС кровельные компании в городе Бор и наткнулся на вас. Сайта в карточке не увидел.
Могу за вечер собрать для «Экохимстрой» сайт и показать. Платить не нужно, пока не понравится. Собрать?</t>
        </is>
      </c>
      <c r="U573" s="38">
        <f>B573&amp;IF(D573&lt;&gt;""," · "&amp;D573,"")&amp;IF(F573&lt;&gt;"",CHAR(10)&amp;F573,"")</f>
        <v/>
      </c>
      <c r="V573" s="38">
        <f>IF(OR(F573="просрочено",F573="сегодня",F573="укажи дату",LEFT(F573,6)="молчит"),1,0)</f>
        <v/>
      </c>
    </row>
    <row r="574" ht="24" customHeight="1">
      <c r="A574" s="38" t="n">
        <v>573</v>
      </c>
      <c r="B574" s="32" t="inlineStr">
        <is>
          <t>Ирга</t>
        </is>
      </c>
      <c r="C574" s="49" t="inlineStr">
        <is>
          <t>Очередь</t>
        </is>
      </c>
      <c r="D574" s="49" t="n"/>
      <c r="E574" s="50" t="n"/>
      <c r="F574" s="51">
        <f>IF(OR(C574="",C574="Очередь",C574="Клиент",C574="Отказ",C574="Не писать"),"",IF(E574="",IF(AND(C574="Отправлено",I574&lt;&gt;"",TODAY()-INT(I574)&gt;=3),"молчит "&amp;(TODAY()-INT(I574))&amp;" дн.",IF(OR(C574="Перезвонить",C574="Созвон"),"укажи дату","")),IF(INT(E574)&lt;TODAY(),"просрочено",IF(INT(E574)=TODAY(),"сегодня",IF(INT(E574)=TODAY()+1,"завтра",TEXT(E574,"dd.mm"))))))</f>
        <v/>
      </c>
      <c r="G574" s="52" t="n"/>
      <c r="H574" s="36" t="inlineStr">
        <is>
          <t>79023041695</t>
        </is>
      </c>
      <c r="I574" s="53" t="n"/>
      <c r="J574" s="38">
        <f>IFERROR(MATCH(C574,'Справка'!$A$12:$A$21,0),99)</f>
        <v/>
      </c>
      <c r="K574" s="39">
        <f>HYPERLINK("https://wa.me/"&amp;H574&amp;"?text="&amp;ENCODEURL(T574),"✉ Написать")</f>
        <v/>
      </c>
      <c r="L574" s="39">
        <f>HYPERLINK("https://wa.me/"&amp;H574,"Открыть чат")</f>
        <v/>
      </c>
      <c r="M574" s="38" t="inlineStr">
        <is>
          <t>Нижний Новгород</t>
        </is>
      </c>
      <c r="N574" s="38" t="n"/>
      <c r="O574" s="38" t="n"/>
      <c r="P574" s="38" t="n"/>
      <c r="Q574" s="38" t="inlineStr">
        <is>
          <t>без сайта, похоже на магазин</t>
        </is>
      </c>
      <c r="R574" s="38" t="n">
        <v>2</v>
      </c>
      <c r="S574" s="38" t="inlineStr">
        <is>
          <t>Нижегородская область</t>
        </is>
      </c>
      <c r="T574" s="38" t="inlineStr">
        <is>
          <t>Здравствуйте! Смотрел в 2ГИС, кто делает кровлю в Нижнем Новгороде, и нашёл «Ирга». Сайта в карточке нет.
Готов за вечер собрать сайт для «Ирга» и показать вам. Денег вперёд не беру. Собрать?</t>
        </is>
      </c>
      <c r="U574" s="38">
        <f>B574&amp;IF(D574&lt;&gt;""," · "&amp;D574,"")&amp;IF(F574&lt;&gt;"",CHAR(10)&amp;F574,"")</f>
        <v/>
      </c>
      <c r="V574" s="38">
        <f>IF(OR(F574="просрочено",F574="сегодня",F574="укажи дату",LEFT(F574,6)="молчит"),1,0)</f>
        <v/>
      </c>
    </row>
    <row r="575" ht="24" customHeight="1">
      <c r="A575" s="38" t="n">
        <v>574</v>
      </c>
      <c r="B575" s="32" t="inlineStr">
        <is>
          <t>Кровля Плюс</t>
        </is>
      </c>
      <c r="C575" s="49" t="inlineStr">
        <is>
          <t>Очередь</t>
        </is>
      </c>
      <c r="D575" s="49" t="n"/>
      <c r="E575" s="50" t="n"/>
      <c r="F575" s="51">
        <f>IF(OR(C575="",C575="Очередь",C575="Клиент",C575="Отказ",C575="Не писать"),"",IF(E575="",IF(AND(C575="Отправлено",I575&lt;&gt;"",TODAY()-INT(I575)&gt;=3),"молчит "&amp;(TODAY()-INT(I575))&amp;" дн.",IF(OR(C575="Перезвонить",C575="Созвон"),"укажи дату","")),IF(INT(E575)&lt;TODAY(),"просрочено",IF(INT(E575)=TODAY(),"сегодня",IF(INT(E575)=TODAY()+1,"завтра",TEXT(E575,"dd.mm"))))))</f>
        <v/>
      </c>
      <c r="G575" s="52" t="n"/>
      <c r="H575" s="36" t="inlineStr">
        <is>
          <t>79200190466</t>
        </is>
      </c>
      <c r="I575" s="53" t="n"/>
      <c r="J575" s="38">
        <f>IFERROR(MATCH(C575,'Справка'!$A$12:$A$21,0),99)</f>
        <v/>
      </c>
      <c r="K575" s="39">
        <f>HYPERLINK("https://wa.me/"&amp;H575&amp;"?text="&amp;ENCODEURL(T575),"✉ Написать")</f>
        <v/>
      </c>
      <c r="L575" s="39">
        <f>HYPERLINK("https://wa.me/"&amp;H575,"Открыть чат")</f>
        <v/>
      </c>
      <c r="M575" s="38" t="inlineStr">
        <is>
          <t>Дзержинск</t>
        </is>
      </c>
      <c r="N575" s="38" t="n"/>
      <c r="O575" s="38" t="n"/>
      <c r="P575" s="38" t="n"/>
      <c r="Q575" s="38" t="inlineStr">
        <is>
          <t>без сайта, похоже на магазин</t>
        </is>
      </c>
      <c r="R575" s="38" t="n">
        <v>2</v>
      </c>
      <c r="S575" s="38" t="inlineStr">
        <is>
          <t>Нижегородская область</t>
        </is>
      </c>
      <c r="T575" s="38" t="inlineStr">
        <is>
          <t>Здравствуйте! Нашёл вас в 2ГИС среди кровельных компаний в Дзержинске, а сайта в карточке не нашёл.
Могу собрать сайт под «Кровля Плюс» за вечер и показать. Не понравится — ничего не должны. Сделать?</t>
        </is>
      </c>
      <c r="U575" s="38">
        <f>B575&amp;IF(D575&lt;&gt;""," · "&amp;D575,"")&amp;IF(F575&lt;&gt;"",CHAR(10)&amp;F575,"")</f>
        <v/>
      </c>
      <c r="V575" s="38">
        <f>IF(OR(F575="просрочено",F575="сегодня",F575="укажи дату",LEFT(F575,6)="молчит"),1,0)</f>
        <v/>
      </c>
    </row>
    <row r="576" ht="24" customHeight="1">
      <c r="A576" s="38" t="n">
        <v>575</v>
      </c>
      <c r="B576" s="32" t="inlineStr">
        <is>
          <t>Арис</t>
        </is>
      </c>
      <c r="C576" s="49" t="inlineStr">
        <is>
          <t>Очередь</t>
        </is>
      </c>
      <c r="D576" s="49" t="n"/>
      <c r="E576" s="50" t="n"/>
      <c r="F576" s="51">
        <f>IF(OR(C576="",C576="Очередь",C576="Клиент",C576="Отказ",C576="Не писать"),"",IF(E576="",IF(AND(C576="Отправлено",I576&lt;&gt;"",TODAY()-INT(I576)&gt;=3),"молчит "&amp;(TODAY()-INT(I576))&amp;" дн.",IF(OR(C576="Перезвонить",C576="Созвон"),"укажи дату","")),IF(INT(E576)&lt;TODAY(),"просрочено",IF(INT(E576)=TODAY(),"сегодня",IF(INT(E576)=TODAY()+1,"завтра",TEXT(E576,"dd.mm"))))))</f>
        <v/>
      </c>
      <c r="G576" s="52" t="n"/>
      <c r="H576" s="36" t="inlineStr">
        <is>
          <t>79036055733</t>
        </is>
      </c>
      <c r="I576" s="53" t="n"/>
      <c r="J576" s="38">
        <f>IFERROR(MATCH(C576,'Справка'!$A$12:$A$21,0),99)</f>
        <v/>
      </c>
      <c r="K576" s="39">
        <f>HYPERLINK("https://wa.me/"&amp;H576&amp;"?text="&amp;ENCODEURL(T576),"✉ Написать")</f>
        <v/>
      </c>
      <c r="L576" s="39">
        <f>HYPERLINK("https://wa.me/"&amp;H576,"Открыть чат")</f>
        <v/>
      </c>
      <c r="M576" s="38" t="inlineStr">
        <is>
          <t>Дзержинск</t>
        </is>
      </c>
      <c r="N576" s="38" t="n"/>
      <c r="O576" s="38" t="n"/>
      <c r="P576" s="38" t="n"/>
      <c r="Q576" s="38" t="inlineStr">
        <is>
          <t>без сайта, похоже на магазин</t>
        </is>
      </c>
      <c r="R576" s="38" t="n">
        <v>2</v>
      </c>
      <c r="S576" s="38" t="inlineStr">
        <is>
          <t>Нижегородская область</t>
        </is>
      </c>
      <c r="T576" s="38" t="inlineStr">
        <is>
          <t>Здравствуйте! Искал в 2ГИС кровельные компании в Дзержинске и наткнулся на вас. Сайта в карточке не увидел.
Могу за вечер собрать для «Арис» сайт и показать. Платить не нужно, пока не понравится. Собрать?</t>
        </is>
      </c>
      <c r="U576" s="38">
        <f>B576&amp;IF(D576&lt;&gt;""," · "&amp;D576,"")&amp;IF(F576&lt;&gt;"",CHAR(10)&amp;F576,"")</f>
        <v/>
      </c>
      <c r="V576" s="38">
        <f>IF(OR(F576="просрочено",F576="сегодня",F576="укажи дату",LEFT(F576,6)="молчит"),1,0)</f>
        <v/>
      </c>
    </row>
    <row r="577" ht="24" customHeight="1">
      <c r="A577" s="38" t="n">
        <v>576</v>
      </c>
      <c r="B577" s="32" t="inlineStr">
        <is>
          <t>Стройград</t>
        </is>
      </c>
      <c r="C577" s="49" t="inlineStr">
        <is>
          <t>Очередь</t>
        </is>
      </c>
      <c r="D577" s="49" t="n"/>
      <c r="E577" s="50" t="n"/>
      <c r="F577" s="51">
        <f>IF(OR(C577="",C577="Очередь",C577="Клиент",C577="Отказ",C577="Не писать"),"",IF(E577="",IF(AND(C577="Отправлено",I577&lt;&gt;"",TODAY()-INT(I577)&gt;=3),"молчит "&amp;(TODAY()-INT(I577))&amp;" дн.",IF(OR(C577="Перезвонить",C577="Созвон"),"укажи дату","")),IF(INT(E577)&lt;TODAY(),"просрочено",IF(INT(E577)=TODAY(),"сегодня",IF(INT(E577)=TODAY()+1,"завтра",TEXT(E577,"dd.mm"))))))</f>
        <v/>
      </c>
      <c r="G577" s="52" t="n"/>
      <c r="H577" s="36" t="inlineStr">
        <is>
          <t>79101076259</t>
        </is>
      </c>
      <c r="I577" s="53" t="n"/>
      <c r="J577" s="38">
        <f>IFERROR(MATCH(C577,'Справка'!$A$12:$A$21,0),99)</f>
        <v/>
      </c>
      <c r="K577" s="39">
        <f>HYPERLINK("https://wa.me/"&amp;H577&amp;"?text="&amp;ENCODEURL(T577),"✉ Написать")</f>
        <v/>
      </c>
      <c r="L577" s="39">
        <f>HYPERLINK("https://wa.me/"&amp;H577,"Открыть чат")</f>
        <v/>
      </c>
      <c r="M577" s="38" t="inlineStr">
        <is>
          <t>Арзамас</t>
        </is>
      </c>
      <c r="N577" s="38" t="n"/>
      <c r="O577" s="38" t="n"/>
      <c r="P577" s="38" t="n"/>
      <c r="Q577" s="38" t="inlineStr">
        <is>
          <t>без сайта, похоже на магазин</t>
        </is>
      </c>
      <c r="R577" s="38" t="n">
        <v>2</v>
      </c>
      <c r="S577" s="38" t="inlineStr">
        <is>
          <t>Нижегородская область</t>
        </is>
      </c>
      <c r="T577" s="38" t="inlineStr">
        <is>
          <t>Здравствуйте! Смотрел в 2ГИС, кто делает кровлю в Арзамасе, и нашёл «Стройград». Сайта в карточке нет.
Готов за вечер собрать сайт для «Стройград» и показать вам. Денег вперёд не беру. Собрать?</t>
        </is>
      </c>
      <c r="U577" s="38">
        <f>B577&amp;IF(D577&lt;&gt;""," · "&amp;D577,"")&amp;IF(F577&lt;&gt;"",CHAR(10)&amp;F577,"")</f>
        <v/>
      </c>
      <c r="V577" s="38">
        <f>IF(OR(F577="просрочено",F577="сегодня",F577="укажи дату",LEFT(F577,6)="молчит"),1,0)</f>
        <v/>
      </c>
    </row>
    <row r="578" ht="24" customHeight="1">
      <c r="A578" s="38" t="n">
        <v>577</v>
      </c>
      <c r="B578" s="32" t="inlineStr">
        <is>
          <t>Кровля всем</t>
        </is>
      </c>
      <c r="C578" s="49" t="inlineStr">
        <is>
          <t>Очередь</t>
        </is>
      </c>
      <c r="D578" s="49" t="n"/>
      <c r="E578" s="50" t="n"/>
      <c r="F578" s="51">
        <f>IF(OR(C578="",C578="Очередь",C578="Клиент",C578="Отказ",C578="Не писать"),"",IF(E578="",IF(AND(C578="Отправлено",I578&lt;&gt;"",TODAY()-INT(I578)&gt;=3),"молчит "&amp;(TODAY()-INT(I578))&amp;" дн.",IF(OR(C578="Перезвонить",C578="Созвон"),"укажи дату","")),IF(INT(E578)&lt;TODAY(),"просрочено",IF(INT(E578)=TODAY(),"сегодня",IF(INT(E578)=TODAY()+1,"завтра",TEXT(E578,"dd.mm"))))))</f>
        <v/>
      </c>
      <c r="G578" s="52" t="n"/>
      <c r="H578" s="36" t="inlineStr">
        <is>
          <t>79272494120</t>
        </is>
      </c>
      <c r="I578" s="53" t="n"/>
      <c r="J578" s="38">
        <f>IFERROR(MATCH(C578,'Справка'!$A$12:$A$21,0),99)</f>
        <v/>
      </c>
      <c r="K578" s="39">
        <f>HYPERLINK("https://wa.me/"&amp;H578&amp;"?text="&amp;ENCODEURL(T578),"✉ Написать")</f>
        <v/>
      </c>
      <c r="L578" s="39">
        <f>HYPERLINK("https://wa.me/"&amp;H578,"Открыть чат")</f>
        <v/>
      </c>
      <c r="M578" s="38" t="inlineStr">
        <is>
          <t>Казань</t>
        </is>
      </c>
      <c r="N578" s="38" t="n">
        <v>1</v>
      </c>
      <c r="O578" s="38" t="n">
        <v>1</v>
      </c>
      <c r="P578" s="38" t="n"/>
      <c r="Q578" s="38" t="inlineStr">
        <is>
          <t>без сайта, похоже на магазин</t>
        </is>
      </c>
      <c r="R578" s="38" t="n">
        <v>2</v>
      </c>
      <c r="S578" s="38" t="inlineStr">
        <is>
          <t>Республика Татарстан</t>
        </is>
      </c>
      <c r="T578" s="38" t="inlineStr">
        <is>
          <t>Здравствуйте! Нашёл вас в 2ГИС среди кровельных компаний в Казани, а сайта в карточке не нашёл.
Могу собрать сайт под «Кровля всем» за вечер и показать. Не понравится — ничего не должны. Сделать?</t>
        </is>
      </c>
      <c r="U578" s="38">
        <f>B578&amp;IF(D578&lt;&gt;""," · "&amp;D578,"")&amp;IF(F578&lt;&gt;"",CHAR(10)&amp;F578,"")</f>
        <v/>
      </c>
      <c r="V578" s="38">
        <f>IF(OR(F578="просрочено",F578="сегодня",F578="укажи дату",LEFT(F578,6)="молчит"),1,0)</f>
        <v/>
      </c>
    </row>
    <row r="579" ht="24" customHeight="1">
      <c r="A579" s="38" t="n">
        <v>578</v>
      </c>
      <c r="B579" s="32" t="inlineStr">
        <is>
          <t>Скиф</t>
        </is>
      </c>
      <c r="C579" s="49" t="inlineStr">
        <is>
          <t>Очередь</t>
        </is>
      </c>
      <c r="D579" s="49" t="n"/>
      <c r="E579" s="50" t="n"/>
      <c r="F579" s="51">
        <f>IF(OR(C579="",C579="Очередь",C579="Клиент",C579="Отказ",C579="Не писать"),"",IF(E579="",IF(AND(C579="Отправлено",I579&lt;&gt;"",TODAY()-INT(I579)&gt;=3),"молчит "&amp;(TODAY()-INT(I579))&amp;" дн.",IF(OR(C579="Перезвонить",C579="Созвон"),"укажи дату","")),IF(INT(E579)&lt;TODAY(),"просрочено",IF(INT(E579)=TODAY(),"сегодня",IF(INT(E579)=TODAY()+1,"завтра",TEXT(E579,"dd.mm"))))))</f>
        <v/>
      </c>
      <c r="G579" s="52" t="n"/>
      <c r="H579" s="36" t="inlineStr">
        <is>
          <t>79872979101</t>
        </is>
      </c>
      <c r="I579" s="53" t="n"/>
      <c r="J579" s="38">
        <f>IFERROR(MATCH(C579,'Справка'!$A$12:$A$21,0),99)</f>
        <v/>
      </c>
      <c r="K579" s="39">
        <f>HYPERLINK("https://wa.me/"&amp;H579&amp;"?text="&amp;ENCODEURL(T579),"✉ Написать")</f>
        <v/>
      </c>
      <c r="L579" s="39">
        <f>HYPERLINK("https://wa.me/"&amp;H579,"Открыть чат")</f>
        <v/>
      </c>
      <c r="M579" s="38" t="inlineStr">
        <is>
          <t>Казань</t>
        </is>
      </c>
      <c r="N579" s="38" t="n"/>
      <c r="O579" s="38" t="n"/>
      <c r="P579" s="38" t="n"/>
      <c r="Q579" s="38" t="inlineStr">
        <is>
          <t>без сайта, похоже на магазин</t>
        </is>
      </c>
      <c r="R579" s="38" t="n">
        <v>2</v>
      </c>
      <c r="S579" s="38" t="inlineStr">
        <is>
          <t>Республика Татарстан</t>
        </is>
      </c>
      <c r="T579" s="38" t="inlineStr">
        <is>
          <t>Здравствуйте! Искал в 2ГИС кровельные компании в Казани и наткнулся на вас. Сайта в карточке не увидел.
Могу за вечер собрать для «Скиф» сайт и показать. Платить не нужно, пока не понравится. Собрать?</t>
        </is>
      </c>
      <c r="U579" s="38">
        <f>B579&amp;IF(D579&lt;&gt;""," · "&amp;D579,"")&amp;IF(F579&lt;&gt;"",CHAR(10)&amp;F579,"")</f>
        <v/>
      </c>
      <c r="V579" s="38">
        <f>IF(OR(F579="просрочено",F579="сегодня",F579="укажи дату",LEFT(F579,6)="молчит"),1,0)</f>
        <v/>
      </c>
    </row>
    <row r="580" ht="24" customHeight="1">
      <c r="A580" s="38" t="n">
        <v>579</v>
      </c>
      <c r="B580" s="32" t="inlineStr">
        <is>
          <t>Фидэм</t>
        </is>
      </c>
      <c r="C580" s="49" t="inlineStr">
        <is>
          <t>Очередь</t>
        </is>
      </c>
      <c r="D580" s="49" t="n"/>
      <c r="E580" s="50" t="n"/>
      <c r="F580" s="51">
        <f>IF(OR(C580="",C580="Очередь",C580="Клиент",C580="Отказ",C580="Не писать"),"",IF(E580="",IF(AND(C580="Отправлено",I580&lt;&gt;"",TODAY()-INT(I580)&gt;=3),"молчит "&amp;(TODAY()-INT(I580))&amp;" дн.",IF(OR(C580="Перезвонить",C580="Созвон"),"укажи дату","")),IF(INT(E580)&lt;TODAY(),"просрочено",IF(INT(E580)=TODAY(),"сегодня",IF(INT(E580)=TODAY()+1,"завтра",TEXT(E580,"dd.mm"))))))</f>
        <v/>
      </c>
      <c r="G580" s="52" t="n"/>
      <c r="H580" s="36" t="inlineStr">
        <is>
          <t>79600487748</t>
        </is>
      </c>
      <c r="I580" s="53" t="n"/>
      <c r="J580" s="38">
        <f>IFERROR(MATCH(C580,'Справка'!$A$12:$A$21,0),99)</f>
        <v/>
      </c>
      <c r="K580" s="39">
        <f>HYPERLINK("https://wa.me/"&amp;H580&amp;"?text="&amp;ENCODEURL(T580),"✉ Написать")</f>
        <v/>
      </c>
      <c r="L580" s="39">
        <f>HYPERLINK("https://wa.me/"&amp;H580,"Открыть чат")</f>
        <v/>
      </c>
      <c r="M580" s="38" t="inlineStr">
        <is>
          <t>Казань</t>
        </is>
      </c>
      <c r="N580" s="38" t="n"/>
      <c r="O580" s="38" t="n"/>
      <c r="P580" s="38" t="n"/>
      <c r="Q580" s="38" t="inlineStr">
        <is>
          <t>без сайта, похоже на магазин</t>
        </is>
      </c>
      <c r="R580" s="38" t="n">
        <v>2</v>
      </c>
      <c r="S580" s="38" t="inlineStr">
        <is>
          <t>Республика Татарстан</t>
        </is>
      </c>
      <c r="T580" s="38" t="inlineStr">
        <is>
          <t>Здравствуйте! Смотрел в 2ГИС, кто делает кровлю в Казани, и нашёл «Фидэм». Сайта в карточке нет.
Готов за вечер собрать сайт для «Фидэм» и показать вам. Денег вперёд не беру. Собрать?</t>
        </is>
      </c>
      <c r="U580" s="38">
        <f>B580&amp;IF(D580&lt;&gt;""," · "&amp;D580,"")&amp;IF(F580&lt;&gt;"",CHAR(10)&amp;F580,"")</f>
        <v/>
      </c>
      <c r="V580" s="38">
        <f>IF(OR(F580="просрочено",F580="сегодня",F580="укажи дату",LEFT(F580,6)="молчит"),1,0)</f>
        <v/>
      </c>
    </row>
    <row r="581" ht="24" customHeight="1">
      <c r="A581" s="38" t="n">
        <v>580</v>
      </c>
      <c r="B581" s="32" t="inlineStr">
        <is>
          <t>Теплый дом</t>
        </is>
      </c>
      <c r="C581" s="49" t="inlineStr">
        <is>
          <t>Очередь</t>
        </is>
      </c>
      <c r="D581" s="49" t="n"/>
      <c r="E581" s="50" t="n"/>
      <c r="F581" s="51">
        <f>IF(OR(C581="",C581="Очередь",C581="Клиент",C581="Отказ",C581="Не писать"),"",IF(E581="",IF(AND(C581="Отправлено",I581&lt;&gt;"",TODAY()-INT(I581)&gt;=3),"молчит "&amp;(TODAY()-INT(I581))&amp;" дн.",IF(OR(C581="Перезвонить",C581="Созвон"),"укажи дату","")),IF(INT(E581)&lt;TODAY(),"просрочено",IF(INT(E581)=TODAY(),"сегодня",IF(INT(E581)=TODAY()+1,"завтра",TEXT(E581,"dd.mm"))))))</f>
        <v/>
      </c>
      <c r="G581" s="52" t="n"/>
      <c r="H581" s="36" t="inlineStr">
        <is>
          <t>79046601973</t>
        </is>
      </c>
      <c r="I581" s="53" t="n"/>
      <c r="J581" s="38">
        <f>IFERROR(MATCH(C581,'Справка'!$A$12:$A$21,0),99)</f>
        <v/>
      </c>
      <c r="K581" s="39">
        <f>HYPERLINK("https://wa.me/"&amp;H581&amp;"?text="&amp;ENCODEURL(T581),"✉ Написать")</f>
        <v/>
      </c>
      <c r="L581" s="39">
        <f>HYPERLINK("https://wa.me/"&amp;H581,"Открыть чат")</f>
        <v/>
      </c>
      <c r="M581" s="38" t="inlineStr">
        <is>
          <t>Казань</t>
        </is>
      </c>
      <c r="N581" s="38" t="n"/>
      <c r="O581" s="38" t="n"/>
      <c r="P581" s="38" t="n"/>
      <c r="Q581" s="38" t="inlineStr">
        <is>
          <t>без сайта, похоже на магазин</t>
        </is>
      </c>
      <c r="R581" s="38" t="n">
        <v>2</v>
      </c>
      <c r="S581" s="38" t="inlineStr">
        <is>
          <t>Республика Татарстан</t>
        </is>
      </c>
      <c r="T581" s="38" t="inlineStr">
        <is>
          <t>Здравствуйте! Нашёл вас в 2ГИС среди кровельных компаний в Казани, а сайта в карточке не нашёл.
Могу собрать сайт под «Теплый дом» за вечер и показать. Не понравится — ничего не должны. Сделать?</t>
        </is>
      </c>
      <c r="U581" s="38">
        <f>B581&amp;IF(D581&lt;&gt;""," · "&amp;D581,"")&amp;IF(F581&lt;&gt;"",CHAR(10)&amp;F581,"")</f>
        <v/>
      </c>
      <c r="V581" s="38">
        <f>IF(OR(F581="просрочено",F581="сегодня",F581="укажи дату",LEFT(F581,6)="молчит"),1,0)</f>
        <v/>
      </c>
    </row>
    <row r="582" ht="24" customHeight="1">
      <c r="A582" s="38" t="n">
        <v>581</v>
      </c>
      <c r="B582" s="32" t="inlineStr">
        <is>
          <t>Кровля Центр</t>
        </is>
      </c>
      <c r="C582" s="49" t="inlineStr">
        <is>
          <t>Очередь</t>
        </is>
      </c>
      <c r="D582" s="49" t="n"/>
      <c r="E582" s="50" t="n"/>
      <c r="F582" s="51">
        <f>IF(OR(C582="",C582="Очередь",C582="Клиент",C582="Отказ",C582="Не писать"),"",IF(E582="",IF(AND(C582="Отправлено",I582&lt;&gt;"",TODAY()-INT(I582)&gt;=3),"молчит "&amp;(TODAY()-INT(I582))&amp;" дн.",IF(OR(C582="Перезвонить",C582="Созвон"),"укажи дату","")),IF(INT(E582)&lt;TODAY(),"просрочено",IF(INT(E582)=TODAY(),"сегодня",IF(INT(E582)=TODAY()+1,"завтра",TEXT(E582,"dd.mm"))))))</f>
        <v/>
      </c>
      <c r="G582" s="52" t="n"/>
      <c r="H582" s="36" t="inlineStr">
        <is>
          <t>79281049854</t>
        </is>
      </c>
      <c r="I582" s="53" t="n"/>
      <c r="J582" s="38">
        <f>IFERROR(MATCH(C582,'Справка'!$A$12:$A$21,0),99)</f>
        <v/>
      </c>
      <c r="K582" s="39">
        <f>HYPERLINK("https://wa.me/"&amp;H582&amp;"?text="&amp;ENCODEURL(T582),"✉ Написать")</f>
        <v/>
      </c>
      <c r="L582" s="39">
        <f>HYPERLINK("https://wa.me/"&amp;H582,"Открыть чат")</f>
        <v/>
      </c>
      <c r="M582" s="38" t="inlineStr">
        <is>
          <t>Азов</t>
        </is>
      </c>
      <c r="N582" s="38" t="n"/>
      <c r="O582" s="38" t="n"/>
      <c r="P582" s="38" t="n"/>
      <c r="Q582" s="38" t="inlineStr">
        <is>
          <t>без сайта, похоже на магазин</t>
        </is>
      </c>
      <c r="R582" s="38" t="n">
        <v>2</v>
      </c>
      <c r="S582" s="38" t="inlineStr">
        <is>
          <t>Ростовская область</t>
        </is>
      </c>
      <c r="T582" s="38" t="inlineStr">
        <is>
          <t>Здравствуйте! Искал в 2ГИС кровельные компании в Азове и наткнулся на вас. Сайта в карточке не увидел.
Могу за вечер собрать для «Кровля Центр» сайт и показать. Платить не нужно, пока не понравится. Собрать?</t>
        </is>
      </c>
      <c r="U582" s="38">
        <f>B582&amp;IF(D582&lt;&gt;""," · "&amp;D582,"")&amp;IF(F582&lt;&gt;"",CHAR(10)&amp;F582,"")</f>
        <v/>
      </c>
      <c r="V582" s="38">
        <f>IF(OR(F582="просрочено",F582="сегодня",F582="укажи дату",LEFT(F582,6)="молчит"),1,0)</f>
        <v/>
      </c>
    </row>
    <row r="583" ht="24" customHeight="1">
      <c r="A583" s="38" t="n">
        <v>582</v>
      </c>
      <c r="B583" s="32" t="inlineStr">
        <is>
          <t>Торговая компания обогрева кабельных систем</t>
        </is>
      </c>
      <c r="C583" s="49" t="inlineStr">
        <is>
          <t>Очередь</t>
        </is>
      </c>
      <c r="D583" s="49" t="n"/>
      <c r="E583" s="50" t="n"/>
      <c r="F583" s="51">
        <f>IF(OR(C583="",C583="Очередь",C583="Клиент",C583="Отказ",C583="Не писать"),"",IF(E583="",IF(AND(C583="Отправлено",I583&lt;&gt;"",TODAY()-INT(I583)&gt;=3),"молчит "&amp;(TODAY()-INT(I583))&amp;" дн.",IF(OR(C583="Перезвонить",C583="Созвон"),"укажи дату","")),IF(INT(E583)&lt;TODAY(),"просрочено",IF(INT(E583)=TODAY(),"сегодня",IF(INT(E583)=TODAY()+1,"завтра",TEXT(E583,"dd.mm"))))))</f>
        <v/>
      </c>
      <c r="G583" s="52" t="n"/>
      <c r="H583" s="36" t="inlineStr">
        <is>
          <t>79277253885</t>
        </is>
      </c>
      <c r="I583" s="53" t="n"/>
      <c r="J583" s="38">
        <f>IFERROR(MATCH(C583,'Справка'!$A$12:$A$21,0),99)</f>
        <v/>
      </c>
      <c r="K583" s="39">
        <f>HYPERLINK("https://wa.me/"&amp;H583&amp;"?text="&amp;ENCODEURL(T583),"✉ Написать")</f>
        <v/>
      </c>
      <c r="L583" s="39">
        <f>HYPERLINK("https://wa.me/"&amp;H583,"Открыть чат")</f>
        <v/>
      </c>
      <c r="M583" s="38" t="inlineStr">
        <is>
          <t>Самара</t>
        </is>
      </c>
      <c r="N583" s="38" t="n"/>
      <c r="O583" s="38" t="n"/>
      <c r="P583" s="38" t="n"/>
      <c r="Q583" s="38" t="inlineStr">
        <is>
          <t>без сайта, похоже на магазин</t>
        </is>
      </c>
      <c r="R583" s="38" t="n">
        <v>2</v>
      </c>
      <c r="S583" s="38" t="inlineStr">
        <is>
          <t>Самарская область</t>
        </is>
      </c>
      <c r="T583" s="38" t="inlineStr">
        <is>
          <t>Здравствуйте! Смотрел в 2ГИС, кто делает кровлю в Самаре, и нашёл «Торговая компания обогрева кабельных систем». Сайта в карточке нет.
Готов за вечер собрать сайт для «Торговая компания обогрева кабельных систем» и показать вам. Денег вперёд не беру. Собрать?</t>
        </is>
      </c>
      <c r="U583" s="38">
        <f>B583&amp;IF(D583&lt;&gt;""," · "&amp;D583,"")&amp;IF(F583&lt;&gt;"",CHAR(10)&amp;F583,"")</f>
        <v/>
      </c>
      <c r="V583" s="38">
        <f>IF(OR(F583="просрочено",F583="сегодня",F583="укажи дату",LEFT(F583,6)="молчит"),1,0)</f>
        <v/>
      </c>
    </row>
    <row r="584" ht="24" customHeight="1">
      <c r="A584" s="38" t="n">
        <v>583</v>
      </c>
      <c r="B584" s="32" t="inlineStr">
        <is>
          <t>Гарант Металл</t>
        </is>
      </c>
      <c r="C584" s="49" t="inlineStr">
        <is>
          <t>Очередь</t>
        </is>
      </c>
      <c r="D584" s="49" t="n"/>
      <c r="E584" s="50" t="n"/>
      <c r="F584" s="51">
        <f>IF(OR(C584="",C584="Очередь",C584="Клиент",C584="Отказ",C584="Не писать"),"",IF(E584="",IF(AND(C584="Отправлено",I584&lt;&gt;"",TODAY()-INT(I584)&gt;=3),"молчит "&amp;(TODAY()-INT(I584))&amp;" дн.",IF(OR(C584="Перезвонить",C584="Созвон"),"укажи дату","")),IF(INT(E584)&lt;TODAY(),"просрочено",IF(INT(E584)=TODAY(),"сегодня",IF(INT(E584)=TODAY()+1,"завтра",TEXT(E584,"dd.mm"))))))</f>
        <v/>
      </c>
      <c r="G584" s="52" t="n"/>
      <c r="H584" s="36" t="inlineStr">
        <is>
          <t>79624392944</t>
        </is>
      </c>
      <c r="I584" s="53" t="n"/>
      <c r="J584" s="38">
        <f>IFERROR(MATCH(C584,'Справка'!$A$12:$A$21,0),99)</f>
        <v/>
      </c>
      <c r="K584" s="39">
        <f>HYPERLINK("https://wa.me/"&amp;H584&amp;"?text="&amp;ENCODEURL(T584),"✉ Написать")</f>
        <v/>
      </c>
      <c r="L584" s="39">
        <f>HYPERLINK("https://wa.me/"&amp;H584,"Открыть чат")</f>
        <v/>
      </c>
      <c r="M584" s="38" t="inlineStr">
        <is>
          <t>Михайловск</t>
        </is>
      </c>
      <c r="N584" s="38" t="n">
        <v>2.6</v>
      </c>
      <c r="O584" s="38" t="n">
        <v>16</v>
      </c>
      <c r="P584" s="38" t="n"/>
      <c r="Q584" s="38" t="inlineStr">
        <is>
          <t>без сайта, похоже на магазин</t>
        </is>
      </c>
      <c r="R584" s="38" t="n">
        <v>2</v>
      </c>
      <c r="S584" s="38" t="inlineStr">
        <is>
          <t>Ставропольский край</t>
        </is>
      </c>
      <c r="T584" s="38" t="inlineStr">
        <is>
          <t>Здравствуйте! Нашёл вас в 2ГИС среди кровельных компаний в Михайловске, а сайта в карточке не нашёл.
Могу собрать сайт под «Гарант Металл» за вечер и показать. Не понравится — ничего не должны. Сделать?</t>
        </is>
      </c>
      <c r="U584" s="38">
        <f>B584&amp;IF(D584&lt;&gt;""," · "&amp;D584,"")&amp;IF(F584&lt;&gt;"",CHAR(10)&amp;F584,"")</f>
        <v/>
      </c>
      <c r="V584" s="38">
        <f>IF(OR(F584="просрочено",F584="сегодня",F584="укажи дату",LEFT(F584,6)="молчит"),1,0)</f>
        <v/>
      </c>
    </row>
    <row r="585" ht="24" customHeight="1">
      <c r="A585" s="38" t="n">
        <v>584</v>
      </c>
      <c r="B585" s="32" t="inlineStr">
        <is>
          <t>Компания по производству и продаже кровельных материалов</t>
        </is>
      </c>
      <c r="C585" s="49" t="inlineStr">
        <is>
          <t>Очередь</t>
        </is>
      </c>
      <c r="D585" s="49" t="n"/>
      <c r="E585" s="50" t="n"/>
      <c r="F585" s="51">
        <f>IF(OR(C585="",C585="Очередь",C585="Клиент",C585="Отказ",C585="Не писать"),"",IF(E585="",IF(AND(C585="Отправлено",I585&lt;&gt;"",TODAY()-INT(I585)&gt;=3),"молчит "&amp;(TODAY()-INT(I585))&amp;" дн.",IF(OR(C585="Перезвонить",C585="Созвон"),"укажи дату","")),IF(INT(E585)&lt;TODAY(),"просрочено",IF(INT(E585)=TODAY(),"сегодня",IF(INT(E585)=TODAY()+1,"завтра",TEXT(E585,"dd.mm"))))))</f>
        <v/>
      </c>
      <c r="G585" s="52" t="n"/>
      <c r="H585" s="36" t="inlineStr">
        <is>
          <t>79286531868</t>
        </is>
      </c>
      <c r="I585" s="53" t="n"/>
      <c r="J585" s="38">
        <f>IFERROR(MATCH(C585,'Справка'!$A$12:$A$21,0),99)</f>
        <v/>
      </c>
      <c r="K585" s="39">
        <f>HYPERLINK("https://wa.me/"&amp;H585&amp;"?text="&amp;ENCODEURL(T585),"✉ Написать")</f>
        <v/>
      </c>
      <c r="L585" s="39">
        <f>HYPERLINK("https://wa.me/"&amp;H585,"Открыть чат")</f>
        <v/>
      </c>
      <c r="M585" s="38" t="inlineStr">
        <is>
          <t>Ставрополь</t>
        </is>
      </c>
      <c r="N585" s="38" t="n">
        <v>5</v>
      </c>
      <c r="O585" s="38" t="n">
        <v>1</v>
      </c>
      <c r="P585" s="38" t="n"/>
      <c r="Q585" s="38" t="inlineStr">
        <is>
          <t>без сайта, похоже на магазин</t>
        </is>
      </c>
      <c r="R585" s="38" t="n">
        <v>2</v>
      </c>
      <c r="S585" s="38" t="inlineStr">
        <is>
          <t>Ставропольский край</t>
        </is>
      </c>
      <c r="T585" s="38" t="inlineStr">
        <is>
          <t>Здравствуйте! Искал в 2ГИС кровельные компании в Ставрополе и наткнулся на вас. Сайта в карточке не увидел.
Могу за вечер собрать для «Компания по производству и продаже кровельных материалов» сайт и показать. Платить не нужно, пока не понравится. Собрать?</t>
        </is>
      </c>
      <c r="U585" s="38">
        <f>B585&amp;IF(D585&lt;&gt;""," · "&amp;D585,"")&amp;IF(F585&lt;&gt;"",CHAR(10)&amp;F585,"")</f>
        <v/>
      </c>
      <c r="V585" s="38">
        <f>IF(OR(F585="просрочено",F585="сегодня",F585="укажи дату",LEFT(F585,6)="молчит"),1,0)</f>
        <v/>
      </c>
    </row>
    <row r="586" ht="24" customHeight="1">
      <c r="A586" s="38" t="n">
        <v>585</v>
      </c>
      <c r="B586" s="32" t="inlineStr">
        <is>
          <t>Сим</t>
        </is>
      </c>
      <c r="C586" s="49" t="inlineStr">
        <is>
          <t>Очередь</t>
        </is>
      </c>
      <c r="D586" s="49" t="n"/>
      <c r="E586" s="50" t="n"/>
      <c r="F586" s="51">
        <f>IF(OR(C586="",C586="Очередь",C586="Клиент",C586="Отказ",C586="Не писать"),"",IF(E586="",IF(AND(C586="Отправлено",I586&lt;&gt;"",TODAY()-INT(I586)&gt;=3),"молчит "&amp;(TODAY()-INT(I586))&amp;" дн.",IF(OR(C586="Перезвонить",C586="Созвон"),"укажи дату","")),IF(INT(E586)&lt;TODAY(),"просрочено",IF(INT(E586)=TODAY(),"сегодня",IF(INT(E586)=TODAY()+1,"завтра",TEXT(E586,"dd.mm"))))))</f>
        <v/>
      </c>
      <c r="G586" s="52" t="n"/>
      <c r="H586" s="36" t="inlineStr">
        <is>
          <t>79187470054</t>
        </is>
      </c>
      <c r="I586" s="53" t="n"/>
      <c r="J586" s="38">
        <f>IFERROR(MATCH(C586,'Справка'!$A$12:$A$21,0),99)</f>
        <v/>
      </c>
      <c r="K586" s="39">
        <f>HYPERLINK("https://wa.me/"&amp;H586&amp;"?text="&amp;ENCODEURL(T586),"✉ Написать")</f>
        <v/>
      </c>
      <c r="L586" s="39">
        <f>HYPERLINK("https://wa.me/"&amp;H586,"Открыть чат")</f>
        <v/>
      </c>
      <c r="M586" s="38" t="inlineStr">
        <is>
          <t>Ставрополь</t>
        </is>
      </c>
      <c r="N586" s="38" t="n"/>
      <c r="O586" s="38" t="n"/>
      <c r="P586" s="38" t="n"/>
      <c r="Q586" s="38" t="inlineStr">
        <is>
          <t>без сайта, похоже на магазин</t>
        </is>
      </c>
      <c r="R586" s="38" t="n">
        <v>2</v>
      </c>
      <c r="S586" s="38" t="inlineStr">
        <is>
          <t>Ставропольский край</t>
        </is>
      </c>
      <c r="T586" s="38" t="inlineStr">
        <is>
          <t>Здравствуйте! Смотрел в 2ГИС, кто делает кровлю в Ставрополе, и нашёл «Сим». Сайта в карточке нет.
Готов за вечер собрать сайт для «Сим» и показать вам. Денег вперёд не беру. Собрать?</t>
        </is>
      </c>
      <c r="U586" s="38">
        <f>B586&amp;IF(D586&lt;&gt;""," · "&amp;D586,"")&amp;IF(F586&lt;&gt;"",CHAR(10)&amp;F586,"")</f>
        <v/>
      </c>
      <c r="V586" s="38">
        <f>IF(OR(F586="просрочено",F586="сегодня",F586="укажи дату",LEFT(F586,6)="молчит"),1,0)</f>
        <v/>
      </c>
    </row>
    <row r="587" ht="24" customHeight="1">
      <c r="A587" s="38" t="n">
        <v>586</v>
      </c>
      <c r="B587" s="32" t="inlineStr">
        <is>
          <t>Надёжная Кровля</t>
        </is>
      </c>
      <c r="C587" s="49" t="inlineStr">
        <is>
          <t>Очередь</t>
        </is>
      </c>
      <c r="D587" s="49" t="n"/>
      <c r="E587" s="50" t="n"/>
      <c r="F587" s="51">
        <f>IF(OR(C587="",C587="Очередь",C587="Клиент",C587="Отказ",C587="Не писать"),"",IF(E587="",IF(AND(C587="Отправлено",I587&lt;&gt;"",TODAY()-INT(I587)&gt;=3),"молчит "&amp;(TODAY()-INT(I587))&amp;" дн.",IF(OR(C587="Перезвонить",C587="Созвон"),"укажи дату","")),IF(INT(E587)&lt;TODAY(),"просрочено",IF(INT(E587)=TODAY(),"сегодня",IF(INT(E587)=TODAY()+1,"завтра",TEXT(E587,"dd.mm"))))))</f>
        <v/>
      </c>
      <c r="G587" s="52" t="n"/>
      <c r="H587" s="36" t="inlineStr">
        <is>
          <t>79289369828</t>
        </is>
      </c>
      <c r="I587" s="53" t="n"/>
      <c r="J587" s="38">
        <f>IFERROR(MATCH(C587,'Справка'!$A$12:$A$21,0),99)</f>
        <v/>
      </c>
      <c r="K587" s="39">
        <f>HYPERLINK("https://wa.me/"&amp;H587&amp;"?text="&amp;ENCODEURL(T587),"✉ Написать")</f>
        <v/>
      </c>
      <c r="L587" s="39">
        <f>HYPERLINK("https://wa.me/"&amp;H587,"Открыть чат")</f>
        <v/>
      </c>
      <c r="M587" s="38" t="inlineStr">
        <is>
          <t>Ставрополь</t>
        </is>
      </c>
      <c r="N587" s="38" t="n"/>
      <c r="O587" s="38" t="n"/>
      <c r="P587" s="38" t="n"/>
      <c r="Q587" s="38" t="inlineStr">
        <is>
          <t>без сайта, похоже на магазин</t>
        </is>
      </c>
      <c r="R587" s="38" t="n">
        <v>2</v>
      </c>
      <c r="S587" s="38" t="inlineStr">
        <is>
          <t>Ставропольский край</t>
        </is>
      </c>
      <c r="T587" s="38" t="inlineStr">
        <is>
          <t>Здравствуйте! Нашёл вас в 2ГИС среди кровельных компаний в Ставрополе, а сайта в карточке не нашёл.
Могу собрать сайт под «Надёжная Кровля» за вечер и показать. Не понравится — ничего не должны. Сделать?</t>
        </is>
      </c>
      <c r="U587" s="38">
        <f>B587&amp;IF(D587&lt;&gt;""," · "&amp;D587,"")&amp;IF(F587&lt;&gt;"",CHAR(10)&amp;F587,"")</f>
        <v/>
      </c>
      <c r="V587" s="38">
        <f>IF(OR(F587="просрочено",F587="сегодня",F587="укажи дату",LEFT(F587,6)="молчит"),1,0)</f>
        <v/>
      </c>
    </row>
    <row r="588" ht="24" customHeight="1">
      <c r="A588" s="38" t="n">
        <v>587</v>
      </c>
      <c r="B588" s="32" t="inlineStr">
        <is>
          <t>Ермак</t>
        </is>
      </c>
      <c r="C588" s="49" t="inlineStr">
        <is>
          <t>Очередь</t>
        </is>
      </c>
      <c r="D588" s="49" t="n"/>
      <c r="E588" s="50" t="n"/>
      <c r="F588" s="51">
        <f>IF(OR(C588="",C588="Очередь",C588="Клиент",C588="Отказ",C588="Не писать"),"",IF(E588="",IF(AND(C588="Отправлено",I588&lt;&gt;"",TODAY()-INT(I588)&gt;=3),"молчит "&amp;(TODAY()-INT(I588))&amp;" дн.",IF(OR(C588="Перезвонить",C588="Созвон"),"укажи дату","")),IF(INT(E588)&lt;TODAY(),"просрочено",IF(INT(E588)=TODAY(),"сегодня",IF(INT(E588)=TODAY()+1,"завтра",TEXT(E588,"dd.mm"))))))</f>
        <v/>
      </c>
      <c r="G588" s="52" t="n"/>
      <c r="H588" s="36" t="inlineStr">
        <is>
          <t>79188663799</t>
        </is>
      </c>
      <c r="I588" s="53" t="n"/>
      <c r="J588" s="38">
        <f>IFERROR(MATCH(C588,'Справка'!$A$12:$A$21,0),99)</f>
        <v/>
      </c>
      <c r="K588" s="39">
        <f>HYPERLINK("https://wa.me/"&amp;H588&amp;"?text="&amp;ENCODEURL(T588),"✉ Написать")</f>
        <v/>
      </c>
      <c r="L588" s="39">
        <f>HYPERLINK("https://wa.me/"&amp;H588,"Открыть чат")</f>
        <v/>
      </c>
      <c r="M588" s="38" t="inlineStr">
        <is>
          <t>Ставрополь</t>
        </is>
      </c>
      <c r="N588" s="38" t="n"/>
      <c r="O588" s="38" t="n"/>
      <c r="P588" s="38" t="n"/>
      <c r="Q588" s="38" t="inlineStr">
        <is>
          <t>без сайта, похоже на магазин</t>
        </is>
      </c>
      <c r="R588" s="38" t="n">
        <v>2</v>
      </c>
      <c r="S588" s="38" t="inlineStr">
        <is>
          <t>Ставропольский край</t>
        </is>
      </c>
      <c r="T588" s="38" t="inlineStr">
        <is>
          <t>Здравствуйте! Искал в 2ГИС кровельные компании в Ставрополе и наткнулся на вас. Сайта в карточке не увидел.
Могу за вечер собрать для «Ермак» сайт и показать. Платить не нужно, пока не понравится. Собрать?</t>
        </is>
      </c>
      <c r="U588" s="38">
        <f>B588&amp;IF(D588&lt;&gt;""," · "&amp;D588,"")&amp;IF(F588&lt;&gt;"",CHAR(10)&amp;F588,"")</f>
        <v/>
      </c>
      <c r="V588" s="38">
        <f>IF(OR(F588="просрочено",F588="сегодня",F588="укажи дату",LEFT(F588,6)="молчит"),1,0)</f>
        <v/>
      </c>
    </row>
    <row r="589" ht="24" customHeight="1">
      <c r="A589" s="38" t="n">
        <v>588</v>
      </c>
      <c r="B589" s="32" t="inlineStr">
        <is>
          <t>Оптовая база</t>
        </is>
      </c>
      <c r="C589" s="49" t="inlineStr">
        <is>
          <t>Очередь</t>
        </is>
      </c>
      <c r="D589" s="49" t="n"/>
      <c r="E589" s="50" t="n"/>
      <c r="F589" s="51">
        <f>IF(OR(C589="",C589="Очередь",C589="Клиент",C589="Отказ",C589="Не писать"),"",IF(E589="",IF(AND(C589="Отправлено",I589&lt;&gt;"",TODAY()-INT(I589)&gt;=3),"молчит "&amp;(TODAY()-INT(I589))&amp;" дн.",IF(OR(C589="Перезвонить",C589="Созвон"),"укажи дату","")),IF(INT(E589)&lt;TODAY(),"просрочено",IF(INT(E589)=TODAY(),"сегодня",IF(INT(E589)=TODAY()+1,"завтра",TEXT(E589,"dd.mm"))))))</f>
        <v/>
      </c>
      <c r="G589" s="52" t="n"/>
      <c r="H589" s="36" t="inlineStr">
        <is>
          <t>79377181565</t>
        </is>
      </c>
      <c r="I589" s="53" t="n"/>
      <c r="J589" s="38">
        <f>IFERROR(MATCH(C589,'Справка'!$A$12:$A$21,0),99)</f>
        <v/>
      </c>
      <c r="K589" s="39">
        <f>HYPERLINK("https://wa.me/"&amp;H589&amp;"?text="&amp;ENCODEURL(T589),"✉ Написать")</f>
        <v/>
      </c>
      <c r="L589" s="39">
        <f>HYPERLINK("https://wa.me/"&amp;H589,"Открыть чат")</f>
        <v/>
      </c>
      <c r="M589" s="38" t="inlineStr">
        <is>
          <t>Николаевск</t>
        </is>
      </c>
      <c r="N589" s="38" t="n">
        <v>5</v>
      </c>
      <c r="O589" s="38" t="n">
        <v>1</v>
      </c>
      <c r="P589" s="38" t="n"/>
      <c r="Q589" s="38" t="inlineStr">
        <is>
          <t>без сайта, WhatsApp не подтверждён, похоже на магазин</t>
        </is>
      </c>
      <c r="R589" s="38" t="n">
        <v>2</v>
      </c>
      <c r="S589" s="38" t="inlineStr">
        <is>
          <t>Волгоградская область</t>
        </is>
      </c>
      <c r="T589" s="38" t="inlineStr">
        <is>
          <t>Здравствуйте! Смотрел в 2ГИС, кто делает кровлю в Николаевске, и нашёл «Оптовая база». Сайта в карточке нет.
Готов за вечер собрать сайт для «Оптовая база» и показать вам. Денег вперёд не беру. Собрать?</t>
        </is>
      </c>
      <c r="U589" s="38">
        <f>B589&amp;IF(D589&lt;&gt;""," · "&amp;D589,"")&amp;IF(F589&lt;&gt;"",CHAR(10)&amp;F589,"")</f>
        <v/>
      </c>
      <c r="V589" s="38">
        <f>IF(OR(F589="просрочено",F589="сегодня",F589="укажи дату",LEFT(F589,6)="молчит"),1,0)</f>
        <v/>
      </c>
    </row>
    <row r="590" ht="24" customHeight="1">
      <c r="A590" s="38" t="n">
        <v>589</v>
      </c>
      <c r="B590" s="32" t="inlineStr">
        <is>
          <t>Кронал</t>
        </is>
      </c>
      <c r="C590" s="49" t="inlineStr">
        <is>
          <t>Очередь</t>
        </is>
      </c>
      <c r="D590" s="49" t="n"/>
      <c r="E590" s="50" t="n"/>
      <c r="F590" s="51">
        <f>IF(OR(C590="",C590="Очередь",C590="Клиент",C590="Отказ",C590="Не писать"),"",IF(E590="",IF(AND(C590="Отправлено",I590&lt;&gt;"",TODAY()-INT(I590)&gt;=3),"молчит "&amp;(TODAY()-INT(I590))&amp;" дн.",IF(OR(C590="Перезвонить",C590="Созвон"),"укажи дату","")),IF(INT(E590)&lt;TODAY(),"просрочено",IF(INT(E590)=TODAY(),"сегодня",IF(INT(E590)=TODAY()+1,"завтра",TEXT(E590,"dd.mm"))))))</f>
        <v/>
      </c>
      <c r="G590" s="52" t="n"/>
      <c r="H590" s="36" t="inlineStr">
        <is>
          <t>79377344571</t>
        </is>
      </c>
      <c r="I590" s="53" t="n"/>
      <c r="J590" s="38">
        <f>IFERROR(MATCH(C590,'Справка'!$A$12:$A$21,0),99)</f>
        <v/>
      </c>
      <c r="K590" s="39">
        <f>HYPERLINK("https://wa.me/"&amp;H590&amp;"?text="&amp;ENCODEURL(T590),"✉ Написать")</f>
        <v/>
      </c>
      <c r="L590" s="39">
        <f>HYPERLINK("https://wa.me/"&amp;H590,"Открыть чат")</f>
        <v/>
      </c>
      <c r="M590" s="38" t="inlineStr">
        <is>
          <t>Волгоград</t>
        </is>
      </c>
      <c r="N590" s="38" t="n"/>
      <c r="O590" s="38" t="n"/>
      <c r="P590" s="38" t="n"/>
      <c r="Q590" s="38" t="inlineStr">
        <is>
          <t>без сайта, WhatsApp не подтверждён, похоже на магазин</t>
        </is>
      </c>
      <c r="R590" s="38" t="n">
        <v>2</v>
      </c>
      <c r="S590" s="38" t="inlineStr">
        <is>
          <t>Волгоградская область</t>
        </is>
      </c>
      <c r="T590" s="38" t="inlineStr">
        <is>
          <t>Здравствуйте! Нашёл вас в 2ГИС среди кровельных компаний в Волгограде, а сайта в карточке не нашёл.
Могу собрать сайт под «Кронал» за вечер и показать. Не понравится — ничего не должны. Сделать?</t>
        </is>
      </c>
      <c r="U590" s="38">
        <f>B590&amp;IF(D590&lt;&gt;""," · "&amp;D590,"")&amp;IF(F590&lt;&gt;"",CHAR(10)&amp;F590,"")</f>
        <v/>
      </c>
      <c r="V590" s="38">
        <f>IF(OR(F590="просрочено",F590="сегодня",F590="укажи дату",LEFT(F590,6)="молчит"),1,0)</f>
        <v/>
      </c>
    </row>
    <row r="591" ht="24" customHeight="1">
      <c r="A591" s="38" t="n">
        <v>590</v>
      </c>
      <c r="B591" s="32" t="inlineStr">
        <is>
          <t>Металлопрофиль</t>
        </is>
      </c>
      <c r="C591" s="49" t="inlineStr">
        <is>
          <t>Очередь</t>
        </is>
      </c>
      <c r="D591" s="49" t="n"/>
      <c r="E591" s="50" t="n"/>
      <c r="F591" s="51">
        <f>IF(OR(C591="",C591="Очередь",C591="Клиент",C591="Отказ",C591="Не писать"),"",IF(E591="",IF(AND(C591="Отправлено",I591&lt;&gt;"",TODAY()-INT(I591)&gt;=3),"молчит "&amp;(TODAY()-INT(I591))&amp;" дн.",IF(OR(C591="Перезвонить",C591="Созвон"),"укажи дату","")),IF(INT(E591)&lt;TODAY(),"просрочено",IF(INT(E591)=TODAY(),"сегодня",IF(INT(E591)=TODAY()+1,"завтра",TEXT(E591,"dd.mm"))))))</f>
        <v/>
      </c>
      <c r="G591" s="52" t="n"/>
      <c r="H591" s="36" t="inlineStr">
        <is>
          <t>79507569166</t>
        </is>
      </c>
      <c r="I591" s="53" t="n"/>
      <c r="J591" s="38">
        <f>IFERROR(MATCH(C591,'Справка'!$A$12:$A$21,0),99)</f>
        <v/>
      </c>
      <c r="K591" s="39">
        <f>HYPERLINK("https://wa.me/"&amp;H591&amp;"?text="&amp;ENCODEURL(T591),"✉ Написать")</f>
        <v/>
      </c>
      <c r="L591" s="39">
        <f>HYPERLINK("https://wa.me/"&amp;H591,"Открыть чат")</f>
        <v/>
      </c>
      <c r="M591" s="38" t="inlineStr">
        <is>
          <t>Россошь</t>
        </is>
      </c>
      <c r="N591" s="38" t="n"/>
      <c r="O591" s="38" t="n"/>
      <c r="P591" s="38" t="n"/>
      <c r="Q591" s="38" t="inlineStr">
        <is>
          <t>без сайта, WhatsApp не подтверждён, похоже на магазин</t>
        </is>
      </c>
      <c r="R591" s="38" t="n">
        <v>2</v>
      </c>
      <c r="S591" s="38" t="inlineStr">
        <is>
          <t>Воронежская область</t>
        </is>
      </c>
      <c r="T591" s="38" t="inlineStr">
        <is>
          <t>Здравствуйте! Искал в 2ГИС кровельные компании в Россоши и наткнулся на вас. Сайта в карточке не увидел.
Могу за вечер собрать для «Металлопрофиль» сайт и показать. Платить не нужно, пока не понравится. Собрать?</t>
        </is>
      </c>
      <c r="U591" s="38">
        <f>B591&amp;IF(D591&lt;&gt;""," · "&amp;D591,"")&amp;IF(F591&lt;&gt;"",CHAR(10)&amp;F591,"")</f>
        <v/>
      </c>
      <c r="V591" s="38">
        <f>IF(OR(F591="просрочено",F591="сегодня",F591="укажи дату",LEFT(F591,6)="молчит"),1,0)</f>
        <v/>
      </c>
    </row>
    <row r="592" ht="24" customHeight="1">
      <c r="A592" s="38" t="n">
        <v>591</v>
      </c>
      <c r="B592" s="32" t="inlineStr">
        <is>
          <t>Саврос</t>
        </is>
      </c>
      <c r="C592" s="49" t="inlineStr">
        <is>
          <t>Очередь</t>
        </is>
      </c>
      <c r="D592" s="49" t="n"/>
      <c r="E592" s="50" t="n"/>
      <c r="F592" s="51">
        <f>IF(OR(C592="",C592="Очередь",C592="Клиент",C592="Отказ",C592="Не писать"),"",IF(E592="",IF(AND(C592="Отправлено",I592&lt;&gt;"",TODAY()-INT(I592)&gt;=3),"молчит "&amp;(TODAY()-INT(I592))&amp;" дн.",IF(OR(C592="Перезвонить",C592="Созвон"),"укажи дату","")),IF(INT(E592)&lt;TODAY(),"просрочено",IF(INT(E592)=TODAY(),"сегодня",IF(INT(E592)=TODAY()+1,"завтра",TEXT(E592,"dd.mm"))))))</f>
        <v/>
      </c>
      <c r="G592" s="52" t="n"/>
      <c r="H592" s="36" t="inlineStr">
        <is>
          <t>79204033377</t>
        </is>
      </c>
      <c r="I592" s="53" t="n"/>
      <c r="J592" s="38">
        <f>IFERROR(MATCH(C592,'Справка'!$A$12:$A$21,0),99)</f>
        <v/>
      </c>
      <c r="K592" s="39">
        <f>HYPERLINK("https://wa.me/"&amp;H592&amp;"?text="&amp;ENCODEURL(T592),"✉ Написать")</f>
        <v/>
      </c>
      <c r="L592" s="39">
        <f>HYPERLINK("https://wa.me/"&amp;H592,"Открыть чат")</f>
        <v/>
      </c>
      <c r="M592" s="38" t="inlineStr">
        <is>
          <t>Россошь</t>
        </is>
      </c>
      <c r="N592" s="38" t="n"/>
      <c r="O592" s="38" t="n"/>
      <c r="P592" s="38" t="n"/>
      <c r="Q592" s="38" t="inlineStr">
        <is>
          <t>без сайта, WhatsApp не подтверждён, похоже на магазин</t>
        </is>
      </c>
      <c r="R592" s="38" t="n">
        <v>2</v>
      </c>
      <c r="S592" s="38" t="inlineStr">
        <is>
          <t>Воронежская область</t>
        </is>
      </c>
      <c r="T592" s="38" t="inlineStr">
        <is>
          <t>Здравствуйте! Смотрел в 2ГИС, кто делает кровлю в Россоши, и нашёл «Саврос». Сайта в карточке нет.
Готов за вечер собрать сайт для «Саврос» и показать вам. Денег вперёд не беру. Собрать?</t>
        </is>
      </c>
      <c r="U592" s="38">
        <f>B592&amp;IF(D592&lt;&gt;""," · "&amp;D592,"")&amp;IF(F592&lt;&gt;"",CHAR(10)&amp;F592,"")</f>
        <v/>
      </c>
      <c r="V592" s="38">
        <f>IF(OR(F592="просрочено",F592="сегодня",F592="укажи дату",LEFT(F592,6)="молчит"),1,0)</f>
        <v/>
      </c>
    </row>
    <row r="593" ht="24" customHeight="1">
      <c r="A593" s="38" t="n">
        <v>592</v>
      </c>
      <c r="B593" s="32" t="inlineStr">
        <is>
          <t>Производственная компания</t>
        </is>
      </c>
      <c r="C593" s="49" t="inlineStr">
        <is>
          <t>Очередь</t>
        </is>
      </c>
      <c r="D593" s="49" t="n"/>
      <c r="E593" s="50" t="n"/>
      <c r="F593" s="51">
        <f>IF(OR(C593="",C593="Очередь",C593="Клиент",C593="Отказ",C593="Не писать"),"",IF(E593="",IF(AND(C593="Отправлено",I593&lt;&gt;"",TODAY()-INT(I593)&gt;=3),"молчит "&amp;(TODAY()-INT(I593))&amp;" дн.",IF(OR(C593="Перезвонить",C593="Созвон"),"укажи дату","")),IF(INT(E593)&lt;TODAY(),"просрочено",IF(INT(E593)=TODAY(),"сегодня",IF(INT(E593)=TODAY()+1,"завтра",TEXT(E593,"dd.mm"))))))</f>
        <v/>
      </c>
      <c r="G593" s="52" t="n"/>
      <c r="H593" s="36" t="inlineStr">
        <is>
          <t>79102493739</t>
        </is>
      </c>
      <c r="I593" s="53" t="n"/>
      <c r="J593" s="38">
        <f>IFERROR(MATCH(C593,'Справка'!$A$12:$A$21,0),99)</f>
        <v/>
      </c>
      <c r="K593" s="39">
        <f>HYPERLINK("https://wa.me/"&amp;H593&amp;"?text="&amp;ENCODEURL(T593),"✉ Написать")</f>
        <v/>
      </c>
      <c r="L593" s="39">
        <f>HYPERLINK("https://wa.me/"&amp;H593,"Открыть чат")</f>
        <v/>
      </c>
      <c r="M593" s="38" t="inlineStr">
        <is>
          <t>Россошь</t>
        </is>
      </c>
      <c r="N593" s="38" t="n"/>
      <c r="O593" s="38" t="n"/>
      <c r="P593" s="38" t="n"/>
      <c r="Q593" s="38" t="inlineStr">
        <is>
          <t>без сайта, WhatsApp не подтверждён, похоже на магазин</t>
        </is>
      </c>
      <c r="R593" s="38" t="n">
        <v>2</v>
      </c>
      <c r="S593" s="38" t="inlineStr">
        <is>
          <t>Воронежская область</t>
        </is>
      </c>
      <c r="T593" s="38" t="inlineStr">
        <is>
          <t>Здравствуйте! Нашёл вас в 2ГИС среди кровельных компаний в Россоши, а сайта в карточке не нашёл.
Могу собрать сайт под «Производственная компания» за вечер и показать. Не понравится — ничего не должны. Сделать?</t>
        </is>
      </c>
      <c r="U593" s="38">
        <f>B593&amp;IF(D593&lt;&gt;""," · "&amp;D593,"")&amp;IF(F593&lt;&gt;"",CHAR(10)&amp;F593,"")</f>
        <v/>
      </c>
      <c r="V593" s="38">
        <f>IF(OR(F593="просрочено",F593="сегодня",F593="укажи дату",LEFT(F593,6)="молчит"),1,0)</f>
        <v/>
      </c>
    </row>
    <row r="594" ht="24" customHeight="1">
      <c r="A594" s="38" t="n">
        <v>593</v>
      </c>
      <c r="B594" s="32" t="inlineStr">
        <is>
          <t>Теплый кров</t>
        </is>
      </c>
      <c r="C594" s="49" t="inlineStr">
        <is>
          <t>Очередь</t>
        </is>
      </c>
      <c r="D594" s="49" t="n"/>
      <c r="E594" s="50" t="n"/>
      <c r="F594" s="51">
        <f>IF(OR(C594="",C594="Очередь",C594="Клиент",C594="Отказ",C594="Не писать"),"",IF(E594="",IF(AND(C594="Отправлено",I594&lt;&gt;"",TODAY()-INT(I594)&gt;=3),"молчит "&amp;(TODAY()-INT(I594))&amp;" дн.",IF(OR(C594="Перезвонить",C594="Созвон"),"укажи дату","")),IF(INT(E594)&lt;TODAY(),"просрочено",IF(INT(E594)=TODAY(),"сегодня",IF(INT(E594)=TODAY()+1,"завтра",TEXT(E594,"dd.mm"))))))</f>
        <v/>
      </c>
      <c r="G594" s="52" t="n"/>
      <c r="H594" s="36" t="inlineStr">
        <is>
          <t>79108808884</t>
        </is>
      </c>
      <c r="I594" s="53" t="n"/>
      <c r="J594" s="38">
        <f>IFERROR(MATCH(C594,'Справка'!$A$12:$A$21,0),99)</f>
        <v/>
      </c>
      <c r="K594" s="39">
        <f>HYPERLINK("https://wa.me/"&amp;H594&amp;"?text="&amp;ENCODEURL(T594),"✉ Написать")</f>
        <v/>
      </c>
      <c r="L594" s="39">
        <f>HYPERLINK("https://wa.me/"&amp;H594,"Открыть чат")</f>
        <v/>
      </c>
      <c r="M594" s="38" t="inlineStr">
        <is>
          <t>Нижний Новгород</t>
        </is>
      </c>
      <c r="N594" s="38" t="n"/>
      <c r="O594" s="38" t="n"/>
      <c r="P594" s="38" t="n"/>
      <c r="Q594" s="38" t="inlineStr">
        <is>
          <t>без сайта, WhatsApp не подтверждён, похоже на магазин</t>
        </is>
      </c>
      <c r="R594" s="38" t="n">
        <v>2</v>
      </c>
      <c r="S594" s="38" t="inlineStr">
        <is>
          <t>Нижегородская область</t>
        </is>
      </c>
      <c r="T594" s="38" t="inlineStr">
        <is>
          <t>Здравствуйте! Искал в 2ГИС кровельные компании в Нижнем Новгороде и наткнулся на вас. Сайта в карточке не увидел.
Могу за вечер собрать для «Теплый кров» сайт и показать. Платить не нужно, пока не понравится. Собрать?</t>
        </is>
      </c>
      <c r="U594" s="38">
        <f>B594&amp;IF(D594&lt;&gt;""," · "&amp;D594,"")&amp;IF(F594&lt;&gt;"",CHAR(10)&amp;F594,"")</f>
        <v/>
      </c>
      <c r="V594" s="38">
        <f>IF(OR(F594="просрочено",F594="сегодня",F594="укажи дату",LEFT(F594,6)="молчит"),1,0)</f>
        <v/>
      </c>
    </row>
    <row r="595" ht="24" customHeight="1">
      <c r="A595" s="38" t="n">
        <v>594</v>
      </c>
      <c r="B595" s="32" t="inlineStr">
        <is>
          <t>Окна&amp;Двери</t>
        </is>
      </c>
      <c r="C595" s="49" t="inlineStr">
        <is>
          <t>Очередь</t>
        </is>
      </c>
      <c r="D595" s="49" t="n"/>
      <c r="E595" s="50" t="n"/>
      <c r="F595" s="51">
        <f>IF(OR(C595="",C595="Очередь",C595="Клиент",C595="Отказ",C595="Не писать"),"",IF(E595="",IF(AND(C595="Отправлено",I595&lt;&gt;"",TODAY()-INT(I595)&gt;=3),"молчит "&amp;(TODAY()-INT(I595))&amp;" дн.",IF(OR(C595="Перезвонить",C595="Созвон"),"укажи дату","")),IF(INT(E595)&lt;TODAY(),"просрочено",IF(INT(E595)=TODAY(),"сегодня",IF(INT(E595)=TODAY()+1,"завтра",TEXT(E595,"dd.mm"))))))</f>
        <v/>
      </c>
      <c r="G595" s="52" t="n"/>
      <c r="H595" s="36" t="inlineStr">
        <is>
          <t>79047820158</t>
        </is>
      </c>
      <c r="I595" s="53" t="n"/>
      <c r="J595" s="38">
        <f>IFERROR(MATCH(C595,'Справка'!$A$12:$A$21,0),99)</f>
        <v/>
      </c>
      <c r="K595" s="39">
        <f>HYPERLINK("https://wa.me/"&amp;H595&amp;"?text="&amp;ENCODEURL(T595),"✉ Написать")</f>
        <v/>
      </c>
      <c r="L595" s="39">
        <f>HYPERLINK("https://wa.me/"&amp;H595,"Открыть чат")</f>
        <v/>
      </c>
      <c r="M595" s="38" t="inlineStr">
        <is>
          <t>рп. Ардатов</t>
        </is>
      </c>
      <c r="N595" s="38" t="n"/>
      <c r="O595" s="38" t="n"/>
      <c r="P595" s="38" t="n"/>
      <c r="Q595" s="38" t="inlineStr">
        <is>
          <t>без сайта, WhatsApp не подтверждён, похоже на магазин</t>
        </is>
      </c>
      <c r="R595" s="38" t="n">
        <v>2</v>
      </c>
      <c r="S595" s="38" t="inlineStr">
        <is>
          <t>Нижегородская область</t>
        </is>
      </c>
      <c r="T595" s="38" t="inlineStr">
        <is>
          <t>Здравствуйте! Смотрел в 2ГИС, кто делает кровлю в Нижегородской области, и нашёл «Окна&amp;Двери». Сайта в карточке нет.
Готов за вечер собрать сайт для «Окна&amp;Двери» и показать вам. Денег вперёд не беру. Собрать?</t>
        </is>
      </c>
      <c r="U595" s="38">
        <f>B595&amp;IF(D595&lt;&gt;""," · "&amp;D595,"")&amp;IF(F595&lt;&gt;"",CHAR(10)&amp;F595,"")</f>
        <v/>
      </c>
      <c r="V595" s="38">
        <f>IF(OR(F595="просрочено",F595="сегодня",F595="укажи дату",LEFT(F595,6)="молчит"),1,0)</f>
        <v/>
      </c>
    </row>
    <row r="596" ht="24" customHeight="1">
      <c r="A596" s="38" t="n">
        <v>595</v>
      </c>
      <c r="B596" s="32" t="inlineStr">
        <is>
          <t>Руф Глобал Групп</t>
        </is>
      </c>
      <c r="C596" s="49" t="inlineStr">
        <is>
          <t>Очередь</t>
        </is>
      </c>
      <c r="D596" s="49" t="n"/>
      <c r="E596" s="50" t="n"/>
      <c r="F596" s="51">
        <f>IF(OR(C596="",C596="Очередь",C596="Клиент",C596="Отказ",C596="Не писать"),"",IF(E596="",IF(AND(C596="Отправлено",I596&lt;&gt;"",TODAY()-INT(I596)&gt;=3),"молчит "&amp;(TODAY()-INT(I596))&amp;" дн.",IF(OR(C596="Перезвонить",C596="Созвон"),"укажи дату","")),IF(INT(E596)&lt;TODAY(),"просрочено",IF(INT(E596)=TODAY(),"сегодня",IF(INT(E596)=TODAY()+1,"завтра",TEXT(E596,"dd.mm"))))))</f>
        <v/>
      </c>
      <c r="G596" s="52" t="n"/>
      <c r="H596" s="36" t="inlineStr">
        <is>
          <t>79168799059</t>
        </is>
      </c>
      <c r="I596" s="53" t="n"/>
      <c r="J596" s="38">
        <f>IFERROR(MATCH(C596,'Справка'!$A$12:$A$21,0),99)</f>
        <v/>
      </c>
      <c r="K596" s="39">
        <f>HYPERLINK("https://wa.me/"&amp;H596&amp;"?text="&amp;ENCODEURL(T596),"✉ Написать")</f>
        <v/>
      </c>
      <c r="L596" s="39">
        <f>HYPERLINK("https://wa.me/"&amp;H596,"Открыть чат")</f>
        <v/>
      </c>
      <c r="M596" s="38" t="inlineStr">
        <is>
          <t>Казань</t>
        </is>
      </c>
      <c r="N596" s="38" t="n"/>
      <c r="O596" s="38" t="n"/>
      <c r="P596" s="38" t="n"/>
      <c r="Q596" s="38" t="inlineStr">
        <is>
          <t>без сайта, WhatsApp не подтверждён, похоже на магазин</t>
        </is>
      </c>
      <c r="R596" s="38" t="n">
        <v>2</v>
      </c>
      <c r="S596" s="38" t="inlineStr">
        <is>
          <t>Республика Татарстан</t>
        </is>
      </c>
      <c r="T596" s="38" t="inlineStr">
        <is>
          <t>Здравствуйте! Нашёл вас в 2ГИС среди кровельных компаний в Казани, а сайта в карточке не нашёл.
Могу собрать сайт под «Руф Глобал Групп» за вечер и показать. Не понравится — ничего не должны. Сделать?</t>
        </is>
      </c>
      <c r="U596" s="38">
        <f>B596&amp;IF(D596&lt;&gt;""," · "&amp;D596,"")&amp;IF(F596&lt;&gt;"",CHAR(10)&amp;F596,"")</f>
        <v/>
      </c>
      <c r="V596" s="38">
        <f>IF(OR(F596="просрочено",F596="сегодня",F596="укажи дату",LEFT(F596,6)="молчит"),1,0)</f>
        <v/>
      </c>
    </row>
    <row r="597" ht="24" customHeight="1">
      <c r="A597" s="38" t="n">
        <v>596</v>
      </c>
      <c r="B597" s="32" t="inlineStr">
        <is>
          <t>Первая Кровельная Компания</t>
        </is>
      </c>
      <c r="C597" s="49" t="inlineStr">
        <is>
          <t>Очередь</t>
        </is>
      </c>
      <c r="D597" s="49" t="n"/>
      <c r="E597" s="50" t="n"/>
      <c r="F597" s="51">
        <f>IF(OR(C597="",C597="Очередь",C597="Клиент",C597="Отказ",C597="Не писать"),"",IF(E597="",IF(AND(C597="Отправлено",I597&lt;&gt;"",TODAY()-INT(I597)&gt;=3),"молчит "&amp;(TODAY()-INT(I597))&amp;" дн.",IF(OR(C597="Перезвонить",C597="Созвон"),"укажи дату","")),IF(INT(E597)&lt;TODAY(),"просрочено",IF(INT(E597)=TODAY(),"сегодня",IF(INT(E597)=TODAY()+1,"завтра",TEXT(E597,"dd.mm"))))))</f>
        <v/>
      </c>
      <c r="G597" s="52" t="n"/>
      <c r="H597" s="36" t="inlineStr">
        <is>
          <t>79081789000</t>
        </is>
      </c>
      <c r="I597" s="53" t="n"/>
      <c r="J597" s="38">
        <f>IFERROR(MATCH(C597,'Справка'!$A$12:$A$21,0),99)</f>
        <v/>
      </c>
      <c r="K597" s="39">
        <f>HYPERLINK("https://wa.me/"&amp;H597&amp;"?text="&amp;ENCODEURL(T597),"✉ Написать")</f>
        <v/>
      </c>
      <c r="L597" s="39">
        <f>HYPERLINK("https://wa.me/"&amp;H597,"Открыть чат")</f>
        <v/>
      </c>
      <c r="M597" s="38" t="inlineStr">
        <is>
          <t>Ростов-на-Дону</t>
        </is>
      </c>
      <c r="N597" s="38" t="n"/>
      <c r="O597" s="38" t="n"/>
      <c r="P597" s="38" t="n"/>
      <c r="Q597" s="38" t="inlineStr">
        <is>
          <t>без сайта, WhatsApp не подтверждён, похоже на магазин</t>
        </is>
      </c>
      <c r="R597" s="38" t="n">
        <v>2</v>
      </c>
      <c r="S597" s="38" t="inlineStr">
        <is>
          <t>Ростовская область</t>
        </is>
      </c>
      <c r="T597" s="38" t="inlineStr">
        <is>
          <t>Здравствуйте! Искал в 2ГИС кровельные компании в Ростове-на-Дону и наткнулся на вас. Сайта в карточке не увидел.
Могу за вечер собрать для «Первая Кровельная Компания» сайт и показать. Платить не нужно, пока не понравится. Собрать?</t>
        </is>
      </c>
      <c r="U597" s="38">
        <f>B597&amp;IF(D597&lt;&gt;""," · "&amp;D597,"")&amp;IF(F597&lt;&gt;"",CHAR(10)&amp;F597,"")</f>
        <v/>
      </c>
      <c r="V597" s="38">
        <f>IF(OR(F597="просрочено",F597="сегодня",F597="укажи дату",LEFT(F597,6)="молчит"),1,0)</f>
        <v/>
      </c>
    </row>
    <row r="598" ht="24" customHeight="1">
      <c r="A598" s="38" t="n">
        <v>597</v>
      </c>
      <c r="B598" s="32" t="inlineStr">
        <is>
          <t>Кровля Плюс</t>
        </is>
      </c>
      <c r="C598" s="49" t="inlineStr">
        <is>
          <t>Очередь</t>
        </is>
      </c>
      <c r="D598" s="49" t="n"/>
      <c r="E598" s="50" t="n"/>
      <c r="F598" s="51">
        <f>IF(OR(C598="",C598="Очередь",C598="Клиент",C598="Отказ",C598="Не писать"),"",IF(E598="",IF(AND(C598="Отправлено",I598&lt;&gt;"",TODAY()-INT(I598)&gt;=3),"молчит "&amp;(TODAY()-INT(I598))&amp;" дн.",IF(OR(C598="Перезвонить",C598="Созвон"),"укажи дату","")),IF(INT(E598)&lt;TODAY(),"просрочено",IF(INT(E598)=TODAY(),"сегодня",IF(INT(E598)=TODAY()+1,"завтра",TEXT(E598,"dd.mm"))))))</f>
        <v/>
      </c>
      <c r="G598" s="52" t="n"/>
      <c r="H598" s="36" t="inlineStr">
        <is>
          <t>79185050533</t>
        </is>
      </c>
      <c r="I598" s="53" t="n"/>
      <c r="J598" s="38">
        <f>IFERROR(MATCH(C598,'Справка'!$A$12:$A$21,0),99)</f>
        <v/>
      </c>
      <c r="K598" s="39">
        <f>HYPERLINK("https://wa.me/"&amp;H598&amp;"?text="&amp;ENCODEURL(T598),"✉ Написать")</f>
        <v/>
      </c>
      <c r="L598" s="39">
        <f>HYPERLINK("https://wa.me/"&amp;H598,"Открыть чат")</f>
        <v/>
      </c>
      <c r="M598" s="38" t="inlineStr">
        <is>
          <t>Миллерово</t>
        </is>
      </c>
      <c r="N598" s="38" t="n"/>
      <c r="O598" s="38" t="n"/>
      <c r="P598" s="38" t="n"/>
      <c r="Q598" s="38" t="inlineStr">
        <is>
          <t>без сайта, WhatsApp не подтверждён, похоже на магазин</t>
        </is>
      </c>
      <c r="R598" s="38" t="n">
        <v>2</v>
      </c>
      <c r="S598" s="38" t="inlineStr">
        <is>
          <t>Ростовская область</t>
        </is>
      </c>
      <c r="T598" s="38" t="inlineStr">
        <is>
          <t>Здравствуйте! Смотрел в 2ГИС, кто делает кровлю в Миллерово, и нашёл «Кровля Плюс». Сайта в карточке нет.
Готов за вечер собрать сайт для «Кровля Плюс» и показать вам. Денег вперёд не беру. Собрать?</t>
        </is>
      </c>
      <c r="U598" s="38">
        <f>B598&amp;IF(D598&lt;&gt;""," · "&amp;D598,"")&amp;IF(F598&lt;&gt;"",CHAR(10)&amp;F598,"")</f>
        <v/>
      </c>
      <c r="V598" s="38">
        <f>IF(OR(F598="просрочено",F598="сегодня",F598="укажи дату",LEFT(F598,6)="молчит"),1,0)</f>
        <v/>
      </c>
    </row>
    <row r="599" ht="24" customHeight="1">
      <c r="A599" s="38" t="n">
        <v>598</v>
      </c>
      <c r="B599" s="32" t="inlineStr">
        <is>
          <t>Первая кровельная компания</t>
        </is>
      </c>
      <c r="C599" s="49" t="inlineStr">
        <is>
          <t>Очередь</t>
        </is>
      </c>
      <c r="D599" s="49" t="n"/>
      <c r="E599" s="50" t="n"/>
      <c r="F599" s="51">
        <f>IF(OR(C599="",C599="Очередь",C599="Клиент",C599="Отказ",C599="Не писать"),"",IF(E599="",IF(AND(C599="Отправлено",I599&lt;&gt;"",TODAY()-INT(I599)&gt;=3),"молчит "&amp;(TODAY()-INT(I599))&amp;" дн.",IF(OR(C599="Перезвонить",C599="Созвон"),"укажи дату","")),IF(INT(E599)&lt;TODAY(),"просрочено",IF(INT(E599)=TODAY(),"сегодня",IF(INT(E599)=TODAY()+1,"завтра",TEXT(E599,"dd.mm"))))))</f>
        <v/>
      </c>
      <c r="G599" s="52" t="n"/>
      <c r="H599" s="36" t="inlineStr">
        <is>
          <t>79885617561</t>
        </is>
      </c>
      <c r="I599" s="53" t="n"/>
      <c r="J599" s="38">
        <f>IFERROR(MATCH(C599,'Справка'!$A$12:$A$21,0),99)</f>
        <v/>
      </c>
      <c r="K599" s="39">
        <f>HYPERLINK("https://wa.me/"&amp;H599&amp;"?text="&amp;ENCODEURL(T599),"✉ Написать")</f>
        <v/>
      </c>
      <c r="L599" s="39">
        <f>HYPERLINK("https://wa.me/"&amp;H599,"Открыть чат")</f>
        <v/>
      </c>
      <c r="M599" s="38" t="inlineStr">
        <is>
          <t>Миллерово</t>
        </is>
      </c>
      <c r="N599" s="38" t="n"/>
      <c r="O599" s="38" t="n"/>
      <c r="P599" s="38" t="n"/>
      <c r="Q599" s="38" t="inlineStr">
        <is>
          <t>без сайта, WhatsApp не подтверждён, похоже на магазин</t>
        </is>
      </c>
      <c r="R599" s="38" t="n">
        <v>2</v>
      </c>
      <c r="S599" s="38" t="inlineStr">
        <is>
          <t>Ростовская область</t>
        </is>
      </c>
      <c r="T599" s="38" t="inlineStr">
        <is>
          <t>Здравствуйте! Нашёл вас в 2ГИС среди кровельных компаний в Миллерово, а сайта в карточке не нашёл.
Могу собрать сайт под «Первая кровельная компания» за вечер и показать. Не понравится — ничего не должны. Сделать?</t>
        </is>
      </c>
      <c r="U599" s="38">
        <f>B599&amp;IF(D599&lt;&gt;""," · "&amp;D599,"")&amp;IF(F599&lt;&gt;"",CHAR(10)&amp;F599,"")</f>
        <v/>
      </c>
      <c r="V599" s="38">
        <f>IF(OR(F599="просрочено",F599="сегодня",F599="укажи дату",LEFT(F599,6)="молчит"),1,0)</f>
        <v/>
      </c>
    </row>
    <row r="600" ht="24" customHeight="1">
      <c r="A600" s="38" t="n">
        <v>599</v>
      </c>
      <c r="B600" s="32" t="inlineStr">
        <is>
          <t>Дом Крыша</t>
        </is>
      </c>
      <c r="C600" s="49" t="inlineStr">
        <is>
          <t>Очередь</t>
        </is>
      </c>
      <c r="D600" s="49" t="n"/>
      <c r="E600" s="50" t="n"/>
      <c r="F600" s="51">
        <f>IF(OR(C600="",C600="Очередь",C600="Клиент",C600="Отказ",C600="Не писать"),"",IF(E600="",IF(AND(C600="Отправлено",I600&lt;&gt;"",TODAY()-INT(I600)&gt;=3),"молчит "&amp;(TODAY()-INT(I600))&amp;" дн.",IF(OR(C600="Перезвонить",C600="Созвон"),"укажи дату","")),IF(INT(E600)&lt;TODAY(),"просрочено",IF(INT(E600)=TODAY(),"сегодня",IF(INT(E600)=TODAY()+1,"завтра",TEXT(E600,"dd.mm"))))))</f>
        <v/>
      </c>
      <c r="G600" s="52" t="n"/>
      <c r="H600" s="36" t="inlineStr">
        <is>
          <t>79054411338</t>
        </is>
      </c>
      <c r="I600" s="53" t="n"/>
      <c r="J600" s="38">
        <f>IFERROR(MATCH(C600,'Справка'!$A$12:$A$21,0),99)</f>
        <v/>
      </c>
      <c r="K600" s="39">
        <f>HYPERLINK("https://wa.me/"&amp;H600&amp;"?text="&amp;ENCODEURL(T600),"✉ Написать")</f>
        <v/>
      </c>
      <c r="L600" s="39">
        <f>HYPERLINK("https://wa.me/"&amp;H600,"Открыть чат")</f>
        <v/>
      </c>
      <c r="M600" s="38" t="inlineStr">
        <is>
          <t>Изобильный</t>
        </is>
      </c>
      <c r="N600" s="38" t="n"/>
      <c r="O600" s="38" t="n"/>
      <c r="P600" s="38" t="n"/>
      <c r="Q600" s="38" t="inlineStr">
        <is>
          <t>без сайта, WhatsApp не подтверждён, похоже на магазин</t>
        </is>
      </c>
      <c r="R600" s="38" t="n">
        <v>2</v>
      </c>
      <c r="S600" s="38" t="inlineStr">
        <is>
          <t>Ставропольский край</t>
        </is>
      </c>
      <c r="T600" s="38" t="inlineStr">
        <is>
          <t>Здравствуйте! Искал в 2ГИС кровельные компании в Изобильном и наткнулся на вас. Сайта в карточке не увидел.
Могу за вечер собрать для «Дом Крыша» сайт и показать. Платить не нужно, пока не понравится. Собрать?</t>
        </is>
      </c>
      <c r="U600" s="38">
        <f>B600&amp;IF(D600&lt;&gt;""," · "&amp;D600,"")&amp;IF(F600&lt;&gt;"",CHAR(10)&amp;F600,"")</f>
        <v/>
      </c>
      <c r="V600" s="38">
        <f>IF(OR(F600="просрочено",F600="сегодня",F600="укажи дату",LEFT(F600,6)="молчит"),1,0)</f>
        <v/>
      </c>
    </row>
    <row r="601" ht="24" customHeight="1">
      <c r="A601" s="38" t="n">
        <v>600</v>
      </c>
      <c r="B601" s="32" t="inlineStr">
        <is>
          <t>Гарант Металл</t>
        </is>
      </c>
      <c r="C601" s="49" t="inlineStr">
        <is>
          <t>Очередь</t>
        </is>
      </c>
      <c r="D601" s="49" t="n"/>
      <c r="E601" s="50" t="n"/>
      <c r="F601" s="51">
        <f>IF(OR(C601="",C601="Очередь",C601="Клиент",C601="Отказ",C601="Не писать"),"",IF(E601="",IF(AND(C601="Отправлено",I601&lt;&gt;"",TODAY()-INT(I601)&gt;=3),"молчит "&amp;(TODAY()-INT(I601))&amp;" дн.",IF(OR(C601="Перезвонить",C601="Созвон"),"укажи дату","")),IF(INT(E601)&lt;TODAY(),"просрочено",IF(INT(E601)=TODAY(),"сегодня",IF(INT(E601)=TODAY()+1,"завтра",TEXT(E601,"dd.mm"))))))</f>
        <v/>
      </c>
      <c r="G601" s="52" t="n"/>
      <c r="H601" s="36" t="inlineStr">
        <is>
          <t>79624465494</t>
        </is>
      </c>
      <c r="I601" s="53" t="n"/>
      <c r="J601" s="38">
        <f>IFERROR(MATCH(C601,'Справка'!$A$12:$A$21,0),99)</f>
        <v/>
      </c>
      <c r="K601" s="39">
        <f>HYPERLINK("https://wa.me/"&amp;H601&amp;"?text="&amp;ENCODEURL(T601),"✉ Написать")</f>
        <v/>
      </c>
      <c r="L601" s="39">
        <f>HYPERLINK("https://wa.me/"&amp;H601,"Открыть чат")</f>
        <v/>
      </c>
      <c r="M601" s="38" t="inlineStr">
        <is>
          <t>с. Красногвардейское</t>
        </is>
      </c>
      <c r="N601" s="38" t="n"/>
      <c r="O601" s="38" t="n"/>
      <c r="P601" s="38" t="n"/>
      <c r="Q601" s="38" t="inlineStr">
        <is>
          <t>без сайта, WhatsApp не подтверждён, похоже на магазин</t>
        </is>
      </c>
      <c r="R601" s="38" t="n">
        <v>2</v>
      </c>
      <c r="S601" s="38" t="inlineStr">
        <is>
          <t>Ставропольский край</t>
        </is>
      </c>
      <c r="T601" s="38" t="inlineStr">
        <is>
          <t>Здравствуйте! Смотрел в 2ГИС, кто делает кровлю в Ставропольском крае, и нашёл «Гарант Металл». Сайта в карточке нет.
Готов за вечер собрать сайт для «Гарант Металл» и показать вам. Денег вперёд не беру. Собрать?</t>
        </is>
      </c>
      <c r="U601" s="38">
        <f>B601&amp;IF(D601&lt;&gt;""," · "&amp;D601,"")&amp;IF(F601&lt;&gt;"",CHAR(10)&amp;F601,"")</f>
        <v/>
      </c>
      <c r="V601" s="38">
        <f>IF(OR(F601="просрочено",F601="сегодня",F601="укажи дату",LEFT(F601,6)="молчит"),1,0)</f>
        <v/>
      </c>
    </row>
    <row r="602" ht="24" customHeight="1">
      <c r="A602" s="38" t="n">
        <v>601</v>
      </c>
      <c r="B602" s="32" t="inlineStr">
        <is>
          <t>КронТех</t>
        </is>
      </c>
      <c r="C602" s="49" t="inlineStr">
        <is>
          <t>Очередь</t>
        </is>
      </c>
      <c r="D602" s="49" t="n"/>
      <c r="E602" s="50" t="n"/>
      <c r="F602" s="51">
        <f>IF(OR(C602="",C602="Очередь",C602="Клиент",C602="Отказ",C602="Не писать"),"",IF(E602="",IF(AND(C602="Отправлено",I602&lt;&gt;"",TODAY()-INT(I602)&gt;=3),"молчит "&amp;(TODAY()-INT(I602))&amp;" дн.",IF(OR(C602="Перезвонить",C602="Созвон"),"укажи дату","")),IF(INT(E602)&lt;TODAY(),"просрочено",IF(INT(E602)=TODAY(),"сегодня",IF(INT(E602)=TODAY()+1,"завтра",TEXT(E602,"dd.mm"))))))</f>
        <v/>
      </c>
      <c r="G602" s="52" t="n"/>
      <c r="H602" s="36" t="inlineStr">
        <is>
          <t>79889643033</t>
        </is>
      </c>
      <c r="I602" s="53" t="n"/>
      <c r="J602" s="38">
        <f>IFERROR(MATCH(C602,'Справка'!$A$12:$A$21,0),99)</f>
        <v/>
      </c>
      <c r="K602" s="39">
        <f>HYPERLINK("https://wa.me/"&amp;H602&amp;"?text="&amp;ENCODEURL(T602),"✉ Написать")</f>
        <v/>
      </c>
      <c r="L602" s="39">
        <f>HYPERLINK("https://wa.me/"&amp;H602,"Открыть чат")</f>
        <v/>
      </c>
      <c r="M602" s="38" t="inlineStr">
        <is>
          <t>Волжский</t>
        </is>
      </c>
      <c r="N602" s="38" t="n">
        <v>5</v>
      </c>
      <c r="O602" s="38" t="n">
        <v>5</v>
      </c>
      <c r="P602" s="38" t="inlineStr">
        <is>
          <t>kronteh.ru</t>
        </is>
      </c>
      <c r="Q602" s="38" t="inlineStr">
        <is>
          <t>есть сайт: сначала впиши в текст, что на нём не так, похоже на магазин</t>
        </is>
      </c>
      <c r="R602" s="38" t="n">
        <v>2</v>
      </c>
      <c r="S602" s="38" t="inlineStr">
        <is>
          <t>Волгоградская область</t>
        </is>
      </c>
      <c r="T602" s="38" t="inlineStr">
        <is>
          <t>Здравствуйте! Смотрел в 2ГИС кровельные компании в Волжском, зашёл на ваш сайт с телефона: [ЧТО НЕ ТАК НА САЙТЕ].
Могу за вечер собрать вариант под «КронТех», где это исправлено, и показать. Собрать?</t>
        </is>
      </c>
      <c r="U602" s="38">
        <f>B602&amp;IF(D602&lt;&gt;""," · "&amp;D602,"")&amp;IF(F602&lt;&gt;"",CHAR(10)&amp;F602,"")</f>
        <v/>
      </c>
      <c r="V602" s="38">
        <f>IF(OR(F602="просрочено",F602="сегодня",F602="укажи дату",LEFT(F602,6)="молчит"),1,0)</f>
        <v/>
      </c>
    </row>
    <row r="603" ht="24" customHeight="1">
      <c r="A603" s="38" t="n">
        <v>602</v>
      </c>
      <c r="B603" s="32" t="inlineStr">
        <is>
          <t>Высотаремстрой</t>
        </is>
      </c>
      <c r="C603" s="49" t="inlineStr">
        <is>
          <t>Очередь</t>
        </is>
      </c>
      <c r="D603" s="49" t="n"/>
      <c r="E603" s="50" t="n"/>
      <c r="F603" s="51">
        <f>IF(OR(C603="",C603="Очередь",C603="Клиент",C603="Отказ",C603="Не писать"),"",IF(E603="",IF(AND(C603="Отправлено",I603&lt;&gt;"",TODAY()-INT(I603)&gt;=3),"молчит "&amp;(TODAY()-INT(I603))&amp;" дн.",IF(OR(C603="Перезвонить",C603="Созвон"),"укажи дату","")),IF(INT(E603)&lt;TODAY(),"просрочено",IF(INT(E603)=TODAY(),"сегодня",IF(INT(E603)=TODAY()+1,"завтра",TEXT(E603,"dd.mm"))))))</f>
        <v/>
      </c>
      <c r="G603" s="52" t="n"/>
      <c r="H603" s="36" t="inlineStr">
        <is>
          <t>79173389342</t>
        </is>
      </c>
      <c r="I603" s="53" t="n"/>
      <c r="J603" s="38">
        <f>IFERROR(MATCH(C603,'Справка'!$A$12:$A$21,0),99)</f>
        <v/>
      </c>
      <c r="K603" s="39">
        <f>HYPERLINK("https://wa.me/"&amp;H603&amp;"?text="&amp;ENCODEURL(T603),"✉ Написать")</f>
        <v/>
      </c>
      <c r="L603" s="39">
        <f>HYPERLINK("https://wa.me/"&amp;H603,"Открыть чат")</f>
        <v/>
      </c>
      <c r="M603" s="38" t="inlineStr">
        <is>
          <t>Волгоград</t>
        </is>
      </c>
      <c r="N603" s="38" t="n">
        <v>4.1</v>
      </c>
      <c r="O603" s="38" t="n">
        <v>4</v>
      </c>
      <c r="P603" s="38" t="inlineStr">
        <is>
          <t>vysota-rs.ru</t>
        </is>
      </c>
      <c r="Q603" s="38" t="inlineStr">
        <is>
          <t>есть сайт: сначала впиши в текст, что на нём не так, похоже на магазин</t>
        </is>
      </c>
      <c r="R603" s="38" t="n">
        <v>2</v>
      </c>
      <c r="S603" s="38" t="inlineStr">
        <is>
          <t>Волгоградская область</t>
        </is>
      </c>
      <c r="T603" s="38" t="inlineStr">
        <is>
          <t>Здравствуйте! Смотрел в 2ГИС кровельные компании в Волгограде, зашёл на ваш сайт с телефона: [ЧТО НЕ ТАК НА САЙТЕ].
Могу за вечер собрать вариант под «Высотаремстрой», где это исправлено, и показать. Собрать?</t>
        </is>
      </c>
      <c r="U603" s="38">
        <f>B603&amp;IF(D603&lt;&gt;""," · "&amp;D603,"")&amp;IF(F603&lt;&gt;"",CHAR(10)&amp;F603,"")</f>
        <v/>
      </c>
      <c r="V603" s="38">
        <f>IF(OR(F603="просрочено",F603="сегодня",F603="укажи дату",LEFT(F603,6)="молчит"),1,0)</f>
        <v/>
      </c>
    </row>
    <row r="604" ht="24" customHeight="1">
      <c r="A604" s="38" t="n">
        <v>603</v>
      </c>
      <c r="B604" s="32" t="inlineStr">
        <is>
          <t>Торговая Компания Вальма</t>
        </is>
      </c>
      <c r="C604" s="49" t="inlineStr">
        <is>
          <t>Очередь</t>
        </is>
      </c>
      <c r="D604" s="49" t="n"/>
      <c r="E604" s="50" t="n"/>
      <c r="F604" s="51">
        <f>IF(OR(C604="",C604="Очередь",C604="Клиент",C604="Отказ",C604="Не писать"),"",IF(E604="",IF(AND(C604="Отправлено",I604&lt;&gt;"",TODAY()-INT(I604)&gt;=3),"молчит "&amp;(TODAY()-INT(I604))&amp;" дн.",IF(OR(C604="Перезвонить",C604="Созвон"),"укажи дату","")),IF(INT(E604)&lt;TODAY(),"просрочено",IF(INT(E604)=TODAY(),"сегодня",IF(INT(E604)=TODAY()+1,"завтра",TEXT(E604,"dd.mm"))))))</f>
        <v/>
      </c>
      <c r="G604" s="52" t="n"/>
      <c r="H604" s="36" t="inlineStr">
        <is>
          <t>79053949790</t>
        </is>
      </c>
      <c r="I604" s="53" t="n"/>
      <c r="J604" s="38">
        <f>IFERROR(MATCH(C604,'Справка'!$A$12:$A$21,0),99)</f>
        <v/>
      </c>
      <c r="K604" s="39">
        <f>HYPERLINK("https://wa.me/"&amp;H604&amp;"?text="&amp;ENCODEURL(T604),"✉ Написать")</f>
        <v/>
      </c>
      <c r="L604" s="39">
        <f>HYPERLINK("https://wa.me/"&amp;H604,"Открыть чат")</f>
        <v/>
      </c>
      <c r="M604" s="38" t="inlineStr">
        <is>
          <t>Волжский</t>
        </is>
      </c>
      <c r="N604" s="38" t="n">
        <v>5</v>
      </c>
      <c r="O604" s="38" t="n">
        <v>1</v>
      </c>
      <c r="P604" s="38" t="inlineStr">
        <is>
          <t>valma-tc.ru</t>
        </is>
      </c>
      <c r="Q604" s="38" t="inlineStr">
        <is>
          <t>есть сайт: сначала впиши в текст, что на нём не так, похоже на магазин</t>
        </is>
      </c>
      <c r="R604" s="38" t="n">
        <v>2</v>
      </c>
      <c r="S604" s="38" t="inlineStr">
        <is>
          <t>Волгоградская область</t>
        </is>
      </c>
      <c r="T604" s="38" t="inlineStr">
        <is>
          <t>Здравствуйте! Смотрел в 2ГИС кровельные компании в Волжском, зашёл на ваш сайт с телефона: [ЧТО НЕ ТАК НА САЙТЕ].
Могу за вечер собрать вариант под «Торговая Компания Вальма», где это исправлено, и показать. Собрать?</t>
        </is>
      </c>
      <c r="U604" s="38">
        <f>B604&amp;IF(D604&lt;&gt;""," · "&amp;D604,"")&amp;IF(F604&lt;&gt;"",CHAR(10)&amp;F604,"")</f>
        <v/>
      </c>
      <c r="V604" s="38">
        <f>IF(OR(F604="просрочено",F604="сегодня",F604="укажи дату",LEFT(F604,6)="молчит"),1,0)</f>
        <v/>
      </c>
    </row>
    <row r="605" ht="24" customHeight="1">
      <c r="A605" s="38" t="n">
        <v>604</v>
      </c>
      <c r="B605" s="32" t="inlineStr">
        <is>
          <t>Билдж</t>
        </is>
      </c>
      <c r="C605" s="49" t="inlineStr">
        <is>
          <t>Очередь</t>
        </is>
      </c>
      <c r="D605" s="49" t="n"/>
      <c r="E605" s="50" t="n"/>
      <c r="F605" s="51">
        <f>IF(OR(C605="",C605="Очередь",C605="Клиент",C605="Отказ",C605="Не писать"),"",IF(E605="",IF(AND(C605="Отправлено",I605&lt;&gt;"",TODAY()-INT(I605)&gt;=3),"молчит "&amp;(TODAY()-INT(I605))&amp;" дн.",IF(OR(C605="Перезвонить",C605="Созвон"),"укажи дату","")),IF(INT(E605)&lt;TODAY(),"просрочено",IF(INT(E605)=TODAY(),"сегодня",IF(INT(E605)=TODAY()+1,"завтра",TEXT(E605,"dd.mm"))))))</f>
        <v/>
      </c>
      <c r="G605" s="52" t="n"/>
      <c r="H605" s="36" t="inlineStr">
        <is>
          <t>79610587303</t>
        </is>
      </c>
      <c r="I605" s="53" t="n"/>
      <c r="J605" s="38">
        <f>IFERROR(MATCH(C605,'Справка'!$A$12:$A$21,0),99)</f>
        <v/>
      </c>
      <c r="K605" s="39">
        <f>HYPERLINK("https://wa.me/"&amp;H605&amp;"?text="&amp;ENCODEURL(T605),"✉ Написать")</f>
        <v/>
      </c>
      <c r="L605" s="39">
        <f>HYPERLINK("https://wa.me/"&amp;H605,"Открыть чат")</f>
        <v/>
      </c>
      <c r="M605" s="38" t="inlineStr">
        <is>
          <t>Волгоград</t>
        </is>
      </c>
      <c r="N605" s="38" t="n"/>
      <c r="O605" s="38" t="n"/>
      <c r="P605" s="38" t="inlineStr">
        <is>
          <t>bildj-v.ru</t>
        </is>
      </c>
      <c r="Q605" s="38" t="inlineStr">
        <is>
          <t>есть сайт: сначала впиши в текст, что на нём не так, похоже на магазин</t>
        </is>
      </c>
      <c r="R605" s="38" t="n">
        <v>2</v>
      </c>
      <c r="S605" s="38" t="inlineStr">
        <is>
          <t>Волгоградская область</t>
        </is>
      </c>
      <c r="T605" s="38" t="inlineStr">
        <is>
          <t>Здравствуйте! Смотрел в 2ГИС кровельные компании в Волгограде, зашёл на ваш сайт с телефона: [ЧТО НЕ ТАК НА САЙТЕ].
Могу за вечер собрать вариант под «Билдж», где это исправлено, и показать. Собрать?</t>
        </is>
      </c>
      <c r="U605" s="38">
        <f>B605&amp;IF(D605&lt;&gt;""," · "&amp;D605,"")&amp;IF(F605&lt;&gt;"",CHAR(10)&amp;F605,"")</f>
        <v/>
      </c>
      <c r="V605" s="38">
        <f>IF(OR(F605="просрочено",F605="сегодня",F605="укажи дату",LEFT(F605,6)="молчит"),1,0)</f>
        <v/>
      </c>
    </row>
    <row r="606" ht="24" customHeight="1">
      <c r="A606" s="38" t="n">
        <v>605</v>
      </c>
      <c r="B606" s="32" t="inlineStr">
        <is>
          <t>Rks klinker</t>
        </is>
      </c>
      <c r="C606" s="49" t="inlineStr">
        <is>
          <t>Очередь</t>
        </is>
      </c>
      <c r="D606" s="49" t="n"/>
      <c r="E606" s="50" t="n"/>
      <c r="F606" s="51">
        <f>IF(OR(C606="",C606="Очередь",C606="Клиент",C606="Отказ",C606="Не писать"),"",IF(E606="",IF(AND(C606="Отправлено",I606&lt;&gt;"",TODAY()-INT(I606)&gt;=3),"молчит "&amp;(TODAY()-INT(I606))&amp;" дн.",IF(OR(C606="Перезвонить",C606="Созвон"),"укажи дату","")),IF(INT(E606)&lt;TODAY(),"просрочено",IF(INT(E606)=TODAY(),"сегодня",IF(INT(E606)=TODAY()+1,"завтра",TEXT(E606,"dd.mm"))))))</f>
        <v/>
      </c>
      <c r="G606" s="52" t="n"/>
      <c r="H606" s="36" t="inlineStr">
        <is>
          <t>79003088636</t>
        </is>
      </c>
      <c r="I606" s="53" t="n"/>
      <c r="J606" s="38">
        <f>IFERROR(MATCH(C606,'Справка'!$A$12:$A$21,0),99)</f>
        <v/>
      </c>
      <c r="K606" s="39">
        <f>HYPERLINK("https://wa.me/"&amp;H606&amp;"?text="&amp;ENCODEURL(T606),"✉ Написать")</f>
        <v/>
      </c>
      <c r="L606" s="39">
        <f>HYPERLINK("https://wa.me/"&amp;H606,"Открыть чат")</f>
        <v/>
      </c>
      <c r="M606" s="38" t="inlineStr">
        <is>
          <t>Воронеж</t>
        </is>
      </c>
      <c r="N606" s="38" t="n">
        <v>3.6</v>
      </c>
      <c r="O606" s="38" t="n">
        <v>13</v>
      </c>
      <c r="P606" s="38" t="inlineStr">
        <is>
          <t>воронеж.реконстрой.рф/</t>
        </is>
      </c>
      <c r="Q606" s="38" t="inlineStr">
        <is>
          <t>есть сайт: сначала впиши в текст, что на нём не так, похоже на магазин</t>
        </is>
      </c>
      <c r="R606" s="38" t="n">
        <v>2</v>
      </c>
      <c r="S606" s="38" t="inlineStr">
        <is>
          <t>Воронежская область</t>
        </is>
      </c>
      <c r="T606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«Rks klinker», где это исправлено, и показать. Собрать?</t>
        </is>
      </c>
      <c r="U606" s="38">
        <f>B606&amp;IF(D606&lt;&gt;""," · "&amp;D606,"")&amp;IF(F606&lt;&gt;"",CHAR(10)&amp;F606,"")</f>
        <v/>
      </c>
      <c r="V606" s="38">
        <f>IF(OR(F606="просрочено",F606="сегодня",F606="укажи дату",LEFT(F606,6)="молчит"),1,0)</f>
        <v/>
      </c>
    </row>
    <row r="607" ht="24" customHeight="1">
      <c r="A607" s="38" t="n">
        <v>606</v>
      </c>
      <c r="B607" s="32" t="inlineStr">
        <is>
          <t>Айко</t>
        </is>
      </c>
      <c r="C607" s="49" t="inlineStr">
        <is>
          <t>Очередь</t>
        </is>
      </c>
      <c r="D607" s="49" t="n"/>
      <c r="E607" s="50" t="n"/>
      <c r="F607" s="51">
        <f>IF(OR(C607="",C607="Очередь",C607="Клиент",C607="Отказ",C607="Не писать"),"",IF(E607="",IF(AND(C607="Отправлено",I607&lt;&gt;"",TODAY()-INT(I607)&gt;=3),"молчит "&amp;(TODAY()-INT(I607))&amp;" дн.",IF(OR(C607="Перезвонить",C607="Созвон"),"укажи дату","")),IF(INT(E607)&lt;TODAY(),"просрочено",IF(INT(E607)=TODAY(),"сегодня",IF(INT(E607)=TODAY()+1,"завтра",TEXT(E607,"dd.mm"))))))</f>
        <v/>
      </c>
      <c r="G607" s="52" t="n"/>
      <c r="H607" s="36" t="inlineStr">
        <is>
          <t>79009529286</t>
        </is>
      </c>
      <c r="I607" s="53" t="n"/>
      <c r="J607" s="38">
        <f>IFERROR(MATCH(C607,'Справка'!$A$12:$A$21,0),99)</f>
        <v/>
      </c>
      <c r="K607" s="39">
        <f>HYPERLINK("https://wa.me/"&amp;H607&amp;"?text="&amp;ENCODEURL(T607),"✉ Написать")</f>
        <v/>
      </c>
      <c r="L607" s="39">
        <f>HYPERLINK("https://wa.me/"&amp;H607,"Открыть чат")</f>
        <v/>
      </c>
      <c r="M607" s="38" t="inlineStr">
        <is>
          <t>Воронеж</t>
        </is>
      </c>
      <c r="N607" s="38" t="n">
        <v>4.8</v>
      </c>
      <c r="O607" s="38" t="n">
        <v>6</v>
      </c>
      <c r="P607" s="38" t="inlineStr">
        <is>
          <t>www.aiko36.ru</t>
        </is>
      </c>
      <c r="Q607" s="38" t="inlineStr">
        <is>
          <t>есть сайт: сначала впиши в текст, что на нём не так, похоже на магазин</t>
        </is>
      </c>
      <c r="R607" s="38" t="n">
        <v>2</v>
      </c>
      <c r="S607" s="38" t="inlineStr">
        <is>
          <t>Воронежская область</t>
        </is>
      </c>
      <c r="T607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«Айко», где это исправлено, и показать. Собрать?</t>
        </is>
      </c>
      <c r="U607" s="38">
        <f>B607&amp;IF(D607&lt;&gt;""," · "&amp;D607,"")&amp;IF(F607&lt;&gt;"",CHAR(10)&amp;F607,"")</f>
        <v/>
      </c>
      <c r="V607" s="38">
        <f>IF(OR(F607="просрочено",F607="сегодня",F607="укажи дату",LEFT(F607,6)="молчит"),1,0)</f>
        <v/>
      </c>
    </row>
    <row r="608" ht="24" customHeight="1">
      <c r="A608" s="38" t="n">
        <v>607</v>
      </c>
      <c r="B608" s="32" t="inlineStr">
        <is>
          <t>Кровля-вк</t>
        </is>
      </c>
      <c r="C608" s="49" t="inlineStr">
        <is>
          <t>Очередь</t>
        </is>
      </c>
      <c r="D608" s="49" t="n"/>
      <c r="E608" s="50" t="n"/>
      <c r="F608" s="51">
        <f>IF(OR(C608="",C608="Очередь",C608="Клиент",C608="Отказ",C608="Не писать"),"",IF(E608="",IF(AND(C608="Отправлено",I608&lt;&gt;"",TODAY()-INT(I608)&gt;=3),"молчит "&amp;(TODAY()-INT(I608))&amp;" дн.",IF(OR(C608="Перезвонить",C608="Созвон"),"укажи дату","")),IF(INT(E608)&lt;TODAY(),"просрочено",IF(INT(E608)=TODAY(),"сегодня",IF(INT(E608)=TODAY()+1,"завтра",TEXT(E608,"dd.mm"))))))</f>
        <v/>
      </c>
      <c r="G608" s="52" t="n"/>
      <c r="H608" s="36" t="inlineStr">
        <is>
          <t>79202142463</t>
        </is>
      </c>
      <c r="I608" s="53" t="n"/>
      <c r="J608" s="38">
        <f>IFERROR(MATCH(C608,'Справка'!$A$12:$A$21,0),99)</f>
        <v/>
      </c>
      <c r="K608" s="39">
        <f>HYPERLINK("https://wa.me/"&amp;H608&amp;"?text="&amp;ENCODEURL(T608),"✉ Написать")</f>
        <v/>
      </c>
      <c r="L608" s="39">
        <f>HYPERLINK("https://wa.me/"&amp;H608,"Открыть чат")</f>
        <v/>
      </c>
      <c r="M608" s="38" t="inlineStr">
        <is>
          <t>Воронеж</t>
        </is>
      </c>
      <c r="N608" s="38" t="n">
        <v>5</v>
      </c>
      <c r="O608" s="38" t="n">
        <v>2</v>
      </c>
      <c r="P608" s="38" t="inlineStr">
        <is>
          <t>karton-ruberoid.ru</t>
        </is>
      </c>
      <c r="Q608" s="38" t="inlineStr">
        <is>
          <t>есть сайт: сначала впиши в текст, что на нём не так, похоже на магазин</t>
        </is>
      </c>
      <c r="R608" s="38" t="n">
        <v>2</v>
      </c>
      <c r="S608" s="38" t="inlineStr">
        <is>
          <t>Воронежская область</t>
        </is>
      </c>
      <c r="T608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«Кровля-вк», где это исправлено, и показать. Собрать?</t>
        </is>
      </c>
      <c r="U608" s="38">
        <f>B608&amp;IF(D608&lt;&gt;""," · "&amp;D608,"")&amp;IF(F608&lt;&gt;"",CHAR(10)&amp;F608,"")</f>
        <v/>
      </c>
      <c r="V608" s="38">
        <f>IF(OR(F608="просрочено",F608="сегодня",F608="укажи дату",LEFT(F608,6)="молчит"),1,0)</f>
        <v/>
      </c>
    </row>
    <row r="609" ht="24" customHeight="1">
      <c r="A609" s="38" t="n">
        <v>608</v>
      </c>
      <c r="B609" s="32" t="inlineStr">
        <is>
          <t>ТехноКровля</t>
        </is>
      </c>
      <c r="C609" s="49" t="inlineStr">
        <is>
          <t>Очередь</t>
        </is>
      </c>
      <c r="D609" s="49" t="n"/>
      <c r="E609" s="50" t="n"/>
      <c r="F609" s="51">
        <f>IF(OR(C609="",C609="Очередь",C609="Клиент",C609="Отказ",C609="Не писать"),"",IF(E609="",IF(AND(C609="Отправлено",I609&lt;&gt;"",TODAY()-INT(I609)&gt;=3),"молчит "&amp;(TODAY()-INT(I609))&amp;" дн.",IF(OR(C609="Перезвонить",C609="Созвон"),"укажи дату","")),IF(INT(E609)&lt;TODAY(),"просрочено",IF(INT(E609)=TODAY(),"сегодня",IF(INT(E609)=TODAY()+1,"завтра",TEXT(E609,"dd.mm"))))))</f>
        <v/>
      </c>
      <c r="G609" s="52" t="n"/>
      <c r="H609" s="36" t="inlineStr">
        <is>
          <t>79038588333</t>
        </is>
      </c>
      <c r="I609" s="53" t="n"/>
      <c r="J609" s="38">
        <f>IFERROR(MATCH(C609,'Справка'!$A$12:$A$21,0),99)</f>
        <v/>
      </c>
      <c r="K609" s="39">
        <f>HYPERLINK("https://wa.me/"&amp;H609&amp;"?text="&amp;ENCODEURL(T609),"✉ Написать")</f>
        <v/>
      </c>
      <c r="L609" s="39">
        <f>HYPERLINK("https://wa.me/"&amp;H609,"Открыть чат")</f>
        <v/>
      </c>
      <c r="M609" s="38" t="inlineStr">
        <is>
          <t>Воронеж</t>
        </is>
      </c>
      <c r="N609" s="38" t="n">
        <v>5</v>
      </c>
      <c r="O609" s="38" t="n">
        <v>1</v>
      </c>
      <c r="P609" s="38" t="inlineStr">
        <is>
          <t>roof36.ru/</t>
        </is>
      </c>
      <c r="Q609" s="38" t="inlineStr">
        <is>
          <t>есть сайт: сначала впиши в текст, что на нём не так, похоже на магазин</t>
        </is>
      </c>
      <c r="R609" s="38" t="n">
        <v>2</v>
      </c>
      <c r="S609" s="38" t="inlineStr">
        <is>
          <t>Воронежская область</t>
        </is>
      </c>
      <c r="T609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«ТехноКровля», где это исправлено, и показать. Собрать?</t>
        </is>
      </c>
      <c r="U609" s="38">
        <f>B609&amp;IF(D609&lt;&gt;""," · "&amp;D609,"")&amp;IF(F609&lt;&gt;"",CHAR(10)&amp;F609,"")</f>
        <v/>
      </c>
      <c r="V609" s="38">
        <f>IF(OR(F609="просрочено",F609="сегодня",F609="укажи дату",LEFT(F609,6)="молчит"),1,0)</f>
        <v/>
      </c>
    </row>
    <row r="610" ht="24" customHeight="1">
      <c r="A610" s="38" t="n">
        <v>609</v>
      </c>
      <c r="B610" s="32" t="inlineStr">
        <is>
          <t>Ск стройинвест</t>
        </is>
      </c>
      <c r="C610" s="49" t="inlineStr">
        <is>
          <t>Очередь</t>
        </is>
      </c>
      <c r="D610" s="49" t="n"/>
      <c r="E610" s="50" t="n"/>
      <c r="F610" s="51">
        <f>IF(OR(C610="",C610="Очередь",C610="Клиент",C610="Отказ",C610="Не писать"),"",IF(E610="",IF(AND(C610="Отправлено",I610&lt;&gt;"",TODAY()-INT(I610)&gt;=3),"молчит "&amp;(TODAY()-INT(I610))&amp;" дн.",IF(OR(C610="Перезвонить",C610="Созвон"),"укажи дату","")),IF(INT(E610)&lt;TODAY(),"просрочено",IF(INT(E610)=TODAY(),"сегодня",IF(INT(E610)=TODAY()+1,"завтра",TEXT(E610,"dd.mm"))))))</f>
        <v/>
      </c>
      <c r="G610" s="52" t="n"/>
      <c r="H610" s="36" t="inlineStr">
        <is>
          <t>79527538630</t>
        </is>
      </c>
      <c r="I610" s="53" t="n"/>
      <c r="J610" s="38">
        <f>IFERROR(MATCH(C610,'Справка'!$A$12:$A$21,0),99)</f>
        <v/>
      </c>
      <c r="K610" s="39">
        <f>HYPERLINK("https://wa.me/"&amp;H610&amp;"?text="&amp;ENCODEURL(T610),"✉ Написать")</f>
        <v/>
      </c>
      <c r="L610" s="39">
        <f>HYPERLINK("https://wa.me/"&amp;H610,"Открыть чат")</f>
        <v/>
      </c>
      <c r="M610" s="38" t="inlineStr">
        <is>
          <t>Воронеж</t>
        </is>
      </c>
      <c r="N610" s="38" t="n">
        <v>5</v>
      </c>
      <c r="O610" s="38" t="n">
        <v>1</v>
      </c>
      <c r="P610" s="38" t="inlineStr">
        <is>
          <t>36stroy.ru</t>
        </is>
      </c>
      <c r="Q610" s="38" t="inlineStr">
        <is>
          <t>есть сайт: сначала впиши в текст, что на нём не так, похоже на магазин</t>
        </is>
      </c>
      <c r="R610" s="38" t="n">
        <v>2</v>
      </c>
      <c r="S610" s="38" t="inlineStr">
        <is>
          <t>Воронежская область</t>
        </is>
      </c>
      <c r="T610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«Ск стройинвест», где это исправлено, и показать. Собрать?</t>
        </is>
      </c>
      <c r="U610" s="38">
        <f>B610&amp;IF(D610&lt;&gt;""," · "&amp;D610,"")&amp;IF(F610&lt;&gt;"",CHAR(10)&amp;F610,"")</f>
        <v/>
      </c>
      <c r="V610" s="38">
        <f>IF(OR(F610="просрочено",F610="сегодня",F610="укажи дату",LEFT(F610,6)="молчит"),1,0)</f>
        <v/>
      </c>
    </row>
    <row r="611" ht="24" customHeight="1">
      <c r="A611" s="38" t="n">
        <v>610</v>
      </c>
      <c r="B611" s="32" t="inlineStr">
        <is>
          <t>Академия</t>
        </is>
      </c>
      <c r="C611" s="49" t="inlineStr">
        <is>
          <t>Очередь</t>
        </is>
      </c>
      <c r="D611" s="49" t="n"/>
      <c r="E611" s="50" t="n"/>
      <c r="F611" s="51">
        <f>IF(OR(C611="",C611="Очередь",C611="Клиент",C611="Отказ",C611="Не писать"),"",IF(E611="",IF(AND(C611="Отправлено",I611&lt;&gt;"",TODAY()-INT(I611)&gt;=3),"молчит "&amp;(TODAY()-INT(I611))&amp;" дн.",IF(OR(C611="Перезвонить",C611="Созвон"),"укажи дату","")),IF(INT(E611)&lt;TODAY(),"просрочено",IF(INT(E611)=TODAY(),"сегодня",IF(INT(E611)=TODAY()+1,"завтра",TEXT(E611,"dd.mm"))))))</f>
        <v/>
      </c>
      <c r="G611" s="52" t="n"/>
      <c r="H611" s="36" t="inlineStr">
        <is>
          <t>79204252387</t>
        </is>
      </c>
      <c r="I611" s="53" t="n"/>
      <c r="J611" s="38">
        <f>IFERROR(MATCH(C611,'Справка'!$A$12:$A$21,0),99)</f>
        <v/>
      </c>
      <c r="K611" s="39">
        <f>HYPERLINK("https://wa.me/"&amp;H611&amp;"?text="&amp;ENCODEURL(T611),"✉ Написать")</f>
        <v/>
      </c>
      <c r="L611" s="39">
        <f>HYPERLINK("https://wa.me/"&amp;H611,"Открыть чат")</f>
        <v/>
      </c>
      <c r="M611" s="38" t="inlineStr">
        <is>
          <t>Воронеж</t>
        </is>
      </c>
      <c r="N611" s="38" t="n">
        <v>5</v>
      </c>
      <c r="O611" s="38" t="n">
        <v>1</v>
      </c>
      <c r="P611" s="38" t="inlineStr">
        <is>
          <t>vegliviy-alpinist.ru</t>
        </is>
      </c>
      <c r="Q611" s="38" t="inlineStr">
        <is>
          <t>есть сайт: сначала впиши в текст, что на нём не так, похоже на магазин</t>
        </is>
      </c>
      <c r="R611" s="38" t="n">
        <v>2</v>
      </c>
      <c r="S611" s="38" t="inlineStr">
        <is>
          <t>Воронежская область</t>
        </is>
      </c>
      <c r="T611" s="38" t="inlineStr">
        <is>
          <t>Здравствуйте! Смотрел в 2ГИС кровельные компании в Воронеже, зашёл на ваш сайт с телефона: [ЧТО НЕ ТАК НА САЙТЕ].
Могу за вечер собрать вариант под «Академия», где это исправлено, и показать. Собрать?</t>
        </is>
      </c>
      <c r="U611" s="38">
        <f>B611&amp;IF(D611&lt;&gt;""," · "&amp;D611,"")&amp;IF(F611&lt;&gt;"",CHAR(10)&amp;F611,"")</f>
        <v/>
      </c>
      <c r="V611" s="38">
        <f>IF(OR(F611="просрочено",F611="сегодня",F611="укажи дату",LEFT(F611,6)="молчит"),1,0)</f>
        <v/>
      </c>
    </row>
    <row r="612" ht="24" customHeight="1">
      <c r="A612" s="38" t="n">
        <v>611</v>
      </c>
      <c r="B612" s="32" t="inlineStr">
        <is>
          <t>Мастерпласт</t>
        </is>
      </c>
      <c r="C612" s="49" t="inlineStr">
        <is>
          <t>Очередь</t>
        </is>
      </c>
      <c r="D612" s="49" t="n"/>
      <c r="E612" s="50" t="n"/>
      <c r="F612" s="51">
        <f>IF(OR(C612="",C612="Очередь",C612="Клиент",C612="Отказ",C612="Не писать"),"",IF(E612="",IF(AND(C612="Отправлено",I612&lt;&gt;"",TODAY()-INT(I612)&gt;=3),"молчит "&amp;(TODAY()-INT(I612))&amp;" дн.",IF(OR(C612="Перезвонить",C612="Созвон"),"укажи дату","")),IF(INT(E612)&lt;TODAY(),"просрочено",IF(INT(E612)=TODAY(),"сегодня",IF(INT(E612)=TODAY()+1,"завтра",TEXT(E612,"dd.mm"))))))</f>
        <v/>
      </c>
      <c r="G612" s="52" t="n"/>
      <c r="H612" s="36" t="inlineStr">
        <is>
          <t>79202539337</t>
        </is>
      </c>
      <c r="I612" s="53" t="n"/>
      <c r="J612" s="38">
        <f>IFERROR(MATCH(C612,'Справка'!$A$12:$A$21,0),99)</f>
        <v/>
      </c>
      <c r="K612" s="39">
        <f>HYPERLINK("https://wa.me/"&amp;H612&amp;"?text="&amp;ENCODEURL(T612),"✉ Написать")</f>
        <v/>
      </c>
      <c r="L612" s="39">
        <f>HYPERLINK("https://wa.me/"&amp;H612,"Открыть чат")</f>
        <v/>
      </c>
      <c r="M612" s="38" t="inlineStr">
        <is>
          <t>Сочи</t>
        </is>
      </c>
      <c r="N612" s="38" t="n"/>
      <c r="O612" s="38" t="n"/>
      <c r="P612" s="38" t="inlineStr">
        <is>
          <t>masterplast.pro</t>
        </is>
      </c>
      <c r="Q612" s="38" t="inlineStr">
        <is>
          <t>есть сайт: сначала впиши в текст, что на нём не так, похоже на магазин</t>
        </is>
      </c>
      <c r="R612" s="38" t="n">
        <v>2</v>
      </c>
      <c r="S612" s="38" t="inlineStr">
        <is>
          <t>Краснодарский край</t>
        </is>
      </c>
      <c r="T612" s="38" t="inlineStr">
        <is>
          <t>Здравствуйте! Смотрел в 2ГИС кровельные компании в Сочи, зашёл на ваш сайт с телефона: [ЧТО НЕ ТАК НА САЙТЕ].
Могу за вечер собрать вариант под «Мастерпласт», где это исправлено, и показать. Собрать?</t>
        </is>
      </c>
      <c r="U612" s="38">
        <f>B612&amp;IF(D612&lt;&gt;""," · "&amp;D612,"")&amp;IF(F612&lt;&gt;"",CHAR(10)&amp;F612,"")</f>
        <v/>
      </c>
      <c r="V612" s="38">
        <f>IF(OR(F612="просрочено",F612="сегодня",F612="укажи дату",LEFT(F612,6)="молчит"),1,0)</f>
        <v/>
      </c>
    </row>
    <row r="613" ht="24" customHeight="1">
      <c r="A613" s="38" t="n">
        <v>612</v>
      </c>
      <c r="B613" s="32" t="inlineStr">
        <is>
          <t>Мастерпласт</t>
        </is>
      </c>
      <c r="C613" s="49" t="inlineStr">
        <is>
          <t>Очередь</t>
        </is>
      </c>
      <c r="D613" s="49" t="n"/>
      <c r="E613" s="50" t="n"/>
      <c r="F613" s="51">
        <f>IF(OR(C613="",C613="Очередь",C613="Клиент",C613="Отказ",C613="Не писать"),"",IF(E613="",IF(AND(C613="Отправлено",I613&lt;&gt;"",TODAY()-INT(I613)&gt;=3),"молчит "&amp;(TODAY()-INT(I613))&amp;" дн.",IF(OR(C613="Перезвонить",C613="Созвон"),"укажи дату","")),IF(INT(E613)&lt;TODAY(),"просрочено",IF(INT(E613)=TODAY(),"сегодня",IF(INT(E613)=TODAY()+1,"завтра",TEXT(E613,"dd.mm"))))))</f>
        <v/>
      </c>
      <c r="G613" s="52" t="n"/>
      <c r="H613" s="36" t="inlineStr">
        <is>
          <t>79200734337</t>
        </is>
      </c>
      <c r="I613" s="53" t="n"/>
      <c r="J613" s="38">
        <f>IFERROR(MATCH(C613,'Справка'!$A$12:$A$21,0),99)</f>
        <v/>
      </c>
      <c r="K613" s="39">
        <f>HYPERLINK("https://wa.me/"&amp;H613&amp;"?text="&amp;ENCODEURL(T613),"✉ Написать")</f>
        <v/>
      </c>
      <c r="L613" s="39">
        <f>HYPERLINK("https://wa.me/"&amp;H613,"Открыть чат")</f>
        <v/>
      </c>
      <c r="M613" s="38" t="inlineStr">
        <is>
          <t>Нижний Новгород</t>
        </is>
      </c>
      <c r="N613" s="38" t="n">
        <v>5</v>
      </c>
      <c r="O613" s="38" t="n">
        <v>26</v>
      </c>
      <c r="P613" s="38" t="inlineStr">
        <is>
          <t>masterplast.pro</t>
        </is>
      </c>
      <c r="Q613" s="38" t="inlineStr">
        <is>
          <t>есть сайт: сначала впиши в текст, что на нём не так, похоже на магазин</t>
        </is>
      </c>
      <c r="R613" s="38" t="n">
        <v>2</v>
      </c>
      <c r="S613" s="38" t="inlineStr">
        <is>
          <t>Нижегородская область</t>
        </is>
      </c>
      <c r="T613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«Мастерпласт», где это исправлено, и показать. Собрать?</t>
        </is>
      </c>
      <c r="U613" s="38">
        <f>B613&amp;IF(D613&lt;&gt;""," · "&amp;D613,"")&amp;IF(F613&lt;&gt;"",CHAR(10)&amp;F613,"")</f>
        <v/>
      </c>
      <c r="V613" s="38">
        <f>IF(OR(F613="просрочено",F613="сегодня",F613="укажи дату",LEFT(F613,6)="молчит"),1,0)</f>
        <v/>
      </c>
    </row>
    <row r="614" ht="24" customHeight="1">
      <c r="A614" s="38" t="n">
        <v>613</v>
      </c>
      <c r="B614" s="32" t="inlineStr">
        <is>
          <t>Аксдом</t>
        </is>
      </c>
      <c r="C614" s="49" t="inlineStr">
        <is>
          <t>Очередь</t>
        </is>
      </c>
      <c r="D614" s="49" t="n"/>
      <c r="E614" s="50" t="n"/>
      <c r="F614" s="51">
        <f>IF(OR(C614="",C614="Очередь",C614="Клиент",C614="Отказ",C614="Не писать"),"",IF(E614="",IF(AND(C614="Отправлено",I614&lt;&gt;"",TODAY()-INT(I614)&gt;=3),"молчит "&amp;(TODAY()-INT(I614))&amp;" дн.",IF(OR(C614="Перезвонить",C614="Созвон"),"укажи дату","")),IF(INT(E614)&lt;TODAY(),"просрочено",IF(INT(E614)=TODAY(),"сегодня",IF(INT(E614)=TODAY()+1,"завтра",TEXT(E614,"dd.mm"))))))</f>
        <v/>
      </c>
      <c r="G614" s="52" t="n"/>
      <c r="H614" s="36" t="inlineStr">
        <is>
          <t>79307111188</t>
        </is>
      </c>
      <c r="I614" s="53" t="n"/>
      <c r="J614" s="38">
        <f>IFERROR(MATCH(C614,'Справка'!$A$12:$A$21,0),99)</f>
        <v/>
      </c>
      <c r="K614" s="39">
        <f>HYPERLINK("https://wa.me/"&amp;H614&amp;"?text="&amp;ENCODEURL(T614),"✉ Написать")</f>
        <v/>
      </c>
      <c r="L614" s="39">
        <f>HYPERLINK("https://wa.me/"&amp;H614,"Открыть чат")</f>
        <v/>
      </c>
      <c r="M614" s="38" t="inlineStr">
        <is>
          <t>Нижний Новгород</t>
        </is>
      </c>
      <c r="N614" s="38" t="n">
        <v>4.4</v>
      </c>
      <c r="O614" s="38" t="n">
        <v>7</v>
      </c>
      <c r="P614" s="38" t="inlineStr">
        <is>
          <t>aksdom.ru</t>
        </is>
      </c>
      <c r="Q614" s="38" t="inlineStr">
        <is>
          <t>есть сайт: сначала впиши в текст, что на нём не так, похоже на магазин</t>
        </is>
      </c>
      <c r="R614" s="38" t="n">
        <v>2</v>
      </c>
      <c r="S614" s="38" t="inlineStr">
        <is>
          <t>Нижегородская область</t>
        </is>
      </c>
      <c r="T614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«Аксдом», где это исправлено, и показать. Собрать?</t>
        </is>
      </c>
      <c r="U614" s="38">
        <f>B614&amp;IF(D614&lt;&gt;""," · "&amp;D614,"")&amp;IF(F614&lt;&gt;"",CHAR(10)&amp;F614,"")</f>
        <v/>
      </c>
      <c r="V614" s="38">
        <f>IF(OR(F614="просрочено",F614="сегодня",F614="укажи дату",LEFT(F614,6)="молчит"),1,0)</f>
        <v/>
      </c>
    </row>
    <row r="615" ht="24" customHeight="1">
      <c r="A615" s="38" t="n">
        <v>614</v>
      </c>
      <c r="B615" s="32" t="inlineStr">
        <is>
          <t>Алми-Кров</t>
        </is>
      </c>
      <c r="C615" s="49" t="inlineStr">
        <is>
          <t>Очередь</t>
        </is>
      </c>
      <c r="D615" s="49" t="n"/>
      <c r="E615" s="50" t="n"/>
      <c r="F615" s="51">
        <f>IF(OR(C615="",C615="Очередь",C615="Клиент",C615="Отказ",C615="Не писать"),"",IF(E615="",IF(AND(C615="Отправлено",I615&lt;&gt;"",TODAY()-INT(I615)&gt;=3),"молчит "&amp;(TODAY()-INT(I615))&amp;" дн.",IF(OR(C615="Перезвонить",C615="Созвон"),"укажи дату","")),IF(INT(E615)&lt;TODAY(),"просрочено",IF(INT(E615)=TODAY(),"сегодня",IF(INT(E615)=TODAY()+1,"завтра",TEXT(E615,"dd.mm"))))))</f>
        <v/>
      </c>
      <c r="G615" s="52" t="n"/>
      <c r="H615" s="36" t="inlineStr">
        <is>
          <t>79524513768</t>
        </is>
      </c>
      <c r="I615" s="53" t="n"/>
      <c r="J615" s="38">
        <f>IFERROR(MATCH(C615,'Справка'!$A$12:$A$21,0),99)</f>
        <v/>
      </c>
      <c r="K615" s="39">
        <f>HYPERLINK("https://wa.me/"&amp;H615&amp;"?text="&amp;ENCODEURL(T615),"✉ Написать")</f>
        <v/>
      </c>
      <c r="L615" s="39">
        <f>HYPERLINK("https://wa.me/"&amp;H615,"Открыть чат")</f>
        <v/>
      </c>
      <c r="M615" s="38" t="inlineStr">
        <is>
          <t>Нижний Новгород</t>
        </is>
      </c>
      <c r="N615" s="38" t="n">
        <v>5</v>
      </c>
      <c r="O615" s="38" t="n">
        <v>6</v>
      </c>
      <c r="P615" s="38" t="inlineStr">
        <is>
          <t>almi-krov.ru</t>
        </is>
      </c>
      <c r="Q615" s="38" t="inlineStr">
        <is>
          <t>есть сайт: сначала впиши в текст, что на нём не так, похоже на магазин</t>
        </is>
      </c>
      <c r="R615" s="38" t="n">
        <v>2</v>
      </c>
      <c r="S615" s="38" t="inlineStr">
        <is>
          <t>Нижегородская область</t>
        </is>
      </c>
      <c r="T615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«Алми-Кров», где это исправлено, и показать. Собрать?</t>
        </is>
      </c>
      <c r="U615" s="38">
        <f>B615&amp;IF(D615&lt;&gt;""," · "&amp;D615,"")&amp;IF(F615&lt;&gt;"",CHAR(10)&amp;F615,"")</f>
        <v/>
      </c>
      <c r="V615" s="38">
        <f>IF(OR(F615="просрочено",F615="сегодня",F615="укажи дату",LEFT(F615,6)="молчит"),1,0)</f>
        <v/>
      </c>
    </row>
    <row r="616" ht="24" customHeight="1">
      <c r="A616" s="38" t="n">
        <v>615</v>
      </c>
      <c r="B616" s="32" t="inlineStr">
        <is>
          <t>Глобус</t>
        </is>
      </c>
      <c r="C616" s="49" t="inlineStr">
        <is>
          <t>Очередь</t>
        </is>
      </c>
      <c r="D616" s="49" t="n"/>
      <c r="E616" s="50" t="n"/>
      <c r="F616" s="51">
        <f>IF(OR(C616="",C616="Очередь",C616="Клиент",C616="Отказ",C616="Не писать"),"",IF(E616="",IF(AND(C616="Отправлено",I616&lt;&gt;"",TODAY()-INT(I616)&gt;=3),"молчит "&amp;(TODAY()-INT(I616))&amp;" дн.",IF(OR(C616="Перезвонить",C616="Созвон"),"укажи дату","")),IF(INT(E616)&lt;TODAY(),"просрочено",IF(INT(E616)=TODAY(),"сегодня",IF(INT(E616)=TODAY()+1,"завтра",TEXT(E616,"dd.mm"))))))</f>
        <v/>
      </c>
      <c r="G616" s="52" t="n"/>
      <c r="H616" s="36" t="inlineStr">
        <is>
          <t>79302839991</t>
        </is>
      </c>
      <c r="I616" s="53" t="n"/>
      <c r="J616" s="38">
        <f>IFERROR(MATCH(C616,'Справка'!$A$12:$A$21,0),99)</f>
        <v/>
      </c>
      <c r="K616" s="39">
        <f>HYPERLINK("https://wa.me/"&amp;H616&amp;"?text="&amp;ENCODEURL(T616),"✉ Написать")</f>
        <v/>
      </c>
      <c r="L616" s="39">
        <f>HYPERLINK("https://wa.me/"&amp;H616,"Открыть чат")</f>
        <v/>
      </c>
      <c r="M616" s="38" t="inlineStr">
        <is>
          <t>Нижний Новгород</t>
        </is>
      </c>
      <c r="N616" s="38" t="n">
        <v>5</v>
      </c>
      <c r="O616" s="38" t="n">
        <v>2</v>
      </c>
      <c r="P616" s="38" t="inlineStr">
        <is>
          <t>globus-gk.ru</t>
        </is>
      </c>
      <c r="Q616" s="38" t="inlineStr">
        <is>
          <t>есть сайт: сначала впиши в текст, что на нём не так, похоже на магазин</t>
        </is>
      </c>
      <c r="R616" s="38" t="n">
        <v>2</v>
      </c>
      <c r="S616" s="38" t="inlineStr">
        <is>
          <t>Нижегородская область</t>
        </is>
      </c>
      <c r="T616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«Глобус», где это исправлено, и показать. Собрать?</t>
        </is>
      </c>
      <c r="U616" s="38">
        <f>B616&amp;IF(D616&lt;&gt;""," · "&amp;D616,"")&amp;IF(F616&lt;&gt;"",CHAR(10)&amp;F616,"")</f>
        <v/>
      </c>
      <c r="V616" s="38">
        <f>IF(OR(F616="просрочено",F616="сегодня",F616="укажи дату",LEFT(F616,6)="молчит"),1,0)</f>
        <v/>
      </c>
    </row>
    <row r="617" ht="24" customHeight="1">
      <c r="A617" s="38" t="n">
        <v>616</v>
      </c>
      <c r="B617" s="32" t="inlineStr">
        <is>
          <t>КровСистем</t>
        </is>
      </c>
      <c r="C617" s="49" t="inlineStr">
        <is>
          <t>Очередь</t>
        </is>
      </c>
      <c r="D617" s="49" t="n"/>
      <c r="E617" s="50" t="n"/>
      <c r="F617" s="51">
        <f>IF(OR(C617="",C617="Очередь",C617="Клиент",C617="Отказ",C617="Не писать"),"",IF(E617="",IF(AND(C617="Отправлено",I617&lt;&gt;"",TODAY()-INT(I617)&gt;=3),"молчит "&amp;(TODAY()-INT(I617))&amp;" дн.",IF(OR(C617="Перезвонить",C617="Созвон"),"укажи дату","")),IF(INT(E617)&lt;TODAY(),"просрочено",IF(INT(E617)=TODAY(),"сегодня",IF(INT(E617)=TODAY()+1,"завтра",TEXT(E617,"dd.mm"))))))</f>
        <v/>
      </c>
      <c r="G617" s="52" t="n"/>
      <c r="H617" s="36" t="inlineStr">
        <is>
          <t>79527850404</t>
        </is>
      </c>
      <c r="I617" s="53" t="n"/>
      <c r="J617" s="38">
        <f>IFERROR(MATCH(C617,'Справка'!$A$12:$A$21,0),99)</f>
        <v/>
      </c>
      <c r="K617" s="39">
        <f>HYPERLINK("https://wa.me/"&amp;H617&amp;"?text="&amp;ENCODEURL(T617),"✉ Написать")</f>
        <v/>
      </c>
      <c r="L617" s="39">
        <f>HYPERLINK("https://wa.me/"&amp;H617,"Открыть чат")</f>
        <v/>
      </c>
      <c r="M617" s="38" t="inlineStr">
        <is>
          <t>Бор</t>
        </is>
      </c>
      <c r="N617" s="38" t="n">
        <v>5</v>
      </c>
      <c r="O617" s="38" t="n">
        <v>2</v>
      </c>
      <c r="P617" s="38" t="inlineStr">
        <is>
          <t>krovsystem-bor.ru</t>
        </is>
      </c>
      <c r="Q617" s="38" t="inlineStr">
        <is>
          <t>есть сайт: сначала впиши в текст, что на нём не так, похоже на магазин</t>
        </is>
      </c>
      <c r="R617" s="38" t="n">
        <v>2</v>
      </c>
      <c r="S617" s="38" t="inlineStr">
        <is>
          <t>Нижегородская область</t>
        </is>
      </c>
      <c r="T617" s="38" t="inlineStr">
        <is>
          <t>Здравствуйте! Смотрел в 2ГИС кровельные компании в городе Бор, зашёл на ваш сайт с телефона: [ЧТО НЕ ТАК НА САЙТЕ].
Могу за вечер собрать вариант под «КровСистем», где это исправлено, и показать. Собрать?</t>
        </is>
      </c>
      <c r="U617" s="38">
        <f>B617&amp;IF(D617&lt;&gt;""," · "&amp;D617,"")&amp;IF(F617&lt;&gt;"",CHAR(10)&amp;F617,"")</f>
        <v/>
      </c>
      <c r="V617" s="38">
        <f>IF(OR(F617="просрочено",F617="сегодня",F617="укажи дату",LEFT(F617,6)="молчит"),1,0)</f>
        <v/>
      </c>
    </row>
    <row r="618" ht="24" customHeight="1">
      <c r="A618" s="38" t="n">
        <v>617</v>
      </c>
      <c r="B618" s="32" t="inlineStr">
        <is>
          <t>Теплоплюс</t>
        </is>
      </c>
      <c r="C618" s="49" t="inlineStr">
        <is>
          <t>Очередь</t>
        </is>
      </c>
      <c r="D618" s="49" t="n"/>
      <c r="E618" s="50" t="n"/>
      <c r="F618" s="51">
        <f>IF(OR(C618="",C618="Очередь",C618="Клиент",C618="Отказ",C618="Не писать"),"",IF(E618="",IF(AND(C618="Отправлено",I618&lt;&gt;"",TODAY()-INT(I618)&gt;=3),"молчит "&amp;(TODAY()-INT(I618))&amp;" дн.",IF(OR(C618="Перезвонить",C618="Созвон"),"укажи дату","")),IF(INT(E618)&lt;TODAY(),"просрочено",IF(INT(E618)=TODAY(),"сегодня",IF(INT(E618)=TODAY()+1,"завтра",TEXT(E618,"dd.mm"))))))</f>
        <v/>
      </c>
      <c r="G618" s="52" t="n"/>
      <c r="H618" s="36" t="inlineStr">
        <is>
          <t>79990792499</t>
        </is>
      </c>
      <c r="I618" s="53" t="n"/>
      <c r="J618" s="38">
        <f>IFERROR(MATCH(C618,'Справка'!$A$12:$A$21,0),99)</f>
        <v/>
      </c>
      <c r="K618" s="39">
        <f>HYPERLINK("https://wa.me/"&amp;H618&amp;"?text="&amp;ENCODEURL(T618),"✉ Написать")</f>
        <v/>
      </c>
      <c r="L618" s="39">
        <f>HYPERLINK("https://wa.me/"&amp;H618,"Открыть чат")</f>
        <v/>
      </c>
      <c r="M618" s="38" t="inlineStr">
        <is>
          <t>Арзамас</t>
        </is>
      </c>
      <c r="N618" s="38" t="n"/>
      <c r="O618" s="38" t="n">
        <v>2</v>
      </c>
      <c r="P618" s="38" t="inlineStr">
        <is>
          <t>teploplus52.ru</t>
        </is>
      </c>
      <c r="Q618" s="38" t="inlineStr">
        <is>
          <t>есть сайт: сначала впиши в текст, что на нём не так, похоже на магазин</t>
        </is>
      </c>
      <c r="R618" s="38" t="n">
        <v>2</v>
      </c>
      <c r="S618" s="38" t="inlineStr">
        <is>
          <t>Нижегородская область</t>
        </is>
      </c>
      <c r="T618" s="38" t="inlineStr">
        <is>
          <t>Здравствуйте! Смотрел в 2ГИС кровельные компании в Арзамасе, зашёл на ваш сайт с телефона: [ЧТО НЕ ТАК НА САЙТЕ].
Могу за вечер собрать вариант под «Теплоплюс», где это исправлено, и показать. Собрать?</t>
        </is>
      </c>
      <c r="U618" s="38">
        <f>B618&amp;IF(D618&lt;&gt;""," · "&amp;D618,"")&amp;IF(F618&lt;&gt;"",CHAR(10)&amp;F618,"")</f>
        <v/>
      </c>
      <c r="V618" s="38">
        <f>IF(OR(F618="просрочено",F618="сегодня",F618="укажи дату",LEFT(F618,6)="молчит"),1,0)</f>
        <v/>
      </c>
    </row>
    <row r="619" ht="24" customHeight="1">
      <c r="A619" s="38" t="n">
        <v>618</v>
      </c>
      <c r="B619" s="32" t="inlineStr">
        <is>
          <t>Лесной терем-НН</t>
        </is>
      </c>
      <c r="C619" s="49" t="inlineStr">
        <is>
          <t>Очередь</t>
        </is>
      </c>
      <c r="D619" s="49" t="n"/>
      <c r="E619" s="50" t="n"/>
      <c r="F619" s="51">
        <f>IF(OR(C619="",C619="Очередь",C619="Клиент",C619="Отказ",C619="Не писать"),"",IF(E619="",IF(AND(C619="Отправлено",I619&lt;&gt;"",TODAY()-INT(I619)&gt;=3),"молчит "&amp;(TODAY()-INT(I619))&amp;" дн.",IF(OR(C619="Перезвонить",C619="Созвон"),"укажи дату","")),IF(INT(E619)&lt;TODAY(),"просрочено",IF(INT(E619)=TODAY(),"сегодня",IF(INT(E619)=TODAY()+1,"завтра",TEXT(E619,"dd.mm"))))))</f>
        <v/>
      </c>
      <c r="G619" s="52" t="n"/>
      <c r="H619" s="36" t="inlineStr">
        <is>
          <t>79519080648</t>
        </is>
      </c>
      <c r="I619" s="53" t="n"/>
      <c r="J619" s="38">
        <f>IFERROR(MATCH(C619,'Справка'!$A$12:$A$21,0),99)</f>
        <v/>
      </c>
      <c r="K619" s="39">
        <f>HYPERLINK("https://wa.me/"&amp;H619&amp;"?text="&amp;ENCODEURL(T619),"✉ Написать")</f>
        <v/>
      </c>
      <c r="L619" s="39">
        <f>HYPERLINK("https://wa.me/"&amp;H619,"Открыть чат")</f>
        <v/>
      </c>
      <c r="M619" s="38" t="inlineStr">
        <is>
          <t>Нижний Новгород</t>
        </is>
      </c>
      <c r="N619" s="38" t="n">
        <v>5</v>
      </c>
      <c r="O619" s="38" t="n">
        <v>1</v>
      </c>
      <c r="P619" s="38" t="inlineStr">
        <is>
          <t>www.lesterem.ru</t>
        </is>
      </c>
      <c r="Q619" s="38" t="inlineStr">
        <is>
          <t>есть сайт: сначала впиши в текст, что на нём не так, похоже на магазин</t>
        </is>
      </c>
      <c r="R619" s="38" t="n">
        <v>2</v>
      </c>
      <c r="S619" s="38" t="inlineStr">
        <is>
          <t>Нижегородская область</t>
        </is>
      </c>
      <c r="T619" s="38" t="inlineStr">
        <is>
          <t>Здравствуйте! Смотрел в 2ГИС кровельные компании в Нижнем Новгороде, зашёл на ваш сайт с телефона: [ЧТО НЕ ТАК НА САЙТЕ].
Могу за вечер собрать вариант под «Лесной терем-НН», где это исправлено, и показать. Собрать?</t>
        </is>
      </c>
      <c r="U619" s="38">
        <f>B619&amp;IF(D619&lt;&gt;""," · "&amp;D619,"")&amp;IF(F619&lt;&gt;"",CHAR(10)&amp;F619,"")</f>
        <v/>
      </c>
      <c r="V619" s="38">
        <f>IF(OR(F619="просрочено",F619="сегодня",F619="укажи дату",LEFT(F619,6)="молчит"),1,0)</f>
        <v/>
      </c>
    </row>
    <row r="620" ht="24" customHeight="1">
      <c r="A620" s="38" t="n">
        <v>619</v>
      </c>
      <c r="B620" s="32" t="inlineStr">
        <is>
          <t>Вента</t>
        </is>
      </c>
      <c r="C620" s="49" t="inlineStr">
        <is>
          <t>Очередь</t>
        </is>
      </c>
      <c r="D620" s="49" t="n"/>
      <c r="E620" s="50" t="n"/>
      <c r="F620" s="51">
        <f>IF(OR(C620="",C620="Очередь",C620="Клиент",C620="Отказ",C620="Не писать"),"",IF(E620="",IF(AND(C620="Отправлено",I620&lt;&gt;"",TODAY()-INT(I620)&gt;=3),"молчит "&amp;(TODAY()-INT(I620))&amp;" дн.",IF(OR(C620="Перезвонить",C620="Созвон"),"укажи дату","")),IF(INT(E620)&lt;TODAY(),"просрочено",IF(INT(E620)=TODAY(),"сегодня",IF(INT(E620)=TODAY()+1,"завтра",TEXT(E620,"dd.mm"))))))</f>
        <v/>
      </c>
      <c r="G620" s="52" t="n"/>
      <c r="H620" s="36" t="inlineStr">
        <is>
          <t>79677722403</t>
        </is>
      </c>
      <c r="I620" s="53" t="n"/>
      <c r="J620" s="38">
        <f>IFERROR(MATCH(C620,'Справка'!$A$12:$A$21,0),99)</f>
        <v/>
      </c>
      <c r="K620" s="39">
        <f>HYPERLINK("https://wa.me/"&amp;H620&amp;"?text="&amp;ENCODEURL(T620),"✉ Написать")</f>
        <v/>
      </c>
      <c r="L620" s="39">
        <f>HYPERLINK("https://wa.me/"&amp;H620,"Открыть чат")</f>
        <v/>
      </c>
      <c r="M620" s="38" t="inlineStr">
        <is>
          <t>Казань</t>
        </is>
      </c>
      <c r="N620" s="38" t="n">
        <v>5</v>
      </c>
      <c r="O620" s="38" t="n">
        <v>15</v>
      </c>
      <c r="P620" s="38" t="inlineStr">
        <is>
          <t>ventasteel.ru</t>
        </is>
      </c>
      <c r="Q620" s="38" t="inlineStr">
        <is>
          <t>есть сайт: сначала впиши в текст, что на нём не так, похоже на магазин</t>
        </is>
      </c>
      <c r="R620" s="38" t="n">
        <v>2</v>
      </c>
      <c r="S620" s="38" t="inlineStr">
        <is>
          <t>Республика Татарстан</t>
        </is>
      </c>
      <c r="T620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«Вента», где это исправлено, и показать. Собрать?</t>
        </is>
      </c>
      <c r="U620" s="38">
        <f>B620&amp;IF(D620&lt;&gt;""," · "&amp;D620,"")&amp;IF(F620&lt;&gt;"",CHAR(10)&amp;F620,"")</f>
        <v/>
      </c>
      <c r="V620" s="38">
        <f>IF(OR(F620="просрочено",F620="сегодня",F620="укажи дату",LEFT(F620,6)="молчит"),1,0)</f>
        <v/>
      </c>
    </row>
    <row r="621" ht="24" customHeight="1">
      <c r="A621" s="38" t="n">
        <v>620</v>
      </c>
      <c r="B621" s="32" t="inlineStr">
        <is>
          <t>Стройсталь</t>
        </is>
      </c>
      <c r="C621" s="49" t="inlineStr">
        <is>
          <t>Очередь</t>
        </is>
      </c>
      <c r="D621" s="49" t="n"/>
      <c r="E621" s="50" t="n"/>
      <c r="F621" s="51">
        <f>IF(OR(C621="",C621="Очередь",C621="Клиент",C621="Отказ",C621="Не писать"),"",IF(E621="",IF(AND(C621="Отправлено",I621&lt;&gt;"",TODAY()-INT(I621)&gt;=3),"молчит "&amp;(TODAY()-INT(I621))&amp;" дн.",IF(OR(C621="Перезвонить",C621="Созвон"),"укажи дату","")),IF(INT(E621)&lt;TODAY(),"просрочено",IF(INT(E621)=TODAY(),"сегодня",IF(INT(E621)=TODAY()+1,"завтра",TEXT(E621,"dd.mm"))))))</f>
        <v/>
      </c>
      <c r="G621" s="52" t="n"/>
      <c r="H621" s="36" t="inlineStr">
        <is>
          <t>79376153243</t>
        </is>
      </c>
      <c r="I621" s="53" t="n"/>
      <c r="J621" s="38">
        <f>IFERROR(MATCH(C621,'Справка'!$A$12:$A$21,0),99)</f>
        <v/>
      </c>
      <c r="K621" s="39">
        <f>HYPERLINK("https://wa.me/"&amp;H621&amp;"?text="&amp;ENCODEURL(T621),"✉ Написать")</f>
        <v/>
      </c>
      <c r="L621" s="39">
        <f>HYPERLINK("https://wa.me/"&amp;H621,"Открыть чат")</f>
        <v/>
      </c>
      <c r="M621" s="38" t="inlineStr">
        <is>
          <t>Казань</t>
        </is>
      </c>
      <c r="N621" s="38" t="n">
        <v>4.6</v>
      </c>
      <c r="O621" s="38" t="n">
        <v>10</v>
      </c>
      <c r="P621" s="38" t="inlineStr">
        <is>
          <t>www.stroistal116.ru</t>
        </is>
      </c>
      <c r="Q621" s="38" t="inlineStr">
        <is>
          <t>есть сайт: сначала впиши в текст, что на нём не так, похоже на магазин</t>
        </is>
      </c>
      <c r="R621" s="38" t="n">
        <v>2</v>
      </c>
      <c r="S621" s="38" t="inlineStr">
        <is>
          <t>Республика Татарстан</t>
        </is>
      </c>
      <c r="T621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«Стройсталь», где это исправлено, и показать. Собрать?</t>
        </is>
      </c>
      <c r="U621" s="38">
        <f>B621&amp;IF(D621&lt;&gt;""," · "&amp;D621,"")&amp;IF(F621&lt;&gt;"",CHAR(10)&amp;F621,"")</f>
        <v/>
      </c>
      <c r="V621" s="38">
        <f>IF(OR(F621="просрочено",F621="сегодня",F621="укажи дату",LEFT(F621,6)="молчит"),1,0)</f>
        <v/>
      </c>
    </row>
    <row r="622" ht="24" customHeight="1">
      <c r="A622" s="38" t="n">
        <v>621</v>
      </c>
      <c r="B622" s="32" t="inlineStr">
        <is>
          <t>Тк троя</t>
        </is>
      </c>
      <c r="C622" s="49" t="inlineStr">
        <is>
          <t>Очередь</t>
        </is>
      </c>
      <c r="D622" s="49" t="n"/>
      <c r="E622" s="50" t="n"/>
      <c r="F622" s="51">
        <f>IF(OR(C622="",C622="Очередь",C622="Клиент",C622="Отказ",C622="Не писать"),"",IF(E622="",IF(AND(C622="Отправлено",I622&lt;&gt;"",TODAY()-INT(I622)&gt;=3),"молчит "&amp;(TODAY()-INT(I622))&amp;" дн.",IF(OR(C622="Перезвонить",C622="Созвон"),"укажи дату","")),IF(INT(E622)&lt;TODAY(),"просрочено",IF(INT(E622)=TODAY(),"сегодня",IF(INT(E622)=TODAY()+1,"завтра",TEXT(E622,"dd.mm"))))))</f>
        <v/>
      </c>
      <c r="G622" s="52" t="n"/>
      <c r="H622" s="36" t="inlineStr">
        <is>
          <t>79178814122</t>
        </is>
      </c>
      <c r="I622" s="53" t="n"/>
      <c r="J622" s="38">
        <f>IFERROR(MATCH(C622,'Справка'!$A$12:$A$21,0),99)</f>
        <v/>
      </c>
      <c r="K622" s="39">
        <f>HYPERLINK("https://wa.me/"&amp;H622&amp;"?text="&amp;ENCODEURL(T622),"✉ Написать")</f>
        <v/>
      </c>
      <c r="L622" s="39">
        <f>HYPERLINK("https://wa.me/"&amp;H622,"Открыть чат")</f>
        <v/>
      </c>
      <c r="M622" s="38" t="inlineStr">
        <is>
          <t>Казань</t>
        </is>
      </c>
      <c r="N622" s="38" t="n">
        <v>5</v>
      </c>
      <c r="O622" s="38" t="n">
        <v>8</v>
      </c>
      <c r="P622" s="38" t="inlineStr">
        <is>
          <t>troya-tk.ru</t>
        </is>
      </c>
      <c r="Q622" s="38" t="inlineStr">
        <is>
          <t>есть сайт: сначала впиши в текст, что на нём не так, похоже на магазин</t>
        </is>
      </c>
      <c r="R622" s="38" t="n">
        <v>2</v>
      </c>
      <c r="S622" s="38" t="inlineStr">
        <is>
          <t>Республика Татарстан</t>
        </is>
      </c>
      <c r="T622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«Тк троя», где это исправлено, и показать. Собрать?</t>
        </is>
      </c>
      <c r="U622" s="38">
        <f>B622&amp;IF(D622&lt;&gt;""," · "&amp;D622,"")&amp;IF(F622&lt;&gt;"",CHAR(10)&amp;F622,"")</f>
        <v/>
      </c>
      <c r="V622" s="38">
        <f>IF(OR(F622="просрочено",F622="сегодня",F622="укажи дату",LEFT(F622,6)="молчит"),1,0)</f>
        <v/>
      </c>
    </row>
    <row r="623" ht="24" customHeight="1">
      <c r="A623" s="38" t="n">
        <v>622</v>
      </c>
      <c r="B623" s="32" t="inlineStr">
        <is>
          <t>Арт уют</t>
        </is>
      </c>
      <c r="C623" s="49" t="inlineStr">
        <is>
          <t>Очередь</t>
        </is>
      </c>
      <c r="D623" s="49" t="n"/>
      <c r="E623" s="50" t="n"/>
      <c r="F623" s="51">
        <f>IF(OR(C623="",C623="Очередь",C623="Клиент",C623="Отказ",C623="Не писать"),"",IF(E623="",IF(AND(C623="Отправлено",I623&lt;&gt;"",TODAY()-INT(I623)&gt;=3),"молчит "&amp;(TODAY()-INT(I623))&amp;" дн.",IF(OR(C623="Перезвонить",C623="Созвон"),"укажи дату","")),IF(INT(E623)&lt;TODAY(),"просрочено",IF(INT(E623)=TODAY(),"сегодня",IF(INT(E623)=TODAY()+1,"завтра",TEXT(E623,"dd.mm"))))))</f>
        <v/>
      </c>
      <c r="G623" s="52" t="n"/>
      <c r="H623" s="36" t="inlineStr">
        <is>
          <t>79033133421</t>
        </is>
      </c>
      <c r="I623" s="53" t="n"/>
      <c r="J623" s="38">
        <f>IFERROR(MATCH(C623,'Справка'!$A$12:$A$21,0),99)</f>
        <v/>
      </c>
      <c r="K623" s="39">
        <f>HYPERLINK("https://wa.me/"&amp;H623&amp;"?text="&amp;ENCODEURL(T623),"✉ Написать")</f>
        <v/>
      </c>
      <c r="L623" s="39">
        <f>HYPERLINK("https://wa.me/"&amp;H623,"Открыть чат")</f>
        <v/>
      </c>
      <c r="M623" s="38" t="inlineStr">
        <is>
          <t>Казань</t>
        </is>
      </c>
      <c r="N623" s="38" t="n">
        <v>5</v>
      </c>
      <c r="O623" s="38" t="n">
        <v>1</v>
      </c>
      <c r="P623" s="38" t="inlineStr">
        <is>
          <t>art-uiut.ru</t>
        </is>
      </c>
      <c r="Q623" s="38" t="inlineStr">
        <is>
          <t>есть сайт: сначала впиши в текст, что на нём не так, похоже на магазин</t>
        </is>
      </c>
      <c r="R623" s="38" t="n">
        <v>2</v>
      </c>
      <c r="S623" s="38" t="inlineStr">
        <is>
          <t>Республика Татарстан</t>
        </is>
      </c>
      <c r="T623" s="38" t="inlineStr">
        <is>
          <t>Здравствуйте! Смотрел в 2ГИС кровельные компании в Казани, зашёл на ваш сайт с телефона: [ЧТО НЕ ТАК НА САЙТЕ].
Могу за вечер собрать вариант под «Арт уют», где это исправлено, и показать. Собрать?</t>
        </is>
      </c>
      <c r="U623" s="38">
        <f>B623&amp;IF(D623&lt;&gt;""," · "&amp;D623,"")&amp;IF(F623&lt;&gt;"",CHAR(10)&amp;F623,"")</f>
        <v/>
      </c>
      <c r="V623" s="38">
        <f>IF(OR(F623="просрочено",F623="сегодня",F623="укажи дату",LEFT(F623,6)="молчит"),1,0)</f>
        <v/>
      </c>
    </row>
    <row r="624" ht="24" customHeight="1">
      <c r="A624" s="38" t="n">
        <v>623</v>
      </c>
      <c r="B624" s="32" t="inlineStr">
        <is>
          <t>Магазин стройматериалов</t>
        </is>
      </c>
      <c r="C624" s="49" t="inlineStr">
        <is>
          <t>Очередь</t>
        </is>
      </c>
      <c r="D624" s="49" t="n"/>
      <c r="E624" s="50" t="n"/>
      <c r="F624" s="51">
        <f>IF(OR(C624="",C624="Очередь",C624="Клиент",C624="Отказ",C624="Не писать"),"",IF(E624="",IF(AND(C624="Отправлено",I624&lt;&gt;"",TODAY()-INT(I624)&gt;=3),"молчит "&amp;(TODAY()-INT(I624))&amp;" дн.",IF(OR(C624="Перезвонить",C624="Созвон"),"укажи дату","")),IF(INT(E624)&lt;TODAY(),"просрочено",IF(INT(E624)=TODAY(),"сегодня",IF(INT(E624)=TODAY()+1,"завтра",TEXT(E624,"dd.mm"))))))</f>
        <v/>
      </c>
      <c r="G624" s="52" t="n"/>
      <c r="H624" s="36" t="inlineStr">
        <is>
          <t>79286001737</t>
        </is>
      </c>
      <c r="I624" s="53" t="n"/>
      <c r="J624" s="38">
        <f>IFERROR(MATCH(C624,'Справка'!$A$12:$A$21,0),99)</f>
        <v/>
      </c>
      <c r="K624" s="39">
        <f>HYPERLINK("https://wa.me/"&amp;H624&amp;"?text="&amp;ENCODEURL(T624),"✉ Написать")</f>
        <v/>
      </c>
      <c r="L624" s="39">
        <f>HYPERLINK("https://wa.me/"&amp;H624,"Открыть чат")</f>
        <v/>
      </c>
      <c r="M624" s="38" t="inlineStr">
        <is>
          <t>Ростов-на-Дону</t>
        </is>
      </c>
      <c r="N624" s="38" t="n">
        <v>5</v>
      </c>
      <c r="O624" s="38" t="n">
        <v>14</v>
      </c>
      <c r="P624" s="38" t="inlineStr">
        <is>
          <t>stroymatrnd.ru/</t>
        </is>
      </c>
      <c r="Q624" s="38" t="inlineStr">
        <is>
          <t>есть сайт: сначала впиши в текст, что на нём не так, похоже на магазин</t>
        </is>
      </c>
      <c r="R624" s="38" t="n">
        <v>2</v>
      </c>
      <c r="S624" s="38" t="inlineStr">
        <is>
          <t>Ростовская область</t>
        </is>
      </c>
      <c r="T624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«Магазин стройматериалов», где это исправлено, и показать. Собрать?</t>
        </is>
      </c>
      <c r="U624" s="38">
        <f>B624&amp;IF(D624&lt;&gt;""," · "&amp;D624,"")&amp;IF(F624&lt;&gt;"",CHAR(10)&amp;F624,"")</f>
        <v/>
      </c>
      <c r="V624" s="38">
        <f>IF(OR(F624="просрочено",F624="сегодня",F624="укажи дату",LEFT(F624,6)="молчит"),1,0)</f>
        <v/>
      </c>
    </row>
    <row r="625" ht="24" customHeight="1">
      <c r="A625" s="38" t="n">
        <v>624</v>
      </c>
      <c r="B625" s="32" t="inlineStr">
        <is>
          <t>Дом Фасадов</t>
        </is>
      </c>
      <c r="C625" s="49" t="inlineStr">
        <is>
          <t>Очередь</t>
        </is>
      </c>
      <c r="D625" s="49" t="n"/>
      <c r="E625" s="50" t="n"/>
      <c r="F625" s="51">
        <f>IF(OR(C625="",C625="Очередь",C625="Клиент",C625="Отказ",C625="Не писать"),"",IF(E625="",IF(AND(C625="Отправлено",I625&lt;&gt;"",TODAY()-INT(I625)&gt;=3),"молчит "&amp;(TODAY()-INT(I625))&amp;" дн.",IF(OR(C625="Перезвонить",C625="Созвон"),"укажи дату","")),IF(INT(E625)&lt;TODAY(),"просрочено",IF(INT(E625)=TODAY(),"сегодня",IF(INT(E625)=TODAY()+1,"завтра",TEXT(E625,"dd.mm"))))))</f>
        <v/>
      </c>
      <c r="G625" s="52" t="n"/>
      <c r="H625" s="36" t="inlineStr">
        <is>
          <t>79281321212</t>
        </is>
      </c>
      <c r="I625" s="53" t="n"/>
      <c r="J625" s="38">
        <f>IFERROR(MATCH(C625,'Справка'!$A$12:$A$21,0),99)</f>
        <v/>
      </c>
      <c r="K625" s="39">
        <f>HYPERLINK("https://wa.me/"&amp;H625&amp;"?text="&amp;ENCODEURL(T625),"✉ Написать")</f>
        <v/>
      </c>
      <c r="L625" s="39">
        <f>HYPERLINK("https://wa.me/"&amp;H625,"Открыть чат")</f>
        <v/>
      </c>
      <c r="M625" s="38" t="inlineStr">
        <is>
          <t>Ростов-на-Дону</t>
        </is>
      </c>
      <c r="N625" s="38" t="n">
        <v>5</v>
      </c>
      <c r="O625" s="38" t="n">
        <v>11</v>
      </c>
      <c r="P625" s="38" t="inlineStr">
        <is>
          <t>dom-fasadov.ru</t>
        </is>
      </c>
      <c r="Q625" s="38" t="inlineStr">
        <is>
          <t>есть сайт: сначала впиши в текст, что на нём не так, похоже на магазин</t>
        </is>
      </c>
      <c r="R625" s="38" t="n">
        <v>2</v>
      </c>
      <c r="S625" s="38" t="inlineStr">
        <is>
          <t>Ростовская область</t>
        </is>
      </c>
      <c r="T625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«Дом Фасадов», где это исправлено, и показать. Собрать?</t>
        </is>
      </c>
      <c r="U625" s="38">
        <f>B625&amp;IF(D625&lt;&gt;""," · "&amp;D625,"")&amp;IF(F625&lt;&gt;"",CHAR(10)&amp;F625,"")</f>
        <v/>
      </c>
      <c r="V625" s="38">
        <f>IF(OR(F625="просрочено",F625="сегодня",F625="укажи дату",LEFT(F625,6)="молчит"),1,0)</f>
        <v/>
      </c>
    </row>
    <row r="626" ht="24" customHeight="1">
      <c r="A626" s="38" t="n">
        <v>625</v>
      </c>
      <c r="B626" s="32" t="inlineStr">
        <is>
          <t>Гранд Кровля</t>
        </is>
      </c>
      <c r="C626" s="49" t="inlineStr">
        <is>
          <t>Очередь</t>
        </is>
      </c>
      <c r="D626" s="49" t="n"/>
      <c r="E626" s="50" t="n"/>
      <c r="F626" s="51">
        <f>IF(OR(C626="",C626="Очередь",C626="Клиент",C626="Отказ",C626="Не писать"),"",IF(E626="",IF(AND(C626="Отправлено",I626&lt;&gt;"",TODAY()-INT(I626)&gt;=3),"молчит "&amp;(TODAY()-INT(I626))&amp;" дн.",IF(OR(C626="Перезвонить",C626="Созвон"),"укажи дату","")),IF(INT(E626)&lt;TODAY(),"просрочено",IF(INT(E626)=TODAY(),"сегодня",IF(INT(E626)=TODAY()+1,"завтра",TEXT(E626,"dd.mm"))))))</f>
        <v/>
      </c>
      <c r="G626" s="52" t="n"/>
      <c r="H626" s="36" t="inlineStr">
        <is>
          <t>79282126226</t>
        </is>
      </c>
      <c r="I626" s="53" t="n"/>
      <c r="J626" s="38">
        <f>IFERROR(MATCH(C626,'Справка'!$A$12:$A$21,0),99)</f>
        <v/>
      </c>
      <c r="K626" s="39">
        <f>HYPERLINK("https://wa.me/"&amp;H626&amp;"?text="&amp;ENCODEURL(T626),"✉ Написать")</f>
        <v/>
      </c>
      <c r="L626" s="39">
        <f>HYPERLINK("https://wa.me/"&amp;H626,"Открыть чат")</f>
        <v/>
      </c>
      <c r="M626" s="38" t="inlineStr">
        <is>
          <t>Ростов-на-Дону</t>
        </is>
      </c>
      <c r="N626" s="38" t="n">
        <v>5</v>
      </c>
      <c r="O626" s="38" t="n">
        <v>5</v>
      </c>
      <c r="P626" s="38" t="inlineStr">
        <is>
          <t>grandkrovlya.ru</t>
        </is>
      </c>
      <c r="Q626" s="38" t="inlineStr">
        <is>
          <t>есть сайт: сначала впиши в текст, что на нём не так, похоже на магазин</t>
        </is>
      </c>
      <c r="R626" s="38" t="n">
        <v>2</v>
      </c>
      <c r="S626" s="38" t="inlineStr">
        <is>
          <t>Ростовская область</t>
        </is>
      </c>
      <c r="T626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«Гранд Кровля», где это исправлено, и показать. Собрать?</t>
        </is>
      </c>
      <c r="U626" s="38">
        <f>B626&amp;IF(D626&lt;&gt;""," · "&amp;D626,"")&amp;IF(F626&lt;&gt;"",CHAR(10)&amp;F626,"")</f>
        <v/>
      </c>
      <c r="V626" s="38">
        <f>IF(OR(F626="просрочено",F626="сегодня",F626="укажи дату",LEFT(F626,6)="молчит"),1,0)</f>
        <v/>
      </c>
    </row>
    <row r="627" ht="24" customHeight="1">
      <c r="A627" s="38" t="n">
        <v>626</v>
      </c>
      <c r="B627" s="32" t="inlineStr">
        <is>
          <t>Высотаремстрой</t>
        </is>
      </c>
      <c r="C627" s="49" t="inlineStr">
        <is>
          <t>Очередь</t>
        </is>
      </c>
      <c r="D627" s="49" t="n"/>
      <c r="E627" s="50" t="n"/>
      <c r="F627" s="51">
        <f>IF(OR(C627="",C627="Очередь",C627="Клиент",C627="Отказ",C627="Не писать"),"",IF(E627="",IF(AND(C627="Отправлено",I627&lt;&gt;"",TODAY()-INT(I627)&gt;=3),"молчит "&amp;(TODAY()-INT(I627))&amp;" дн.",IF(OR(C627="Перезвонить",C627="Созвон"),"укажи дату","")),IF(INT(E627)&lt;TODAY(),"просрочено",IF(INT(E627)=TODAY(),"сегодня",IF(INT(E627)=TODAY()+1,"завтра",TEXT(E627,"dd.mm"))))))</f>
        <v/>
      </c>
      <c r="G627" s="52" t="n"/>
      <c r="H627" s="36" t="inlineStr">
        <is>
          <t>79023821767</t>
        </is>
      </c>
      <c r="I627" s="53" t="n"/>
      <c r="J627" s="38">
        <f>IFERROR(MATCH(C627,'Справка'!$A$12:$A$21,0),99)</f>
        <v/>
      </c>
      <c r="K627" s="39">
        <f>HYPERLINK("https://wa.me/"&amp;H627&amp;"?text="&amp;ENCODEURL(T627),"✉ Написать")</f>
        <v/>
      </c>
      <c r="L627" s="39">
        <f>HYPERLINK("https://wa.me/"&amp;H627,"Открыть чат")</f>
        <v/>
      </c>
      <c r="M627" s="38" t="inlineStr">
        <is>
          <t>Ростов-на-Дону</t>
        </is>
      </c>
      <c r="N627" s="38" t="n">
        <v>5</v>
      </c>
      <c r="O627" s="38" t="n">
        <v>3</v>
      </c>
      <c r="P627" s="38" t="inlineStr">
        <is>
          <t>www.vysota-rs.ru</t>
        </is>
      </c>
      <c r="Q627" s="38" t="inlineStr">
        <is>
          <t>есть сайт: сначала впиши в текст, что на нём не так, похоже на магазин</t>
        </is>
      </c>
      <c r="R627" s="38" t="n">
        <v>2</v>
      </c>
      <c r="S627" s="38" t="inlineStr">
        <is>
          <t>Ростовская область</t>
        </is>
      </c>
      <c r="T627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«Высотаремстрой», где это исправлено, и показать. Собрать?</t>
        </is>
      </c>
      <c r="U627" s="38">
        <f>B627&amp;IF(D627&lt;&gt;""," · "&amp;D627,"")&amp;IF(F627&lt;&gt;"",CHAR(10)&amp;F627,"")</f>
        <v/>
      </c>
      <c r="V627" s="38">
        <f>IF(OR(F627="просрочено",F627="сегодня",F627="укажи дату",LEFT(F627,6)="молчит"),1,0)</f>
        <v/>
      </c>
    </row>
    <row r="628" ht="24" customHeight="1">
      <c r="A628" s="38" t="n">
        <v>627</v>
      </c>
      <c r="B628" s="32" t="inlineStr">
        <is>
          <t>Точка Кровли</t>
        </is>
      </c>
      <c r="C628" s="49" t="inlineStr">
        <is>
          <t>Очередь</t>
        </is>
      </c>
      <c r="D628" s="49" t="n"/>
      <c r="E628" s="50" t="n"/>
      <c r="F628" s="51">
        <f>IF(OR(C628="",C628="Очередь",C628="Клиент",C628="Отказ",C628="Не писать"),"",IF(E628="",IF(AND(C628="Отправлено",I628&lt;&gt;"",TODAY()-INT(I628)&gt;=3),"молчит "&amp;(TODAY()-INT(I628))&amp;" дн.",IF(OR(C628="Перезвонить",C628="Созвон"),"укажи дату","")),IF(INT(E628)&lt;TODAY(),"просрочено",IF(INT(E628)=TODAY(),"сегодня",IF(INT(E628)=TODAY()+1,"завтра",TEXT(E628,"dd.mm"))))))</f>
        <v/>
      </c>
      <c r="G628" s="52" t="n"/>
      <c r="H628" s="36" t="inlineStr">
        <is>
          <t>79885329960</t>
        </is>
      </c>
      <c r="I628" s="53" t="n"/>
      <c r="J628" s="38">
        <f>IFERROR(MATCH(C628,'Справка'!$A$12:$A$21,0),99)</f>
        <v/>
      </c>
      <c r="K628" s="39">
        <f>HYPERLINK("https://wa.me/"&amp;H628&amp;"?text="&amp;ENCODEURL(T628),"✉ Написать")</f>
        <v/>
      </c>
      <c r="L628" s="39">
        <f>HYPERLINK("https://wa.me/"&amp;H628,"Открыть чат")</f>
        <v/>
      </c>
      <c r="M628" s="38" t="inlineStr">
        <is>
          <t>Ростов-на-Дону</t>
        </is>
      </c>
      <c r="N628" s="38" t="n">
        <v>4</v>
      </c>
      <c r="O628" s="38" t="n">
        <v>2</v>
      </c>
      <c r="P628" s="38" t="inlineStr">
        <is>
          <t>tkrovli.ru/</t>
        </is>
      </c>
      <c r="Q628" s="38" t="inlineStr">
        <is>
          <t>есть сайт: сначала впиши в текст, что на нём не так, похоже на магазин</t>
        </is>
      </c>
      <c r="R628" s="38" t="n">
        <v>2</v>
      </c>
      <c r="S628" s="38" t="inlineStr">
        <is>
          <t>Ростовская область</t>
        </is>
      </c>
      <c r="T628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«Точка Кровли», где это исправлено, и показать. Собрать?</t>
        </is>
      </c>
      <c r="U628" s="38">
        <f>B628&amp;IF(D628&lt;&gt;""," · "&amp;D628,"")&amp;IF(F628&lt;&gt;"",CHAR(10)&amp;F628,"")</f>
        <v/>
      </c>
      <c r="V628" s="38">
        <f>IF(OR(F628="просрочено",F628="сегодня",F628="укажи дату",LEFT(F628,6)="молчит"),1,0)</f>
        <v/>
      </c>
    </row>
    <row r="629" ht="24" customHeight="1">
      <c r="A629" s="38" t="n">
        <v>628</v>
      </c>
      <c r="B629" s="32" t="inlineStr">
        <is>
          <t>ДиП кровля</t>
        </is>
      </c>
      <c r="C629" s="49" t="inlineStr">
        <is>
          <t>Очередь</t>
        </is>
      </c>
      <c r="D629" s="49" t="n"/>
      <c r="E629" s="50" t="n"/>
      <c r="F629" s="51">
        <f>IF(OR(C629="",C629="Очередь",C629="Клиент",C629="Отказ",C629="Не писать"),"",IF(E629="",IF(AND(C629="Отправлено",I629&lt;&gt;"",TODAY()-INT(I629)&gt;=3),"молчит "&amp;(TODAY()-INT(I629))&amp;" дн.",IF(OR(C629="Перезвонить",C629="Созвон"),"укажи дату","")),IF(INT(E629)&lt;TODAY(),"просрочено",IF(INT(E629)=TODAY(),"сегодня",IF(INT(E629)=TODAY()+1,"завтра",TEXT(E629,"dd.mm"))))))</f>
        <v/>
      </c>
      <c r="G629" s="52" t="n"/>
      <c r="H629" s="36" t="inlineStr">
        <is>
          <t>79282797921</t>
        </is>
      </c>
      <c r="I629" s="53" t="n"/>
      <c r="J629" s="38">
        <f>IFERROR(MATCH(C629,'Справка'!$A$12:$A$21,0),99)</f>
        <v/>
      </c>
      <c r="K629" s="39">
        <f>HYPERLINK("https://wa.me/"&amp;H629&amp;"?text="&amp;ENCODEURL(T629),"✉ Написать")</f>
        <v/>
      </c>
      <c r="L629" s="39">
        <f>HYPERLINK("https://wa.me/"&amp;H629,"Открыть чат")</f>
        <v/>
      </c>
      <c r="M629" s="38" t="inlineStr">
        <is>
          <t>х. Ленинаван</t>
        </is>
      </c>
      <c r="N629" s="38" t="n"/>
      <c r="O629" s="38" t="n"/>
      <c r="P629" s="38" t="inlineStr">
        <is>
          <t>2797921.ru</t>
        </is>
      </c>
      <c r="Q629" s="38" t="inlineStr">
        <is>
          <t>есть сайт: сначала впиши в текст, что на нём не так, похоже на магазин</t>
        </is>
      </c>
      <c r="R629" s="38" t="n">
        <v>2</v>
      </c>
      <c r="S629" s="38" t="inlineStr">
        <is>
          <t>Ростовская область</t>
        </is>
      </c>
      <c r="T629" s="38" t="inlineStr">
        <is>
          <t>Здравствуйте! Смотрел в 2ГИС кровельные компании в Ростовской области, зашёл на ваш сайт с телефона: [ЧТО НЕ ТАК НА САЙТЕ].
Могу за вечер собрать вариант под «ДиП кровля», где это исправлено, и показать. Собрать?</t>
        </is>
      </c>
      <c r="U629" s="38">
        <f>B629&amp;IF(D629&lt;&gt;""," · "&amp;D629,"")&amp;IF(F629&lt;&gt;"",CHAR(10)&amp;F629,"")</f>
        <v/>
      </c>
      <c r="V629" s="38">
        <f>IF(OR(F629="просрочено",F629="сегодня",F629="укажи дату",LEFT(F629,6)="молчит"),1,0)</f>
        <v/>
      </c>
    </row>
    <row r="630" ht="24" customHeight="1">
      <c r="A630" s="38" t="n">
        <v>629</v>
      </c>
      <c r="B630" s="32" t="inlineStr">
        <is>
          <t>ДомСтрой</t>
        </is>
      </c>
      <c r="C630" s="49" t="inlineStr">
        <is>
          <t>Очередь</t>
        </is>
      </c>
      <c r="D630" s="49" t="n"/>
      <c r="E630" s="50" t="n"/>
      <c r="F630" s="51">
        <f>IF(OR(C630="",C630="Очередь",C630="Клиент",C630="Отказ",C630="Не писать"),"",IF(E630="",IF(AND(C630="Отправлено",I630&lt;&gt;"",TODAY()-INT(I630)&gt;=3),"молчит "&amp;(TODAY()-INT(I630))&amp;" дн.",IF(OR(C630="Перезвонить",C630="Созвон"),"укажи дату","")),IF(INT(E630)&lt;TODAY(),"просрочено",IF(INT(E630)=TODAY(),"сегодня",IF(INT(E630)=TODAY()+1,"завтра",TEXT(E630,"dd.mm"))))))</f>
        <v/>
      </c>
      <c r="G630" s="52" t="n"/>
      <c r="H630" s="36" t="inlineStr">
        <is>
          <t>79282963312</t>
        </is>
      </c>
      <c r="I630" s="53" t="n"/>
      <c r="J630" s="38">
        <f>IFERROR(MATCH(C630,'Справка'!$A$12:$A$21,0),99)</f>
        <v/>
      </c>
      <c r="K630" s="39">
        <f>HYPERLINK("https://wa.me/"&amp;H630&amp;"?text="&amp;ENCODEURL(T630),"✉ Написать")</f>
        <v/>
      </c>
      <c r="L630" s="39">
        <f>HYPERLINK("https://wa.me/"&amp;H630,"Открыть чат")</f>
        <v/>
      </c>
      <c r="M630" s="38" t="inlineStr">
        <is>
          <t>Ростов-на-Дону</t>
        </is>
      </c>
      <c r="N630" s="38" t="n"/>
      <c r="O630" s="38" t="n"/>
      <c r="P630" s="38" t="inlineStr">
        <is>
          <t>dom-stroy161.ru</t>
        </is>
      </c>
      <c r="Q630" s="38" t="inlineStr">
        <is>
          <t>есть сайт: сначала впиши в текст, что на нём не так, похоже на магазин</t>
        </is>
      </c>
      <c r="R630" s="38" t="n">
        <v>2</v>
      </c>
      <c r="S630" s="38" t="inlineStr">
        <is>
          <t>Ростовская область</t>
        </is>
      </c>
      <c r="T630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«ДомСтрой», где это исправлено, и показать. Собрать?</t>
        </is>
      </c>
      <c r="U630" s="38">
        <f>B630&amp;IF(D630&lt;&gt;""," · "&amp;D630,"")&amp;IF(F630&lt;&gt;"",CHAR(10)&amp;F630,"")</f>
        <v/>
      </c>
      <c r="V630" s="38">
        <f>IF(OR(F630="просрочено",F630="сегодня",F630="укажи дату",LEFT(F630,6)="молчит"),1,0)</f>
        <v/>
      </c>
    </row>
    <row r="631" ht="24" customHeight="1">
      <c r="A631" s="38" t="n">
        <v>630</v>
      </c>
      <c r="B631" s="32" t="inlineStr">
        <is>
          <t>Кровля ЛД</t>
        </is>
      </c>
      <c r="C631" s="49" t="inlineStr">
        <is>
          <t>Очередь</t>
        </is>
      </c>
      <c r="D631" s="49" t="n"/>
      <c r="E631" s="50" t="n"/>
      <c r="F631" s="51">
        <f>IF(OR(C631="",C631="Очередь",C631="Клиент",C631="Отказ",C631="Не писать"),"",IF(E631="",IF(AND(C631="Отправлено",I631&lt;&gt;"",TODAY()-INT(I631)&gt;=3),"молчит "&amp;(TODAY()-INT(I631))&amp;" дн.",IF(OR(C631="Перезвонить",C631="Созвон"),"укажи дату","")),IF(INT(E631)&lt;TODAY(),"просрочено",IF(INT(E631)=TODAY(),"сегодня",IF(INT(E631)=TODAY()+1,"завтра",TEXT(E631,"dd.mm"))))))</f>
        <v/>
      </c>
      <c r="G631" s="52" t="n"/>
      <c r="H631" s="36" t="inlineStr">
        <is>
          <t>79185562027</t>
        </is>
      </c>
      <c r="I631" s="53" t="n"/>
      <c r="J631" s="38">
        <f>IFERROR(MATCH(C631,'Справка'!$A$12:$A$21,0),99)</f>
        <v/>
      </c>
      <c r="K631" s="39">
        <f>HYPERLINK("https://wa.me/"&amp;H631&amp;"?text="&amp;ENCODEURL(T631),"✉ Написать")</f>
        <v/>
      </c>
      <c r="L631" s="39">
        <f>HYPERLINK("https://wa.me/"&amp;H631,"Открыть чат")</f>
        <v/>
      </c>
      <c r="M631" s="38" t="inlineStr">
        <is>
          <t>Ростов-на-Дону</t>
        </is>
      </c>
      <c r="N631" s="38" t="n"/>
      <c r="O631" s="38" t="n"/>
      <c r="P631" s="38" t="inlineStr">
        <is>
          <t>krovlya-ld.ru</t>
        </is>
      </c>
      <c r="Q631" s="38" t="inlineStr">
        <is>
          <t>есть сайт: сначала впиши в текст, что на нём не так, похоже на магазин</t>
        </is>
      </c>
      <c r="R631" s="38" t="n">
        <v>2</v>
      </c>
      <c r="S631" s="38" t="inlineStr">
        <is>
          <t>Ростовская область</t>
        </is>
      </c>
      <c r="T631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«Кровля ЛД», где это исправлено, и показать. Собрать?</t>
        </is>
      </c>
      <c r="U631" s="38">
        <f>B631&amp;IF(D631&lt;&gt;""," · "&amp;D631,"")&amp;IF(F631&lt;&gt;"",CHAR(10)&amp;F631,"")</f>
        <v/>
      </c>
      <c r="V631" s="38">
        <f>IF(OR(F631="просрочено",F631="сегодня",F631="укажи дату",LEFT(F631,6)="молчит"),1,0)</f>
        <v/>
      </c>
    </row>
    <row r="632" ht="24" customHeight="1">
      <c r="A632" s="38" t="n">
        <v>631</v>
      </c>
      <c r="B632" s="32" t="inlineStr">
        <is>
          <t>Стройтехмонтаж</t>
        </is>
      </c>
      <c r="C632" s="49" t="inlineStr">
        <is>
          <t>Очередь</t>
        </is>
      </c>
      <c r="D632" s="49" t="n"/>
      <c r="E632" s="50" t="n"/>
      <c r="F632" s="51">
        <f>IF(OR(C632="",C632="Очередь",C632="Клиент",C632="Отказ",C632="Не писать"),"",IF(E632="",IF(AND(C632="Отправлено",I632&lt;&gt;"",TODAY()-INT(I632)&gt;=3),"молчит "&amp;(TODAY()-INT(I632))&amp;" дн.",IF(OR(C632="Перезвонить",C632="Созвон"),"укажи дату","")),IF(INT(E632)&lt;TODAY(),"просрочено",IF(INT(E632)=TODAY(),"сегодня",IF(INT(E632)=TODAY()+1,"завтра",TEXT(E632,"dd.mm"))))))</f>
        <v/>
      </c>
      <c r="G632" s="52" t="n"/>
      <c r="H632" s="36" t="inlineStr">
        <is>
          <t>79282969397</t>
        </is>
      </c>
      <c r="I632" s="53" t="n"/>
      <c r="J632" s="38">
        <f>IFERROR(MATCH(C632,'Справка'!$A$12:$A$21,0),99)</f>
        <v/>
      </c>
      <c r="K632" s="39">
        <f>HYPERLINK("https://wa.me/"&amp;H632&amp;"?text="&amp;ENCODEURL(T632),"✉ Написать")</f>
        <v/>
      </c>
      <c r="L632" s="39">
        <f>HYPERLINK("https://wa.me/"&amp;H632,"Открыть чат")</f>
        <v/>
      </c>
      <c r="M632" s="38" t="inlineStr">
        <is>
          <t>Ростов-на-Дону</t>
        </is>
      </c>
      <c r="N632" s="38" t="n"/>
      <c r="O632" s="38" t="n"/>
      <c r="P632" s="38" t="inlineStr">
        <is>
          <t>montajkrovli.ru</t>
        </is>
      </c>
      <c r="Q632" s="38" t="inlineStr">
        <is>
          <t>есть сайт: сначала впиши в текст, что на нём не так, похоже на магазин</t>
        </is>
      </c>
      <c r="R632" s="38" t="n">
        <v>2</v>
      </c>
      <c r="S632" s="38" t="inlineStr">
        <is>
          <t>Ростовская область</t>
        </is>
      </c>
      <c r="T632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«Стройтехмонтаж», где это исправлено, и показать. Собрать?</t>
        </is>
      </c>
      <c r="U632" s="38">
        <f>B632&amp;IF(D632&lt;&gt;""," · "&amp;D632,"")&amp;IF(F632&lt;&gt;"",CHAR(10)&amp;F632,"")</f>
        <v/>
      </c>
      <c r="V632" s="38">
        <f>IF(OR(F632="просрочено",F632="сегодня",F632="укажи дату",LEFT(F632,6)="молчит"),1,0)</f>
        <v/>
      </c>
    </row>
    <row r="633" ht="24" customHeight="1">
      <c r="A633" s="38" t="n">
        <v>632</v>
      </c>
      <c r="B633" s="32" t="inlineStr">
        <is>
          <t>Профи Дом</t>
        </is>
      </c>
      <c r="C633" s="49" t="inlineStr">
        <is>
          <t>Очередь</t>
        </is>
      </c>
      <c r="D633" s="49" t="n"/>
      <c r="E633" s="50" t="n"/>
      <c r="F633" s="51">
        <f>IF(OR(C633="",C633="Очередь",C633="Клиент",C633="Отказ",C633="Не писать"),"",IF(E633="",IF(AND(C633="Отправлено",I633&lt;&gt;"",TODAY()-INT(I633)&gt;=3),"молчит "&amp;(TODAY()-INT(I633))&amp;" дн.",IF(OR(C633="Перезвонить",C633="Созвон"),"укажи дату","")),IF(INT(E633)&lt;TODAY(),"просрочено",IF(INT(E633)=TODAY(),"сегодня",IF(INT(E633)=TODAY()+1,"завтра",TEXT(E633,"dd.mm"))))))</f>
        <v/>
      </c>
      <c r="G633" s="52" t="n"/>
      <c r="H633" s="36" t="inlineStr">
        <is>
          <t>79612952626</t>
        </is>
      </c>
      <c r="I633" s="53" t="n"/>
      <c r="J633" s="38">
        <f>IFERROR(MATCH(C633,'Справка'!$A$12:$A$21,0),99)</f>
        <v/>
      </c>
      <c r="K633" s="39">
        <f>HYPERLINK("https://wa.me/"&amp;H633&amp;"?text="&amp;ENCODEURL(T633),"✉ Написать")</f>
        <v/>
      </c>
      <c r="L633" s="39">
        <f>HYPERLINK("https://wa.me/"&amp;H633,"Открыть чат")</f>
        <v/>
      </c>
      <c r="M633" s="38" t="inlineStr">
        <is>
          <t>Ростов-на-Дону</t>
        </is>
      </c>
      <c r="N633" s="38" t="n"/>
      <c r="O633" s="38" t="n"/>
      <c r="P633" s="38" t="inlineStr">
        <is>
          <t>www.profidom61.ru</t>
        </is>
      </c>
      <c r="Q633" s="38" t="inlineStr">
        <is>
          <t>есть сайт: сначала впиши в текст, что на нём не так, похоже на магазин</t>
        </is>
      </c>
      <c r="R633" s="38" t="n">
        <v>2</v>
      </c>
      <c r="S633" s="38" t="inlineStr">
        <is>
          <t>Ростовская область</t>
        </is>
      </c>
      <c r="T633" s="38" t="inlineStr">
        <is>
          <t>Здравствуйте! Смотрел в 2ГИС кровельные компании в Ростове-на-Дону, зашёл на ваш сайт с телефона: [ЧТО НЕ ТАК НА САЙТЕ].
Могу за вечер собрать вариант под «Профи Дом», где это исправлено, и показать. Собрать?</t>
        </is>
      </c>
      <c r="U633" s="38">
        <f>B633&amp;IF(D633&lt;&gt;""," · "&amp;D633,"")&amp;IF(F633&lt;&gt;"",CHAR(10)&amp;F633,"")</f>
        <v/>
      </c>
      <c r="V633" s="38">
        <f>IF(OR(F633="просрочено",F633="сегодня",F633="укажи дату",LEFT(F633,6)="молчит"),1,0)</f>
        <v/>
      </c>
    </row>
    <row r="634" ht="24" customHeight="1">
      <c r="A634" s="38" t="n">
        <v>633</v>
      </c>
      <c r="B634" s="32" t="inlineStr">
        <is>
          <t>Кронос</t>
        </is>
      </c>
      <c r="C634" s="49" t="inlineStr">
        <is>
          <t>Очередь</t>
        </is>
      </c>
      <c r="D634" s="49" t="n"/>
      <c r="E634" s="50" t="n"/>
      <c r="F634" s="51">
        <f>IF(OR(C634="",C634="Очередь",C634="Клиент",C634="Отказ",C634="Не писать"),"",IF(E634="",IF(AND(C634="Отправлено",I634&lt;&gt;"",TODAY()-INT(I634)&gt;=3),"молчит "&amp;(TODAY()-INT(I634))&amp;" дн.",IF(OR(C634="Перезвонить",C634="Созвон"),"укажи дату","")),IF(INT(E634)&lt;TODAY(),"просрочено",IF(INT(E634)=TODAY(),"сегодня",IF(INT(E634)=TODAY()+1,"завтра",TEXT(E634,"dd.mm"))))))</f>
        <v/>
      </c>
      <c r="G634" s="52" t="n"/>
      <c r="H634" s="36" t="inlineStr">
        <is>
          <t>79277871530</t>
        </is>
      </c>
      <c r="I634" s="53" t="n"/>
      <c r="J634" s="38">
        <f>IFERROR(MATCH(C634,'Справка'!$A$12:$A$21,0),99)</f>
        <v/>
      </c>
      <c r="K634" s="39">
        <f>HYPERLINK("https://wa.me/"&amp;H634&amp;"?text="&amp;ENCODEURL(T634),"✉ Написать")</f>
        <v/>
      </c>
      <c r="L634" s="39">
        <f>HYPERLINK("https://wa.me/"&amp;H634,"Открыть чат")</f>
        <v/>
      </c>
      <c r="M634" s="38" t="inlineStr">
        <is>
          <t>Самара</t>
        </is>
      </c>
      <c r="N634" s="38" t="n">
        <v>4.9</v>
      </c>
      <c r="O634" s="38" t="n">
        <v>27</v>
      </c>
      <c r="P634" s="38" t="inlineStr">
        <is>
          <t>kronos-samara.ru</t>
        </is>
      </c>
      <c r="Q634" s="38" t="inlineStr">
        <is>
          <t>есть сайт: сначала впиши в текст, что на нём не так, похоже на магазин</t>
        </is>
      </c>
      <c r="R634" s="38" t="n">
        <v>2</v>
      </c>
      <c r="S634" s="38" t="inlineStr">
        <is>
          <t>Самарская область</t>
        </is>
      </c>
      <c r="T634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«Кронос», где это исправлено, и показать. Собрать?</t>
        </is>
      </c>
      <c r="U634" s="38">
        <f>B634&amp;IF(D634&lt;&gt;""," · "&amp;D634,"")&amp;IF(F634&lt;&gt;"",CHAR(10)&amp;F634,"")</f>
        <v/>
      </c>
      <c r="V634" s="38">
        <f>IF(OR(F634="просрочено",F634="сегодня",F634="укажи дату",LEFT(F634,6)="молчит"),1,0)</f>
        <v/>
      </c>
    </row>
    <row r="635" ht="24" customHeight="1">
      <c r="A635" s="38" t="n">
        <v>634</v>
      </c>
      <c r="B635" s="32" t="inlineStr">
        <is>
          <t>Пантеон</t>
        </is>
      </c>
      <c r="C635" s="49" t="inlineStr">
        <is>
          <t>Очередь</t>
        </is>
      </c>
      <c r="D635" s="49" t="n"/>
      <c r="E635" s="50" t="n"/>
      <c r="F635" s="51">
        <f>IF(OR(C635="",C635="Очередь",C635="Клиент",C635="Отказ",C635="Не писать"),"",IF(E635="",IF(AND(C635="Отправлено",I635&lt;&gt;"",TODAY()-INT(I635)&gt;=3),"молчит "&amp;(TODAY()-INT(I635))&amp;" дн.",IF(OR(C635="Перезвонить",C635="Созвон"),"укажи дату","")),IF(INT(E635)&lt;TODAY(),"просрочено",IF(INT(E635)=TODAY(),"сегодня",IF(INT(E635)=TODAY()+1,"завтра",TEXT(E635,"dd.mm"))))))</f>
        <v/>
      </c>
      <c r="G635" s="52" t="n"/>
      <c r="H635" s="36" t="inlineStr">
        <is>
          <t>79033013494</t>
        </is>
      </c>
      <c r="I635" s="53" t="n"/>
      <c r="J635" s="38">
        <f>IFERROR(MATCH(C635,'Справка'!$A$12:$A$21,0),99)</f>
        <v/>
      </c>
      <c r="K635" s="39">
        <f>HYPERLINK("https://wa.me/"&amp;H635&amp;"?text="&amp;ENCODEURL(T635),"✉ Написать")</f>
        <v/>
      </c>
      <c r="L635" s="39">
        <f>HYPERLINK("https://wa.me/"&amp;H635,"Открыть чат")</f>
        <v/>
      </c>
      <c r="M635" s="38" t="inlineStr">
        <is>
          <t>Самара</t>
        </is>
      </c>
      <c r="N635" s="38" t="n">
        <v>5</v>
      </c>
      <c r="O635" s="38" t="n">
        <v>9</v>
      </c>
      <c r="P635" s="38" t="inlineStr">
        <is>
          <t>panteon63.ru</t>
        </is>
      </c>
      <c r="Q635" s="38" t="inlineStr">
        <is>
          <t>есть сайт: сначала впиши в текст, что на нём не так, похоже на магазин</t>
        </is>
      </c>
      <c r="R635" s="38" t="n">
        <v>2</v>
      </c>
      <c r="S635" s="38" t="inlineStr">
        <is>
          <t>Самарская область</t>
        </is>
      </c>
      <c r="T635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«Пантеон», где это исправлено, и показать. Собрать?</t>
        </is>
      </c>
      <c r="U635" s="38">
        <f>B635&amp;IF(D635&lt;&gt;""," · "&amp;D635,"")&amp;IF(F635&lt;&gt;"",CHAR(10)&amp;F635,"")</f>
        <v/>
      </c>
      <c r="V635" s="38">
        <f>IF(OR(F635="просрочено",F635="сегодня",F635="укажи дату",LEFT(F635,6)="молчит"),1,0)</f>
        <v/>
      </c>
    </row>
    <row r="636" ht="24" customHeight="1">
      <c r="A636" s="38" t="n">
        <v>635</v>
      </c>
      <c r="B636" s="32" t="inlineStr">
        <is>
          <t>Абв-Созидание</t>
        </is>
      </c>
      <c r="C636" s="49" t="inlineStr">
        <is>
          <t>Очередь</t>
        </is>
      </c>
      <c r="D636" s="49" t="n"/>
      <c r="E636" s="50" t="n"/>
      <c r="F636" s="51">
        <f>IF(OR(C636="",C636="Очередь",C636="Клиент",C636="Отказ",C636="Не писать"),"",IF(E636="",IF(AND(C636="Отправлено",I636&lt;&gt;"",TODAY()-INT(I636)&gt;=3),"молчит "&amp;(TODAY()-INT(I636))&amp;" дн.",IF(OR(C636="Перезвонить",C636="Созвон"),"укажи дату","")),IF(INT(E636)&lt;TODAY(),"просрочено",IF(INT(E636)=TODAY(),"сегодня",IF(INT(E636)=TODAY()+1,"завтра",TEXT(E636,"dd.mm"))))))</f>
        <v/>
      </c>
      <c r="G636" s="52" t="n"/>
      <c r="H636" s="36" t="inlineStr">
        <is>
          <t>79053046989</t>
        </is>
      </c>
      <c r="I636" s="53" t="n"/>
      <c r="J636" s="38">
        <f>IFERROR(MATCH(C636,'Справка'!$A$12:$A$21,0),99)</f>
        <v/>
      </c>
      <c r="K636" s="39">
        <f>HYPERLINK("https://wa.me/"&amp;H636&amp;"?text="&amp;ENCODEURL(T636),"✉ Написать")</f>
        <v/>
      </c>
      <c r="L636" s="39">
        <f>HYPERLINK("https://wa.me/"&amp;H636,"Открыть чат")</f>
        <v/>
      </c>
      <c r="M636" s="38" t="inlineStr">
        <is>
          <t>Самара</t>
        </is>
      </c>
      <c r="N636" s="38" t="n">
        <v>5</v>
      </c>
      <c r="O636" s="38" t="n">
        <v>4</v>
      </c>
      <c r="P636" s="38" t="inlineStr">
        <is>
          <t>abv-sozidanie.ru</t>
        </is>
      </c>
      <c r="Q636" s="38" t="inlineStr">
        <is>
          <t>есть сайт: сначала впиши в текст, что на нём не так, похоже на магазин</t>
        </is>
      </c>
      <c r="R636" s="38" t="n">
        <v>2</v>
      </c>
      <c r="S636" s="38" t="inlineStr">
        <is>
          <t>Самарская область</t>
        </is>
      </c>
      <c r="T636" s="38" t="inlineStr">
        <is>
          <t>Здравствуйте! Смотрел в 2ГИС кровельные компании в Самаре, зашёл на ваш сайт с телефона: [ЧТО НЕ ТАК НА САЙТЕ].
Могу за вечер собрать вариант под «Абв-Созидание», где это исправлено, и показать. Собрать?</t>
        </is>
      </c>
      <c r="U636" s="38">
        <f>B636&amp;IF(D636&lt;&gt;""," · "&amp;D636,"")&amp;IF(F636&lt;&gt;"",CHAR(10)&amp;F636,"")</f>
        <v/>
      </c>
      <c r="V636" s="38">
        <f>IF(OR(F636="просрочено",F636="сегодня",F636="укажи дату",LEFT(F636,6)="молчит"),1,0)</f>
        <v/>
      </c>
    </row>
    <row r="637" ht="24" customHeight="1">
      <c r="A637" s="38" t="n">
        <v>636</v>
      </c>
      <c r="B637" s="32" t="inlineStr">
        <is>
          <t>Все для кровли и фасада</t>
        </is>
      </c>
      <c r="C637" s="49" t="inlineStr">
        <is>
          <t>Очередь</t>
        </is>
      </c>
      <c r="D637" s="49" t="n"/>
      <c r="E637" s="50" t="n"/>
      <c r="F637" s="51">
        <f>IF(OR(C637="",C637="Очередь",C637="Клиент",C637="Отказ",C637="Не писать"),"",IF(E637="",IF(AND(C637="Отправлено",I637&lt;&gt;"",TODAY()-INT(I637)&gt;=3),"молчит "&amp;(TODAY()-INT(I637))&amp;" дн.",IF(OR(C637="Перезвонить",C637="Созвон"),"укажи дату","")),IF(INT(E637)&lt;TODAY(),"просрочено",IF(INT(E637)=TODAY(),"сегодня",IF(INT(E637)=TODAY()+1,"завтра",TEXT(E637,"dd.mm"))))))</f>
        <v/>
      </c>
      <c r="G637" s="52" t="n"/>
      <c r="H637" s="36" t="inlineStr">
        <is>
          <t>79624417565</t>
        </is>
      </c>
      <c r="I637" s="53" t="n"/>
      <c r="J637" s="38">
        <f>IFERROR(MATCH(C637,'Справка'!$A$12:$A$21,0),99)</f>
        <v/>
      </c>
      <c r="K637" s="39">
        <f>HYPERLINK("https://wa.me/"&amp;H637&amp;"?text="&amp;ENCODEURL(T637),"✉ Написать")</f>
        <v/>
      </c>
      <c r="L637" s="39">
        <f>HYPERLINK("https://wa.me/"&amp;H637,"Открыть чат")</f>
        <v/>
      </c>
      <c r="M637" s="38" t="inlineStr">
        <is>
          <t>Ставрополь</t>
        </is>
      </c>
      <c r="N637" s="38" t="n">
        <v>4.5</v>
      </c>
      <c r="O637" s="38" t="n">
        <v>15</v>
      </c>
      <c r="P637" s="38" t="inlineStr">
        <is>
          <t>www.stav-krisha.ru</t>
        </is>
      </c>
      <c r="Q637" s="38" t="inlineStr">
        <is>
          <t>есть сайт: сначала впиши в текст, что на нём не так, похоже на магазин</t>
        </is>
      </c>
      <c r="R637" s="38" t="n">
        <v>2</v>
      </c>
      <c r="S637" s="38" t="inlineStr">
        <is>
          <t>Ставропольский край</t>
        </is>
      </c>
      <c r="T637" s="38" t="inlineStr">
        <is>
          <t>Здравствуйте! Смотрел в 2ГИС кровельные компании в Ставрополе, зашёл на ваш сайт с телефона: [ЧТО НЕ ТАК НА САЙТЕ].
Могу за вечер собрать вариант под «Все для кровли и фасада», где это исправлено, и показать. Собрать?</t>
        </is>
      </c>
      <c r="U637" s="38">
        <f>B637&amp;IF(D637&lt;&gt;""," · "&amp;D637,"")&amp;IF(F637&lt;&gt;"",CHAR(10)&amp;F637,"")</f>
        <v/>
      </c>
      <c r="V637" s="38">
        <f>IF(OR(F637="просрочено",F637="сегодня",F637="укажи дату",LEFT(F637,6)="молчит"),1,0)</f>
        <v/>
      </c>
    </row>
    <row r="638" ht="24" customHeight="1">
      <c r="A638" s="38" t="n">
        <v>637</v>
      </c>
      <c r="B638" s="32" t="inlineStr">
        <is>
          <t>ТехноКровля</t>
        </is>
      </c>
      <c r="C638" s="49" t="inlineStr">
        <is>
          <t>Очередь</t>
        </is>
      </c>
      <c r="D638" s="49" t="n"/>
      <c r="E638" s="50" t="n"/>
      <c r="F638" s="51">
        <f>IF(OR(C638="",C638="Очередь",C638="Клиент",C638="Отказ",C638="Не писать"),"",IF(E638="",IF(AND(C638="Отправлено",I638&lt;&gt;"",TODAY()-INT(I638)&gt;=3),"молчит "&amp;(TODAY()-INT(I638))&amp;" дн.",IF(OR(C638="Перезвонить",C638="Созвон"),"укажи дату","")),IF(INT(E638)&lt;TODAY(),"просрочено",IF(INT(E638)=TODAY(),"сегодня",IF(INT(E638)=TODAY()+1,"завтра",TEXT(E638,"dd.mm"))))))</f>
        <v/>
      </c>
      <c r="G638" s="52" t="n"/>
      <c r="H638" s="36" t="inlineStr">
        <is>
          <t>79682665638</t>
        </is>
      </c>
      <c r="I638" s="53" t="n"/>
      <c r="J638" s="38">
        <f>IFERROR(MATCH(C638,'Справка'!$A$12:$A$21,0),99)</f>
        <v/>
      </c>
      <c r="K638" s="39">
        <f>HYPERLINK("https://wa.me/"&amp;H638&amp;"?text="&amp;ENCODEURL(T638),"✉ Написать")</f>
        <v/>
      </c>
      <c r="L638" s="39">
        <f>HYPERLINK("https://wa.me/"&amp;H638,"Открыть чат")</f>
        <v/>
      </c>
      <c r="M638" s="38" t="inlineStr">
        <is>
          <t>Ставрополь</t>
        </is>
      </c>
      <c r="N638" s="38" t="n">
        <v>3.9</v>
      </c>
      <c r="O638" s="38" t="n">
        <v>7</v>
      </c>
      <c r="P638" s="38" t="inlineStr">
        <is>
          <t>www.t-krovlya.ru</t>
        </is>
      </c>
      <c r="Q638" s="38" t="inlineStr">
        <is>
          <t>есть сайт: сначала впиши в текст, что на нём не так, похоже на магазин</t>
        </is>
      </c>
      <c r="R638" s="38" t="n">
        <v>2</v>
      </c>
      <c r="S638" s="38" t="inlineStr">
        <is>
          <t>Ставропольский край</t>
        </is>
      </c>
      <c r="T638" s="38" t="inlineStr">
        <is>
          <t>Здравствуйте! Смотрел в 2ГИС кровельные компании в Ставрополе, зашёл на ваш сайт с телефона: [ЧТО НЕ ТАК НА САЙТЕ].
Могу за вечер собрать вариант под «ТехноКровля», где это исправлено, и показать. Собрать?</t>
        </is>
      </c>
      <c r="U638" s="38">
        <f>B638&amp;IF(D638&lt;&gt;""," · "&amp;D638,"")&amp;IF(F638&lt;&gt;"",CHAR(10)&amp;F638,"")</f>
        <v/>
      </c>
      <c r="V638" s="38">
        <f>IF(OR(F638="просрочено",F638="сегодня",F638="укажи дату",LEFT(F638,6)="молчит"),1,0)</f>
        <v/>
      </c>
    </row>
    <row r="639" ht="24" customHeight="1">
      <c r="A639" s="38" t="n">
        <v>638</v>
      </c>
      <c r="B639" s="32" t="inlineStr">
        <is>
          <t>КровляPro</t>
        </is>
      </c>
      <c r="C639" s="49" t="inlineStr">
        <is>
          <t>Очередь</t>
        </is>
      </c>
      <c r="D639" s="49" t="n"/>
      <c r="E639" s="50" t="n"/>
      <c r="F639" s="51">
        <f>IF(OR(C639="",C639="Очередь",C639="Клиент",C639="Отказ",C639="Не писать"),"",IF(E639="",IF(AND(C639="Отправлено",I639&lt;&gt;"",TODAY()-INT(I639)&gt;=3),"молчит "&amp;(TODAY()-INT(I639))&amp;" дн.",IF(OR(C639="Перезвонить",C639="Созвон"),"укажи дату","")),IF(INT(E639)&lt;TODAY(),"просрочено",IF(INT(E639)=TODAY(),"сегодня",IF(INT(E639)=TODAY()+1,"завтра",TEXT(E639,"dd.mm"))))))</f>
        <v/>
      </c>
      <c r="G639" s="52" t="n"/>
      <c r="H639" s="36" t="inlineStr">
        <is>
          <t>79614650666</t>
        </is>
      </c>
      <c r="I639" s="53" t="n"/>
      <c r="J639" s="38">
        <f>IFERROR(MATCH(C639,'Справка'!$A$12:$A$21,0),99)</f>
        <v/>
      </c>
      <c r="K639" s="39">
        <f>HYPERLINK("https://wa.me/"&amp;H639&amp;"?text="&amp;ENCODEURL(T639),"✉ Написать")</f>
        <v/>
      </c>
      <c r="L639" s="39">
        <f>HYPERLINK("https://wa.me/"&amp;H639,"Открыть чат")</f>
        <v/>
      </c>
      <c r="M639" s="38" t="inlineStr">
        <is>
          <t>Ставрополь</t>
        </is>
      </c>
      <c r="N639" s="38" t="n">
        <v>5</v>
      </c>
      <c r="O639" s="38" t="n">
        <v>4</v>
      </c>
      <c r="P639" s="38" t="inlineStr">
        <is>
          <t>krovlyapro26.ru/</t>
        </is>
      </c>
      <c r="Q639" s="38" t="inlineStr">
        <is>
          <t>есть сайт: сначала впиши в текст, что на нём не так, похоже на магазин</t>
        </is>
      </c>
      <c r="R639" s="38" t="n">
        <v>2</v>
      </c>
      <c r="S639" s="38" t="inlineStr">
        <is>
          <t>Ставропольский край</t>
        </is>
      </c>
      <c r="T639" s="38" t="inlineStr">
        <is>
          <t>Здравствуйте! Смотрел в 2ГИС кровельные компании в Ставрополе, зашёл на ваш сайт с телефона: [ЧТО НЕ ТАК НА САЙТЕ].
Могу за вечер собрать вариант под «КровляPro», где это исправлено, и показать. Собрать?</t>
        </is>
      </c>
      <c r="U639" s="38">
        <f>B639&amp;IF(D639&lt;&gt;""," · "&amp;D639,"")&amp;IF(F639&lt;&gt;"",CHAR(10)&amp;F639,"")</f>
        <v/>
      </c>
      <c r="V639" s="38">
        <f>IF(OR(F639="просрочено",F639="сегодня",F639="укажи дату",LEFT(F639,6)="молчит"),1,0)</f>
        <v/>
      </c>
    </row>
    <row r="640" ht="24" customHeight="1">
      <c r="A640" s="38" t="n">
        <v>639</v>
      </c>
      <c r="B640" s="32" t="inlineStr">
        <is>
          <t>МелКроф</t>
        </is>
      </c>
      <c r="C640" s="49" t="inlineStr">
        <is>
          <t>Очередь</t>
        </is>
      </c>
      <c r="D640" s="49" t="n"/>
      <c r="E640" s="50" t="n"/>
      <c r="F640" s="51">
        <f>IF(OR(C640="",C640="Очередь",C640="Клиент",C640="Отказ",C640="Не писать"),"",IF(E640="",IF(AND(C640="Отправлено",I640&lt;&gt;"",TODAY()-INT(I640)&gt;=3),"молчит "&amp;(TODAY()-INT(I640))&amp;" дн.",IF(OR(C640="Перезвонить",C640="Созвон"),"укажи дату","")),IF(INT(E640)&lt;TODAY(),"просрочено",IF(INT(E640)=TODAY(),"сегодня",IF(INT(E640)=TODAY()+1,"завтра",TEXT(E640,"dd.mm"))))))</f>
        <v/>
      </c>
      <c r="G640" s="52" t="n"/>
      <c r="H640" s="36" t="inlineStr">
        <is>
          <t>79034426941</t>
        </is>
      </c>
      <c r="I640" s="53" t="n"/>
      <c r="J640" s="38">
        <f>IFERROR(MATCH(C640,'Справка'!$A$12:$A$21,0),99)</f>
        <v/>
      </c>
      <c r="K640" s="39">
        <f>HYPERLINK("https://wa.me/"&amp;H640&amp;"?text="&amp;ENCODEURL(T640),"✉ Написать")</f>
        <v/>
      </c>
      <c r="L640" s="39">
        <f>HYPERLINK("https://wa.me/"&amp;H640,"Открыть чат")</f>
        <v/>
      </c>
      <c r="M640" s="38" t="inlineStr">
        <is>
          <t>Ставрополь</t>
        </is>
      </c>
      <c r="N640" s="38" t="n">
        <v>5</v>
      </c>
      <c r="O640" s="38" t="n">
        <v>2</v>
      </c>
      <c r="P640" s="38" t="inlineStr">
        <is>
          <t>Melkrof.ru</t>
        </is>
      </c>
      <c r="Q640" s="38" t="inlineStr">
        <is>
          <t>есть сайт: сначала впиши в текст, что на нём не так, похоже на магазин</t>
        </is>
      </c>
      <c r="R640" s="38" t="n">
        <v>2</v>
      </c>
      <c r="S640" s="38" t="inlineStr">
        <is>
          <t>Ставропольский край</t>
        </is>
      </c>
      <c r="T640" s="38" t="inlineStr">
        <is>
          <t>Здравствуйте! Смотрел в 2ГИС кровельные компании в Ставрополе, зашёл на ваш сайт с телефона: [ЧТО НЕ ТАК НА САЙТЕ].
Могу за вечер собрать вариант под «МелКроф», где это исправлено, и показать. Собрать?</t>
        </is>
      </c>
      <c r="U640" s="38">
        <f>B640&amp;IF(D640&lt;&gt;""," · "&amp;D640,"")&amp;IF(F640&lt;&gt;"",CHAR(10)&amp;F640,"")</f>
        <v/>
      </c>
      <c r="V640" s="38">
        <f>IF(OR(F640="просрочено",F640="сегодня",F640="укажи дату",LEFT(F640,6)="молчит"),1,0)</f>
        <v/>
      </c>
    </row>
    <row r="641" ht="24" customHeight="1">
      <c r="A641" s="38" t="n">
        <v>640</v>
      </c>
      <c r="B641" s="32" t="inlineStr">
        <is>
          <t>Магазин кровельных материалов</t>
        </is>
      </c>
      <c r="C641" s="49" t="inlineStr">
        <is>
          <t>Очередь</t>
        </is>
      </c>
      <c r="D641" s="49" t="n"/>
      <c r="E641" s="50" t="n"/>
      <c r="F641" s="51">
        <f>IF(OR(C641="",C641="Очередь",C641="Клиент",C641="Отказ",C641="Не писать"),"",IF(E641="",IF(AND(C641="Отправлено",I641&lt;&gt;"",TODAY()-INT(I641)&gt;=3),"молчит "&amp;(TODAY()-INT(I641))&amp;" дн.",IF(OR(C641="Перезвонить",C641="Созвон"),"укажи дату","")),IF(INT(E641)&lt;TODAY(),"просрочено",IF(INT(E641)=TODAY(),"сегодня",IF(INT(E641)=TODAY()+1,"завтра",TEXT(E641,"dd.mm"))))))</f>
        <v/>
      </c>
      <c r="G641" s="52" t="n"/>
      <c r="H641" s="36" t="inlineStr">
        <is>
          <t>79054443536</t>
        </is>
      </c>
      <c r="I641" s="53" t="n"/>
      <c r="J641" s="38">
        <f>IFERROR(MATCH(C641,'Справка'!$A$12:$A$21,0),99)</f>
        <v/>
      </c>
      <c r="K641" s="39">
        <f>HYPERLINK("https://wa.me/"&amp;H641&amp;"?text="&amp;ENCODEURL(T641),"✉ Написать")</f>
        <v/>
      </c>
      <c r="L641" s="39">
        <f>HYPERLINK("https://wa.me/"&amp;H641,"Открыть чат")</f>
        <v/>
      </c>
      <c r="M641" s="38" t="inlineStr">
        <is>
          <t>Михайловск</t>
        </is>
      </c>
      <c r="N641" s="38" t="n">
        <v>5</v>
      </c>
      <c r="O641" s="38" t="n">
        <v>2</v>
      </c>
      <c r="P641" s="38" t="inlineStr">
        <is>
          <t>krovlisk.ru</t>
        </is>
      </c>
      <c r="Q641" s="38" t="inlineStr">
        <is>
          <t>есть сайт: сначала впиши в текст, что на нём не так, похоже на магазин</t>
        </is>
      </c>
      <c r="R641" s="38" t="n">
        <v>2</v>
      </c>
      <c r="S641" s="38" t="inlineStr">
        <is>
          <t>Ставропольский край</t>
        </is>
      </c>
      <c r="T641" s="38" t="inlineStr">
        <is>
          <t>Здравствуйте! Смотрел в 2ГИС кровельные компании в Михайловске, зашёл на ваш сайт с телефона: [ЧТО НЕ ТАК НА САЙТЕ].
Могу за вечер собрать вариант под «Магазин кровельных материалов», где это исправлено, и показать. Собрать?</t>
        </is>
      </c>
      <c r="U641" s="38">
        <f>B641&amp;IF(D641&lt;&gt;""," · "&amp;D641,"")&amp;IF(F641&lt;&gt;"",CHAR(10)&amp;F641,"")</f>
        <v/>
      </c>
      <c r="V641" s="38">
        <f>IF(OR(F641="просрочено",F641="сегодня",F641="укажи дату",LEFT(F641,6)="молчит"),1,0)</f>
        <v/>
      </c>
    </row>
    <row r="642" ht="24" customHeight="1">
      <c r="A642" s="38" t="n">
        <v>641</v>
      </c>
      <c r="B642" s="32" t="inlineStr">
        <is>
          <t>ГидроPro</t>
        </is>
      </c>
      <c r="C642" s="49" t="inlineStr">
        <is>
          <t>Очередь</t>
        </is>
      </c>
      <c r="D642" s="49" t="n"/>
      <c r="E642" s="50" t="n"/>
      <c r="F642" s="51">
        <f>IF(OR(C642="",C642="Очередь",C642="Клиент",C642="Отказ",C642="Не писать"),"",IF(E642="",IF(AND(C642="Отправлено",I642&lt;&gt;"",TODAY()-INT(I642)&gt;=3),"молчит "&amp;(TODAY()-INT(I642))&amp;" дн.",IF(OR(C642="Перезвонить",C642="Созвон"),"укажи дату","")),IF(INT(E642)&lt;TODAY(),"просрочено",IF(INT(E642)=TODAY(),"сегодня",IF(INT(E642)=TODAY()+1,"завтра",TEXT(E642,"dd.mm"))))))</f>
        <v/>
      </c>
      <c r="G642" s="52" t="n"/>
      <c r="H642" s="36" t="inlineStr">
        <is>
          <t>79624506088</t>
        </is>
      </c>
      <c r="I642" s="53" t="n"/>
      <c r="J642" s="38">
        <f>IFERROR(MATCH(C642,'Справка'!$A$12:$A$21,0),99)</f>
        <v/>
      </c>
      <c r="K642" s="39">
        <f>HYPERLINK("https://wa.me/"&amp;H642&amp;"?text="&amp;ENCODEURL(T642),"✉ Написать")</f>
        <v/>
      </c>
      <c r="L642" s="39">
        <f>HYPERLINK("https://wa.me/"&amp;H642,"Открыть чат")</f>
        <v/>
      </c>
      <c r="M642" s="38" t="inlineStr">
        <is>
          <t>Ставрополь</t>
        </is>
      </c>
      <c r="N642" s="38" t="n"/>
      <c r="O642" s="38" t="n"/>
      <c r="P642" s="38" t="inlineStr">
        <is>
          <t>gidropro26.ru</t>
        </is>
      </c>
      <c r="Q642" s="38" t="inlineStr">
        <is>
          <t>есть сайт: сначала впиши в текст, что на нём не так, похоже на магазин</t>
        </is>
      </c>
      <c r="R642" s="38" t="n">
        <v>2</v>
      </c>
      <c r="S642" s="38" t="inlineStr">
        <is>
          <t>Ставропольский край</t>
        </is>
      </c>
      <c r="T642" s="38" t="inlineStr">
        <is>
          <t>Здравствуйте! Смотрел в 2ГИС кровельные компании в Ставрополе, зашёл на ваш сайт с телефона: [ЧТО НЕ ТАК НА САЙТЕ].
Могу за вечер собрать вариант под «ГидроPro», где это исправлено, и показать. Собрать?</t>
        </is>
      </c>
      <c r="U642" s="38">
        <f>B642&amp;IF(D642&lt;&gt;""," · "&amp;D642,"")&amp;IF(F642&lt;&gt;"",CHAR(10)&amp;F642,"")</f>
        <v/>
      </c>
      <c r="V642" s="38">
        <f>IF(OR(F642="просрочено",F642="сегодня",F642="укажи дату",LEFT(F642,6)="молчит"),1,0)</f>
        <v/>
      </c>
    </row>
    <row r="643" ht="24" customHeight="1">
      <c r="A643" s="38" t="n">
        <v>642</v>
      </c>
      <c r="B643" s="32" t="inlineStr">
        <is>
          <t>Компания по продаже кровельных материалов, фасадов и заборов</t>
        </is>
      </c>
      <c r="C643" s="49" t="inlineStr">
        <is>
          <t>Очередь</t>
        </is>
      </c>
      <c r="D643" s="49" t="n"/>
      <c r="E643" s="50" t="n"/>
      <c r="F643" s="51">
        <f>IF(OR(C643="",C643="Очередь",C643="Клиент",C643="Отказ",C643="Не писать"),"",IF(E643="",IF(AND(C643="Отправлено",I643&lt;&gt;"",TODAY()-INT(I643)&gt;=3),"молчит "&amp;(TODAY()-INT(I643))&amp;" дн.",IF(OR(C643="Перезвонить",C643="Созвон"),"укажи дату","")),IF(INT(E643)&lt;TODAY(),"просрочено",IF(INT(E643)=TODAY(),"сегодня",IF(INT(E643)=TODAY()+1,"завтра",TEXT(E643,"dd.mm"))))))</f>
        <v/>
      </c>
      <c r="G643" s="52" t="n"/>
      <c r="H643" s="36" t="inlineStr">
        <is>
          <t>79188004424</t>
        </is>
      </c>
      <c r="I643" s="53" t="n"/>
      <c r="J643" s="38">
        <f>IFERROR(MATCH(C643,'Справка'!$A$12:$A$21,0),99)</f>
        <v/>
      </c>
      <c r="K643" s="39">
        <f>HYPERLINK("https://wa.me/"&amp;H643&amp;"?text="&amp;ENCODEURL(T643),"✉ Написать")</f>
        <v/>
      </c>
      <c r="L643" s="39">
        <f>HYPERLINK("https://wa.me/"&amp;H643,"Открыть чат")</f>
        <v/>
      </c>
      <c r="M643" s="38" t="inlineStr">
        <is>
          <t>Ставрополь</t>
        </is>
      </c>
      <c r="N643" s="38" t="n"/>
      <c r="O643" s="38" t="n"/>
      <c r="P643" s="38" t="inlineStr">
        <is>
          <t>metallprofil26.ru</t>
        </is>
      </c>
      <c r="Q643" s="38" t="inlineStr">
        <is>
          <t>есть сайт: сначала впиши в текст, что на нём не так, похоже на магазин</t>
        </is>
      </c>
      <c r="R643" s="38" t="n">
        <v>2</v>
      </c>
      <c r="S643" s="38" t="inlineStr">
        <is>
          <t>Ставропольский край</t>
        </is>
      </c>
      <c r="T643" s="38" t="inlineStr">
        <is>
          <t>Здравствуйте! Смотрел в 2ГИС кровельные компании в Ставрополе, зашёл на ваш сайт с телефона: [ЧТО НЕ ТАК НА САЙТЕ].
Могу за вечер собрать вариант под «Компания по продаже кровельных материалов, фасадов и заборов», где это исправлено, и показать. Собрать?</t>
        </is>
      </c>
      <c r="U643" s="38">
        <f>B643&amp;IF(D643&lt;&gt;""," · "&amp;D643,"")&amp;IF(F643&lt;&gt;"",CHAR(10)&amp;F643,"")</f>
        <v/>
      </c>
      <c r="V643" s="38">
        <f>IF(OR(F643="просрочено",F643="сегодня",F643="укажи дату",LEFT(F643,6)="молчит"),1,0)</f>
        <v/>
      </c>
    </row>
  </sheetData>
  <autoFilter ref="A1:V643"/>
  <conditionalFormatting sqref="C2:C2000">
    <cfRule type="expression" priority="1" dxfId="0">
      <formula>C2="Очередь"</formula>
    </cfRule>
    <cfRule type="expression" priority="2" dxfId="1">
      <formula>C2="Отправлено"</formula>
    </cfRule>
    <cfRule type="expression" priority="3" dxfId="2">
      <formula>C2="Не ответил"</formula>
    </cfRule>
    <cfRule type="expression" priority="4" dxfId="3">
      <formula>C2="Ответил"</formula>
    </cfRule>
    <cfRule type="expression" priority="5" dxfId="4">
      <formula>C2="Доработать"</formula>
    </cfRule>
    <cfRule type="expression" priority="6" dxfId="5">
      <formula>C2="Перезвонить"</formula>
    </cfRule>
    <cfRule type="expression" priority="7" dxfId="6">
      <formula>C2="Созвон"</formula>
    </cfRule>
    <cfRule type="expression" priority="8" dxfId="7">
      <formula>C2="Клиент"</formula>
    </cfRule>
    <cfRule type="expression" priority="9" dxfId="8">
      <formula>C2="Отказ"</formula>
    </cfRule>
    <cfRule type="expression" priority="10" dxfId="9">
      <formula>C2="Не писать"</formula>
    </cfRule>
  </conditionalFormatting>
  <conditionalFormatting sqref="F2:F2000">
    <cfRule type="expression" priority="11" dxfId="8">
      <formula>F2="просрочено"</formula>
    </cfRule>
    <cfRule type="expression" priority="12" dxfId="4">
      <formula>OR(F2="сегодня",F2="укажи дату",LEFT(F2,6)="молчит")</formula>
    </cfRule>
  </conditionalFormatting>
  <conditionalFormatting sqref="D2:D2000">
    <cfRule type="expression" priority="13" dxfId="12">
      <formula>D2="Ильяс"</formula>
    </cfRule>
    <cfRule type="expression" priority="14" dxfId="13">
      <formula>D2="Зураб"</formula>
    </cfRule>
    <cfRule type="expression" priority="15" dxfId="14">
      <formula>D2="Тимурлан"</formula>
    </cfRule>
  </conditionalFormatting>
  <conditionalFormatting sqref="A2:B2000">
    <cfRule type="expression" priority="16" dxfId="15">
      <formula>OR($C2="Не писать",$C2="Отказ")</formula>
    </cfRule>
  </conditionalFormatting>
  <dataValidations count="2">
    <dataValidation sqref="C2:C2000" showDropDown="0" showInputMessage="0" showErrorMessage="1" allowBlank="0" errorTitle="Этап" error="Выбери этап из списка" type="list">
      <formula1>"Очередь,Отправлено,Не ответил,Ответил,Доработать,Перезвонить,Созвон,Клиент,Отказ,Не писать"</formula1>
    </dataValidation>
    <dataValidation sqref="D2:D2000" showDropDown="0" showInputMessage="0" showErrorMessage="1" allowBlank="1" errorTitle="Менеджер" error="Выбери менеджера из списка" type="list">
      <formula1>"Ильяс,Зураб,Тимурлан"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5A84"/>
    <outlinePr summaryBelow="1" summaryRight="1"/>
    <pageSetUpPr/>
  </sheetPr>
  <dimension ref="A1:J3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hidden="1" width="15" customWidth="1" min="3" max="3"/>
    <col width="20" customWidth="1" min="4" max="4"/>
    <col width="16" customWidth="1" min="5" max="5"/>
    <col width="48" customWidth="1" min="6" max="6"/>
    <col width="16" customWidth="1" min="7" max="7"/>
    <col width="15" customWidth="1" min="8" max="8"/>
    <col hidden="1" width="5" customWidth="1" min="9" max="9"/>
    <col width="16" customWidth="1" min="10" max="10"/>
  </cols>
  <sheetData>
    <row r="1">
      <c r="A1" s="54" t="inlineStr">
        <is>
          <t>Ильяс</t>
        </is>
      </c>
    </row>
    <row r="2">
      <c r="A2" s="2" t="inlineStr">
        <is>
          <t>Твои дела и твои лиды. Лист собирается сам: править нужно на листе «Лиды».</t>
        </is>
      </c>
    </row>
    <row r="4" ht="30" customHeight="1">
      <c r="A4" s="3" t="inlineStr">
        <is>
          <t>в работе</t>
        </is>
      </c>
      <c r="B4" s="3" t="inlineStr">
        <is>
          <t>ждём ответа</t>
        </is>
      </c>
      <c r="D4" s="3" t="inlineStr">
        <is>
          <t>дел на сегодня</t>
        </is>
      </c>
      <c r="E4" s="3" t="inlineStr">
        <is>
          <t>просрочено</t>
        </is>
      </c>
      <c r="F4" s="55" t="n"/>
      <c r="G4" s="3" t="inlineStr">
        <is>
          <t>молчат 3+ дня</t>
        </is>
      </c>
      <c r="H4" s="3" t="inlineStr">
        <is>
          <t>клиентов</t>
        </is>
      </c>
    </row>
    <row r="5" ht="40" customHeight="1">
      <c r="A5" s="6">
        <f>COUNTIFS('Лиды'!$C$2:$C$2000,"Ответил",'Лиды'!$D$2:$D$2000,$A$1)+COUNTIFS('Лиды'!$C$2:$C$2000,"Доработать",'Лиды'!$D$2:$D$2000,$A$1)+COUNTIFS('Лиды'!$C$2:$C$2000,"Перезвонить",'Лиды'!$D$2:$D$2000,$A$1)+COUNTIFS('Лиды'!$C$2:$C$2000,"Созвон",'Лиды'!$D$2:$D$2000,$A$1)</f>
        <v/>
      </c>
      <c r="B5" s="5">
        <f>COUNTIFS('Лиды'!$C$2:$C$2000,"Отправлено",'Лиды'!$D$2:$D$2000,$A$1)</f>
        <v/>
      </c>
      <c r="D5" s="7">
        <f>COUNTIFS('Лиды'!$F$2:$F$2000,"сегодня",'Лиды'!$D$2:$D$2000,$A$1)+COUNTIFS('Лиды'!$F$2:$F$2000,"укажи дату",'Лиды'!$D$2:$D$2000,$A$1)</f>
        <v/>
      </c>
      <c r="E5" s="8">
        <f>COUNTIFS('Лиды'!$F$2:$F$2000,"просрочено",'Лиды'!$D$2:$D$2000,$A$1)</f>
        <v/>
      </c>
      <c r="F5" s="55" t="n"/>
      <c r="G5" s="7">
        <f>COUNTIFS('Лиды'!$F$2:$F$2000,"молчит*",'Лиды'!$D$2:$D$2000,$A$1)</f>
        <v/>
      </c>
      <c r="H5" s="6">
        <f>COUNTIFS('Лиды'!$C$2:$C$2000,"Клиент",'Лиды'!$D$2:$D$2000,$A$1)</f>
        <v/>
      </c>
    </row>
    <row r="7">
      <c r="A7" s="9" t="inlineStr">
        <is>
          <t>Что сделать сейчас</t>
        </is>
      </c>
    </row>
    <row r="8" ht="30" customHeight="1">
      <c r="A8" s="10" t="inlineStr">
        <is>
          <t>Компания</t>
        </is>
      </c>
      <c r="B8" s="10" t="inlineStr">
        <is>
          <t>Этап</t>
        </is>
      </c>
      <c r="C8" s="10" t="inlineStr">
        <is>
          <t>Менеджер</t>
        </is>
      </c>
      <c r="D8" s="10" t="inlineStr">
        <is>
          <t>Следующий контакт</t>
        </is>
      </c>
      <c r="E8" s="10" t="inlineStr">
        <is>
          <t>Срок</t>
        </is>
      </c>
      <c r="F8" s="10" t="inlineStr">
        <is>
          <t>Заметка</t>
        </is>
      </c>
      <c r="G8" s="10" t="inlineStr">
        <is>
          <t>Телефон</t>
        </is>
      </c>
      <c r="H8" s="10" t="inlineStr">
        <is>
          <t>Написали</t>
        </is>
      </c>
      <c r="I8" s="10" t="inlineStr">
        <is>
          <t>ранг</t>
        </is>
      </c>
      <c r="J8" s="10" t="inlineStr">
        <is>
          <t>Чат</t>
        </is>
      </c>
    </row>
    <row r="9">
      <c r="A9" s="32">
        <f>IFERROR(ARRAY_CONSTRAIN(SORT(FILTER('Лиды'!$B$2:$J$2000,('Лиды'!$D$2:$D$2000=$A$1)*('Лиды'!$V$2:$V$2000=1)),4,TRUE),25,9),"Дел нет")</f>
        <v/>
      </c>
      <c r="B9" s="33" t="n"/>
      <c r="C9" s="33" t="n"/>
      <c r="D9" s="34" t="n"/>
      <c r="E9" s="33" t="n"/>
      <c r="F9" s="35" t="n"/>
      <c r="G9" s="36" t="n"/>
      <c r="H9" s="37" t="n"/>
      <c r="I9" s="38" t="n"/>
      <c r="J9" s="39">
        <f>IF(G9="","",HYPERLINK("https://wa.me/"&amp;G9,"Открыть чат"))</f>
        <v/>
      </c>
    </row>
    <row r="10">
      <c r="A10" s="32" t="n"/>
      <c r="B10" s="33" t="n"/>
      <c r="C10" s="33" t="n"/>
      <c r="D10" s="34" t="n"/>
      <c r="E10" s="33" t="n"/>
      <c r="F10" s="35" t="n"/>
      <c r="G10" s="36" t="n"/>
      <c r="H10" s="37" t="n"/>
      <c r="I10" s="38" t="n"/>
      <c r="J10" s="39">
        <f>IF(G10="","",HYPERLINK("https://wa.me/"&amp;G10,"Открыть чат"))</f>
        <v/>
      </c>
    </row>
    <row r="11">
      <c r="A11" s="32" t="n"/>
      <c r="B11" s="33" t="n"/>
      <c r="C11" s="33" t="n"/>
      <c r="D11" s="34" t="n"/>
      <c r="E11" s="33" t="n"/>
      <c r="F11" s="35" t="n"/>
      <c r="G11" s="36" t="n"/>
      <c r="H11" s="37" t="n"/>
      <c r="I11" s="38" t="n"/>
      <c r="J11" s="39">
        <f>IF(G11="","",HYPERLINK("https://wa.me/"&amp;G11,"Открыть чат"))</f>
        <v/>
      </c>
    </row>
    <row r="12">
      <c r="A12" s="32" t="n"/>
      <c r="B12" s="33" t="n"/>
      <c r="C12" s="33" t="n"/>
      <c r="D12" s="34" t="n"/>
      <c r="E12" s="33" t="n"/>
      <c r="F12" s="35" t="n"/>
      <c r="G12" s="36" t="n"/>
      <c r="H12" s="37" t="n"/>
      <c r="I12" s="38" t="n"/>
      <c r="J12" s="39">
        <f>IF(G12="","",HYPERLINK("https://wa.me/"&amp;G12,"Открыть чат"))</f>
        <v/>
      </c>
    </row>
    <row r="13">
      <c r="A13" s="32" t="n"/>
      <c r="B13" s="33" t="n"/>
      <c r="C13" s="33" t="n"/>
      <c r="D13" s="34" t="n"/>
      <c r="E13" s="33" t="n"/>
      <c r="F13" s="35" t="n"/>
      <c r="G13" s="36" t="n"/>
      <c r="H13" s="37" t="n"/>
      <c r="I13" s="38" t="n"/>
      <c r="J13" s="39">
        <f>IF(G13="","",HYPERLINK("https://wa.me/"&amp;G13,"Открыть чат"))</f>
        <v/>
      </c>
    </row>
    <row r="14">
      <c r="A14" s="32" t="n"/>
      <c r="B14" s="33" t="n"/>
      <c r="C14" s="33" t="n"/>
      <c r="D14" s="34" t="n"/>
      <c r="E14" s="33" t="n"/>
      <c r="F14" s="35" t="n"/>
      <c r="G14" s="36" t="n"/>
      <c r="H14" s="37" t="n"/>
      <c r="I14" s="38" t="n"/>
      <c r="J14" s="39">
        <f>IF(G14="","",HYPERLINK("https://wa.me/"&amp;G14,"Открыть чат"))</f>
        <v/>
      </c>
    </row>
    <row r="15">
      <c r="A15" s="32" t="n"/>
      <c r="B15" s="33" t="n"/>
      <c r="C15" s="33" t="n"/>
      <c r="D15" s="34" t="n"/>
      <c r="E15" s="33" t="n"/>
      <c r="F15" s="35" t="n"/>
      <c r="G15" s="36" t="n"/>
      <c r="H15" s="37" t="n"/>
      <c r="I15" s="38" t="n"/>
      <c r="J15" s="39">
        <f>IF(G15="","",HYPERLINK("https://wa.me/"&amp;G15,"Открыть чат"))</f>
        <v/>
      </c>
    </row>
    <row r="16">
      <c r="A16" s="32" t="n"/>
      <c r="B16" s="33" t="n"/>
      <c r="C16" s="33" t="n"/>
      <c r="D16" s="34" t="n"/>
      <c r="E16" s="33" t="n"/>
      <c r="F16" s="35" t="n"/>
      <c r="G16" s="36" t="n"/>
      <c r="H16" s="37" t="n"/>
      <c r="I16" s="38" t="n"/>
      <c r="J16" s="39">
        <f>IF(G16="","",HYPERLINK("https://wa.me/"&amp;G16,"Открыть чат"))</f>
        <v/>
      </c>
    </row>
    <row r="17">
      <c r="A17" s="32" t="n"/>
      <c r="B17" s="33" t="n"/>
      <c r="C17" s="33" t="n"/>
      <c r="D17" s="34" t="n"/>
      <c r="E17" s="33" t="n"/>
      <c r="F17" s="35" t="n"/>
      <c r="G17" s="36" t="n"/>
      <c r="H17" s="37" t="n"/>
      <c r="I17" s="38" t="n"/>
      <c r="J17" s="39">
        <f>IF(G17="","",HYPERLINK("https://wa.me/"&amp;G17,"Открыть чат"))</f>
        <v/>
      </c>
    </row>
    <row r="18">
      <c r="A18" s="32" t="n"/>
      <c r="B18" s="33" t="n"/>
      <c r="C18" s="33" t="n"/>
      <c r="D18" s="34" t="n"/>
      <c r="E18" s="33" t="n"/>
      <c r="F18" s="35" t="n"/>
      <c r="G18" s="36" t="n"/>
      <c r="H18" s="37" t="n"/>
      <c r="I18" s="38" t="n"/>
      <c r="J18" s="39">
        <f>IF(G18="","",HYPERLINK("https://wa.me/"&amp;G18,"Открыть чат"))</f>
        <v/>
      </c>
    </row>
    <row r="19">
      <c r="A19" s="32" t="n"/>
      <c r="B19" s="33" t="n"/>
      <c r="C19" s="33" t="n"/>
      <c r="D19" s="34" t="n"/>
      <c r="E19" s="33" t="n"/>
      <c r="F19" s="35" t="n"/>
      <c r="G19" s="36" t="n"/>
      <c r="H19" s="37" t="n"/>
      <c r="I19" s="38" t="n"/>
      <c r="J19" s="39">
        <f>IF(G19="","",HYPERLINK("https://wa.me/"&amp;G19,"Открыть чат"))</f>
        <v/>
      </c>
    </row>
    <row r="20">
      <c r="A20" s="32" t="n"/>
      <c r="B20" s="33" t="n"/>
      <c r="C20" s="33" t="n"/>
      <c r="D20" s="34" t="n"/>
      <c r="E20" s="33" t="n"/>
      <c r="F20" s="35" t="n"/>
      <c r="G20" s="36" t="n"/>
      <c r="H20" s="37" t="n"/>
      <c r="I20" s="38" t="n"/>
      <c r="J20" s="39">
        <f>IF(G20="","",HYPERLINK("https://wa.me/"&amp;G20,"Открыть чат"))</f>
        <v/>
      </c>
    </row>
    <row r="21">
      <c r="A21" s="32" t="n"/>
      <c r="B21" s="33" t="n"/>
      <c r="C21" s="33" t="n"/>
      <c r="D21" s="34" t="n"/>
      <c r="E21" s="33" t="n"/>
      <c r="F21" s="35" t="n"/>
      <c r="G21" s="36" t="n"/>
      <c r="H21" s="37" t="n"/>
      <c r="I21" s="38" t="n"/>
      <c r="J21" s="39">
        <f>IF(G21="","",HYPERLINK("https://wa.me/"&amp;G21,"Открыть чат"))</f>
        <v/>
      </c>
    </row>
    <row r="22">
      <c r="A22" s="32" t="n"/>
      <c r="B22" s="33" t="n"/>
      <c r="C22" s="33" t="n"/>
      <c r="D22" s="34" t="n"/>
      <c r="E22" s="33" t="n"/>
      <c r="F22" s="35" t="n"/>
      <c r="G22" s="36" t="n"/>
      <c r="H22" s="37" t="n"/>
      <c r="I22" s="38" t="n"/>
      <c r="J22" s="39">
        <f>IF(G22="","",HYPERLINK("https://wa.me/"&amp;G22,"Открыть чат"))</f>
        <v/>
      </c>
    </row>
    <row r="23">
      <c r="A23" s="32" t="n"/>
      <c r="B23" s="33" t="n"/>
      <c r="C23" s="33" t="n"/>
      <c r="D23" s="34" t="n"/>
      <c r="E23" s="33" t="n"/>
      <c r="F23" s="35" t="n"/>
      <c r="G23" s="36" t="n"/>
      <c r="H23" s="37" t="n"/>
      <c r="I23" s="38" t="n"/>
      <c r="J23" s="39">
        <f>IF(G23="","",HYPERLINK("https://wa.me/"&amp;G23,"Открыть чат"))</f>
        <v/>
      </c>
    </row>
    <row r="24">
      <c r="A24" s="32" t="n"/>
      <c r="B24" s="33" t="n"/>
      <c r="C24" s="33" t="n"/>
      <c r="D24" s="34" t="n"/>
      <c r="E24" s="33" t="n"/>
      <c r="F24" s="35" t="n"/>
      <c r="G24" s="36" t="n"/>
      <c r="H24" s="37" t="n"/>
      <c r="I24" s="38" t="n"/>
      <c r="J24" s="39">
        <f>IF(G24="","",HYPERLINK("https://wa.me/"&amp;G24,"Открыть чат"))</f>
        <v/>
      </c>
    </row>
    <row r="25">
      <c r="A25" s="32" t="n"/>
      <c r="B25" s="33" t="n"/>
      <c r="C25" s="33" t="n"/>
      <c r="D25" s="34" t="n"/>
      <c r="E25" s="33" t="n"/>
      <c r="F25" s="35" t="n"/>
      <c r="G25" s="36" t="n"/>
      <c r="H25" s="37" t="n"/>
      <c r="I25" s="38" t="n"/>
      <c r="J25" s="39">
        <f>IF(G25="","",HYPERLINK("https://wa.me/"&amp;G25,"Открыть чат"))</f>
        <v/>
      </c>
    </row>
    <row r="26">
      <c r="A26" s="32" t="n"/>
      <c r="B26" s="33" t="n"/>
      <c r="C26" s="33" t="n"/>
      <c r="D26" s="34" t="n"/>
      <c r="E26" s="33" t="n"/>
      <c r="F26" s="35" t="n"/>
      <c r="G26" s="36" t="n"/>
      <c r="H26" s="37" t="n"/>
      <c r="I26" s="38" t="n"/>
      <c r="J26" s="39">
        <f>IF(G26="","",HYPERLINK("https://wa.me/"&amp;G26,"Открыть чат"))</f>
        <v/>
      </c>
    </row>
    <row r="27">
      <c r="A27" s="32" t="n"/>
      <c r="B27" s="33" t="n"/>
      <c r="C27" s="33" t="n"/>
      <c r="D27" s="34" t="n"/>
      <c r="E27" s="33" t="n"/>
      <c r="F27" s="35" t="n"/>
      <c r="G27" s="36" t="n"/>
      <c r="H27" s="37" t="n"/>
      <c r="I27" s="38" t="n"/>
      <c r="J27" s="39">
        <f>IF(G27="","",HYPERLINK("https://wa.me/"&amp;G27,"Открыть чат"))</f>
        <v/>
      </c>
    </row>
    <row r="28">
      <c r="A28" s="32" t="n"/>
      <c r="B28" s="33" t="n"/>
      <c r="C28" s="33" t="n"/>
      <c r="D28" s="34" t="n"/>
      <c r="E28" s="33" t="n"/>
      <c r="F28" s="35" t="n"/>
      <c r="G28" s="36" t="n"/>
      <c r="H28" s="37" t="n"/>
      <c r="I28" s="38" t="n"/>
      <c r="J28" s="39">
        <f>IF(G28="","",HYPERLINK("https://wa.me/"&amp;G28,"Открыть чат"))</f>
        <v/>
      </c>
    </row>
    <row r="29">
      <c r="A29" s="32" t="n"/>
      <c r="B29" s="33" t="n"/>
      <c r="C29" s="33" t="n"/>
      <c r="D29" s="34" t="n"/>
      <c r="E29" s="33" t="n"/>
      <c r="F29" s="35" t="n"/>
      <c r="G29" s="36" t="n"/>
      <c r="H29" s="37" t="n"/>
      <c r="I29" s="38" t="n"/>
      <c r="J29" s="39">
        <f>IF(G29="","",HYPERLINK("https://wa.me/"&amp;G29,"Открыть чат"))</f>
        <v/>
      </c>
    </row>
    <row r="30">
      <c r="A30" s="32" t="n"/>
      <c r="B30" s="33" t="n"/>
      <c r="C30" s="33" t="n"/>
      <c r="D30" s="34" t="n"/>
      <c r="E30" s="33" t="n"/>
      <c r="F30" s="35" t="n"/>
      <c r="G30" s="36" t="n"/>
      <c r="H30" s="37" t="n"/>
      <c r="I30" s="38" t="n"/>
      <c r="J30" s="39">
        <f>IF(G30="","",HYPERLINK("https://wa.me/"&amp;G30,"Открыть чат"))</f>
        <v/>
      </c>
    </row>
    <row r="31">
      <c r="A31" s="32" t="n"/>
      <c r="B31" s="33" t="n"/>
      <c r="C31" s="33" t="n"/>
      <c r="D31" s="34" t="n"/>
      <c r="E31" s="33" t="n"/>
      <c r="F31" s="35" t="n"/>
      <c r="G31" s="36" t="n"/>
      <c r="H31" s="37" t="n"/>
      <c r="I31" s="38" t="n"/>
      <c r="J31" s="39">
        <f>IF(G31="","",HYPERLINK("https://wa.me/"&amp;G31,"Открыть чат"))</f>
        <v/>
      </c>
    </row>
    <row r="32">
      <c r="A32" s="32" t="n"/>
      <c r="B32" s="33" t="n"/>
      <c r="C32" s="33" t="n"/>
      <c r="D32" s="34" t="n"/>
      <c r="E32" s="33" t="n"/>
      <c r="F32" s="35" t="n"/>
      <c r="G32" s="36" t="n"/>
      <c r="H32" s="37" t="n"/>
      <c r="I32" s="38" t="n"/>
      <c r="J32" s="39">
        <f>IF(G32="","",HYPERLINK("https://wa.me/"&amp;G32,"Открыть чат"))</f>
        <v/>
      </c>
    </row>
    <row r="33">
      <c r="A33" s="32" t="n"/>
      <c r="B33" s="33" t="n"/>
      <c r="C33" s="33" t="n"/>
      <c r="D33" s="34" t="n"/>
      <c r="E33" s="33" t="n"/>
      <c r="F33" s="35" t="n"/>
      <c r="G33" s="36" t="n"/>
      <c r="H33" s="37" t="n"/>
      <c r="I33" s="38" t="n"/>
      <c r="J33" s="39">
        <f>IF(G33="","",HYPERLINK("https://wa.me/"&amp;G33,"Открыть чат"))</f>
        <v/>
      </c>
    </row>
    <row r="35">
      <c r="A35" s="9" t="inlineStr">
        <is>
          <t>Все мои лиды по этапам</t>
        </is>
      </c>
    </row>
    <row r="36" ht="30" customHeight="1">
      <c r="A36" s="10" t="inlineStr">
        <is>
          <t>Компания</t>
        </is>
      </c>
      <c r="B36" s="10" t="inlineStr">
        <is>
          <t>Этап</t>
        </is>
      </c>
      <c r="C36" s="10" t="inlineStr">
        <is>
          <t>Менеджер</t>
        </is>
      </c>
      <c r="D36" s="10" t="inlineStr">
        <is>
          <t>Следующий контакт</t>
        </is>
      </c>
      <c r="E36" s="10" t="inlineStr">
        <is>
          <t>Срок</t>
        </is>
      </c>
      <c r="F36" s="10" t="inlineStr">
        <is>
          <t>Заметка</t>
        </is>
      </c>
      <c r="G36" s="10" t="inlineStr">
        <is>
          <t>Телефон</t>
        </is>
      </c>
      <c r="H36" s="10" t="inlineStr">
        <is>
          <t>Написали</t>
        </is>
      </c>
      <c r="I36" s="10" t="inlineStr">
        <is>
          <t>ранг</t>
        </is>
      </c>
      <c r="J36" s="10" t="inlineStr">
        <is>
          <t>Чат</t>
        </is>
      </c>
    </row>
    <row r="37">
      <c r="A37" s="32">
        <f>IFERROR(SORT(FILTER('Лиды'!$B$2:$J$2000,('Лиды'!$D$2:$D$2000=$A$1)*('Лиды'!$C$2:$C$2000&lt;&gt;"Очередь")),9,TRUE),"Пока никого: поставь себя в колонке «Менеджер» на листе «Лиды»")</f>
        <v/>
      </c>
      <c r="B37" s="33" t="n"/>
      <c r="C37" s="33" t="n"/>
      <c r="D37" s="34" t="n"/>
      <c r="E37" s="33" t="n"/>
      <c r="F37" s="35" t="n"/>
      <c r="G37" s="36" t="n"/>
      <c r="H37" s="37" t="n"/>
      <c r="I37" s="38" t="n"/>
      <c r="J37" s="39">
        <f>IF(G37="","",HYPERLINK("https://wa.me/"&amp;G37,"Открыть чат"))</f>
        <v/>
      </c>
    </row>
    <row r="38">
      <c r="A38" s="32" t="n"/>
      <c r="B38" s="33" t="n"/>
      <c r="C38" s="33" t="n"/>
      <c r="D38" s="34" t="n"/>
      <c r="E38" s="33" t="n"/>
      <c r="F38" s="35" t="n"/>
      <c r="G38" s="36" t="n"/>
      <c r="H38" s="37" t="n"/>
      <c r="I38" s="38" t="n"/>
      <c r="J38" s="39">
        <f>IF(G38="","",HYPERLINK("https://wa.me/"&amp;G38,"Открыть чат"))</f>
        <v/>
      </c>
    </row>
    <row r="39">
      <c r="A39" s="32" t="n"/>
      <c r="B39" s="33" t="n"/>
      <c r="C39" s="33" t="n"/>
      <c r="D39" s="34" t="n"/>
      <c r="E39" s="33" t="n"/>
      <c r="F39" s="35" t="n"/>
      <c r="G39" s="36" t="n"/>
      <c r="H39" s="37" t="n"/>
      <c r="I39" s="38" t="n"/>
      <c r="J39" s="39">
        <f>IF(G39="","",HYPERLINK("https://wa.me/"&amp;G39,"Открыть чат"))</f>
        <v/>
      </c>
    </row>
    <row r="40">
      <c r="A40" s="32" t="n"/>
      <c r="B40" s="33" t="n"/>
      <c r="C40" s="33" t="n"/>
      <c r="D40" s="34" t="n"/>
      <c r="E40" s="33" t="n"/>
      <c r="F40" s="35" t="n"/>
      <c r="G40" s="36" t="n"/>
      <c r="H40" s="37" t="n"/>
      <c r="I40" s="38" t="n"/>
      <c r="J40" s="39">
        <f>IF(G40="","",HYPERLINK("https://wa.me/"&amp;G40,"Открыть чат"))</f>
        <v/>
      </c>
    </row>
    <row r="41">
      <c r="A41" s="32" t="n"/>
      <c r="B41" s="33" t="n"/>
      <c r="C41" s="33" t="n"/>
      <c r="D41" s="34" t="n"/>
      <c r="E41" s="33" t="n"/>
      <c r="F41" s="35" t="n"/>
      <c r="G41" s="36" t="n"/>
      <c r="H41" s="37" t="n"/>
      <c r="I41" s="38" t="n"/>
      <c r="J41" s="39">
        <f>IF(G41="","",HYPERLINK("https://wa.me/"&amp;G41,"Открыть чат"))</f>
        <v/>
      </c>
    </row>
    <row r="42">
      <c r="A42" s="32" t="n"/>
      <c r="B42" s="33" t="n"/>
      <c r="C42" s="33" t="n"/>
      <c r="D42" s="34" t="n"/>
      <c r="E42" s="33" t="n"/>
      <c r="F42" s="35" t="n"/>
      <c r="G42" s="36" t="n"/>
      <c r="H42" s="37" t="n"/>
      <c r="I42" s="38" t="n"/>
      <c r="J42" s="39">
        <f>IF(G42="","",HYPERLINK("https://wa.me/"&amp;G42,"Открыть чат"))</f>
        <v/>
      </c>
    </row>
    <row r="43">
      <c r="A43" s="32" t="n"/>
      <c r="B43" s="33" t="n"/>
      <c r="C43" s="33" t="n"/>
      <c r="D43" s="34" t="n"/>
      <c r="E43" s="33" t="n"/>
      <c r="F43" s="35" t="n"/>
      <c r="G43" s="36" t="n"/>
      <c r="H43" s="37" t="n"/>
      <c r="I43" s="38" t="n"/>
      <c r="J43" s="39">
        <f>IF(G43="","",HYPERLINK("https://wa.me/"&amp;G43,"Открыть чат"))</f>
        <v/>
      </c>
    </row>
    <row r="44">
      <c r="A44" s="32" t="n"/>
      <c r="B44" s="33" t="n"/>
      <c r="C44" s="33" t="n"/>
      <c r="D44" s="34" t="n"/>
      <c r="E44" s="33" t="n"/>
      <c r="F44" s="35" t="n"/>
      <c r="G44" s="36" t="n"/>
      <c r="H44" s="37" t="n"/>
      <c r="I44" s="38" t="n"/>
      <c r="J44" s="39">
        <f>IF(G44="","",HYPERLINK("https://wa.me/"&amp;G44,"Открыть чат"))</f>
        <v/>
      </c>
    </row>
    <row r="45">
      <c r="A45" s="32" t="n"/>
      <c r="B45" s="33" t="n"/>
      <c r="C45" s="33" t="n"/>
      <c r="D45" s="34" t="n"/>
      <c r="E45" s="33" t="n"/>
      <c r="F45" s="35" t="n"/>
      <c r="G45" s="36" t="n"/>
      <c r="H45" s="37" t="n"/>
      <c r="I45" s="38" t="n"/>
      <c r="J45" s="39">
        <f>IF(G45="","",HYPERLINK("https://wa.me/"&amp;G45,"Открыть чат"))</f>
        <v/>
      </c>
    </row>
    <row r="46">
      <c r="A46" s="32" t="n"/>
      <c r="B46" s="33" t="n"/>
      <c r="C46" s="33" t="n"/>
      <c r="D46" s="34" t="n"/>
      <c r="E46" s="33" t="n"/>
      <c r="F46" s="35" t="n"/>
      <c r="G46" s="36" t="n"/>
      <c r="H46" s="37" t="n"/>
      <c r="I46" s="38" t="n"/>
      <c r="J46" s="39">
        <f>IF(G46="","",HYPERLINK("https://wa.me/"&amp;G46,"Открыть чат"))</f>
        <v/>
      </c>
    </row>
    <row r="47">
      <c r="A47" s="32" t="n"/>
      <c r="B47" s="33" t="n"/>
      <c r="C47" s="33" t="n"/>
      <c r="D47" s="34" t="n"/>
      <c r="E47" s="33" t="n"/>
      <c r="F47" s="35" t="n"/>
      <c r="G47" s="36" t="n"/>
      <c r="H47" s="37" t="n"/>
      <c r="I47" s="38" t="n"/>
      <c r="J47" s="39">
        <f>IF(G47="","",HYPERLINK("https://wa.me/"&amp;G47,"Открыть чат"))</f>
        <v/>
      </c>
    </row>
    <row r="48">
      <c r="A48" s="32" t="n"/>
      <c r="B48" s="33" t="n"/>
      <c r="C48" s="33" t="n"/>
      <c r="D48" s="34" t="n"/>
      <c r="E48" s="33" t="n"/>
      <c r="F48" s="35" t="n"/>
      <c r="G48" s="36" t="n"/>
      <c r="H48" s="37" t="n"/>
      <c r="I48" s="38" t="n"/>
      <c r="J48" s="39">
        <f>IF(G48="","",HYPERLINK("https://wa.me/"&amp;G48,"Открыть чат"))</f>
        <v/>
      </c>
    </row>
    <row r="49">
      <c r="A49" s="32" t="n"/>
      <c r="B49" s="33" t="n"/>
      <c r="C49" s="33" t="n"/>
      <c r="D49" s="34" t="n"/>
      <c r="E49" s="33" t="n"/>
      <c r="F49" s="35" t="n"/>
      <c r="G49" s="36" t="n"/>
      <c r="H49" s="37" t="n"/>
      <c r="I49" s="38" t="n"/>
      <c r="J49" s="39">
        <f>IF(G49="","",HYPERLINK("https://wa.me/"&amp;G49,"Открыть чат"))</f>
        <v/>
      </c>
    </row>
    <row r="50">
      <c r="A50" s="32" t="n"/>
      <c r="B50" s="33" t="n"/>
      <c r="C50" s="33" t="n"/>
      <c r="D50" s="34" t="n"/>
      <c r="E50" s="33" t="n"/>
      <c r="F50" s="35" t="n"/>
      <c r="G50" s="36" t="n"/>
      <c r="H50" s="37" t="n"/>
      <c r="I50" s="38" t="n"/>
      <c r="J50" s="39">
        <f>IF(G50="","",HYPERLINK("https://wa.me/"&amp;G50,"Открыть чат"))</f>
        <v/>
      </c>
    </row>
    <row r="51">
      <c r="A51" s="32" t="n"/>
      <c r="B51" s="33" t="n"/>
      <c r="C51" s="33" t="n"/>
      <c r="D51" s="34" t="n"/>
      <c r="E51" s="33" t="n"/>
      <c r="F51" s="35" t="n"/>
      <c r="G51" s="36" t="n"/>
      <c r="H51" s="37" t="n"/>
      <c r="I51" s="38" t="n"/>
      <c r="J51" s="39">
        <f>IF(G51="","",HYPERLINK("https://wa.me/"&amp;G51,"Открыть чат"))</f>
        <v/>
      </c>
    </row>
    <row r="52">
      <c r="A52" s="32" t="n"/>
      <c r="B52" s="33" t="n"/>
      <c r="C52" s="33" t="n"/>
      <c r="D52" s="34" t="n"/>
      <c r="E52" s="33" t="n"/>
      <c r="F52" s="35" t="n"/>
      <c r="G52" s="36" t="n"/>
      <c r="H52" s="37" t="n"/>
      <c r="I52" s="38" t="n"/>
      <c r="J52" s="39">
        <f>IF(G52="","",HYPERLINK("https://wa.me/"&amp;G52,"Открыть чат"))</f>
        <v/>
      </c>
    </row>
    <row r="53">
      <c r="A53" s="32" t="n"/>
      <c r="B53" s="33" t="n"/>
      <c r="C53" s="33" t="n"/>
      <c r="D53" s="34" t="n"/>
      <c r="E53" s="33" t="n"/>
      <c r="F53" s="35" t="n"/>
      <c r="G53" s="36" t="n"/>
      <c r="H53" s="37" t="n"/>
      <c r="I53" s="38" t="n"/>
      <c r="J53" s="39">
        <f>IF(G53="","",HYPERLINK("https://wa.me/"&amp;G53,"Открыть чат"))</f>
        <v/>
      </c>
    </row>
    <row r="54">
      <c r="A54" s="32" t="n"/>
      <c r="B54" s="33" t="n"/>
      <c r="C54" s="33" t="n"/>
      <c r="D54" s="34" t="n"/>
      <c r="E54" s="33" t="n"/>
      <c r="F54" s="35" t="n"/>
      <c r="G54" s="36" t="n"/>
      <c r="H54" s="37" t="n"/>
      <c r="I54" s="38" t="n"/>
      <c r="J54" s="39">
        <f>IF(G54="","",HYPERLINK("https://wa.me/"&amp;G54,"Открыть чат"))</f>
        <v/>
      </c>
    </row>
    <row r="55">
      <c r="A55" s="32" t="n"/>
      <c r="B55" s="33" t="n"/>
      <c r="C55" s="33" t="n"/>
      <c r="D55" s="34" t="n"/>
      <c r="E55" s="33" t="n"/>
      <c r="F55" s="35" t="n"/>
      <c r="G55" s="36" t="n"/>
      <c r="H55" s="37" t="n"/>
      <c r="I55" s="38" t="n"/>
      <c r="J55" s="39">
        <f>IF(G55="","",HYPERLINK("https://wa.me/"&amp;G55,"Открыть чат"))</f>
        <v/>
      </c>
    </row>
    <row r="56">
      <c r="A56" s="32" t="n"/>
      <c r="B56" s="33" t="n"/>
      <c r="C56" s="33" t="n"/>
      <c r="D56" s="34" t="n"/>
      <c r="E56" s="33" t="n"/>
      <c r="F56" s="35" t="n"/>
      <c r="G56" s="36" t="n"/>
      <c r="H56" s="37" t="n"/>
      <c r="I56" s="38" t="n"/>
      <c r="J56" s="39">
        <f>IF(G56="","",HYPERLINK("https://wa.me/"&amp;G56,"Открыть чат"))</f>
        <v/>
      </c>
    </row>
    <row r="57">
      <c r="A57" s="32" t="n"/>
      <c r="B57" s="33" t="n"/>
      <c r="C57" s="33" t="n"/>
      <c r="D57" s="34" t="n"/>
      <c r="E57" s="33" t="n"/>
      <c r="F57" s="35" t="n"/>
      <c r="G57" s="36" t="n"/>
      <c r="H57" s="37" t="n"/>
      <c r="I57" s="38" t="n"/>
      <c r="J57" s="39">
        <f>IF(G57="","",HYPERLINK("https://wa.me/"&amp;G57,"Открыть чат"))</f>
        <v/>
      </c>
    </row>
    <row r="58">
      <c r="A58" s="32" t="n"/>
      <c r="B58" s="33" t="n"/>
      <c r="C58" s="33" t="n"/>
      <c r="D58" s="34" t="n"/>
      <c r="E58" s="33" t="n"/>
      <c r="F58" s="35" t="n"/>
      <c r="G58" s="36" t="n"/>
      <c r="H58" s="37" t="n"/>
      <c r="I58" s="38" t="n"/>
      <c r="J58" s="39">
        <f>IF(G58="","",HYPERLINK("https://wa.me/"&amp;G58,"Открыть чат"))</f>
        <v/>
      </c>
    </row>
    <row r="59">
      <c r="A59" s="32" t="n"/>
      <c r="B59" s="33" t="n"/>
      <c r="C59" s="33" t="n"/>
      <c r="D59" s="34" t="n"/>
      <c r="E59" s="33" t="n"/>
      <c r="F59" s="35" t="n"/>
      <c r="G59" s="36" t="n"/>
      <c r="H59" s="37" t="n"/>
      <c r="I59" s="38" t="n"/>
      <c r="J59" s="39">
        <f>IF(G59="","",HYPERLINK("https://wa.me/"&amp;G59,"Открыть чат"))</f>
        <v/>
      </c>
    </row>
    <row r="60">
      <c r="A60" s="32" t="n"/>
      <c r="B60" s="33" t="n"/>
      <c r="C60" s="33" t="n"/>
      <c r="D60" s="34" t="n"/>
      <c r="E60" s="33" t="n"/>
      <c r="F60" s="35" t="n"/>
      <c r="G60" s="36" t="n"/>
      <c r="H60" s="37" t="n"/>
      <c r="I60" s="38" t="n"/>
      <c r="J60" s="39">
        <f>IF(G60="","",HYPERLINK("https://wa.me/"&amp;G60,"Открыть чат"))</f>
        <v/>
      </c>
    </row>
    <row r="61">
      <c r="A61" s="32" t="n"/>
      <c r="B61" s="33" t="n"/>
      <c r="C61" s="33" t="n"/>
      <c r="D61" s="34" t="n"/>
      <c r="E61" s="33" t="n"/>
      <c r="F61" s="35" t="n"/>
      <c r="G61" s="36" t="n"/>
      <c r="H61" s="37" t="n"/>
      <c r="I61" s="38" t="n"/>
      <c r="J61" s="39">
        <f>IF(G61="","",HYPERLINK("https://wa.me/"&amp;G61,"Открыть чат"))</f>
        <v/>
      </c>
    </row>
    <row r="62">
      <c r="A62" s="32" t="n"/>
      <c r="B62" s="33" t="n"/>
      <c r="C62" s="33" t="n"/>
      <c r="D62" s="34" t="n"/>
      <c r="E62" s="33" t="n"/>
      <c r="F62" s="35" t="n"/>
      <c r="G62" s="36" t="n"/>
      <c r="H62" s="37" t="n"/>
      <c r="I62" s="38" t="n"/>
      <c r="J62" s="39">
        <f>IF(G62="","",HYPERLINK("https://wa.me/"&amp;G62,"Открыть чат"))</f>
        <v/>
      </c>
    </row>
    <row r="63">
      <c r="A63" s="32" t="n"/>
      <c r="B63" s="33" t="n"/>
      <c r="C63" s="33" t="n"/>
      <c r="D63" s="34" t="n"/>
      <c r="E63" s="33" t="n"/>
      <c r="F63" s="35" t="n"/>
      <c r="G63" s="36" t="n"/>
      <c r="H63" s="37" t="n"/>
      <c r="I63" s="38" t="n"/>
      <c r="J63" s="39">
        <f>IF(G63="","",HYPERLINK("https://wa.me/"&amp;G63,"Открыть чат"))</f>
        <v/>
      </c>
    </row>
    <row r="64">
      <c r="A64" s="32" t="n"/>
      <c r="B64" s="33" t="n"/>
      <c r="C64" s="33" t="n"/>
      <c r="D64" s="34" t="n"/>
      <c r="E64" s="33" t="n"/>
      <c r="F64" s="35" t="n"/>
      <c r="G64" s="36" t="n"/>
      <c r="H64" s="37" t="n"/>
      <c r="I64" s="38" t="n"/>
      <c r="J64" s="39">
        <f>IF(G64="","",HYPERLINK("https://wa.me/"&amp;G64,"Открыть чат"))</f>
        <v/>
      </c>
    </row>
    <row r="65">
      <c r="A65" s="32" t="n"/>
      <c r="B65" s="33" t="n"/>
      <c r="C65" s="33" t="n"/>
      <c r="D65" s="34" t="n"/>
      <c r="E65" s="33" t="n"/>
      <c r="F65" s="35" t="n"/>
      <c r="G65" s="36" t="n"/>
      <c r="H65" s="37" t="n"/>
      <c r="I65" s="38" t="n"/>
      <c r="J65" s="39">
        <f>IF(G65="","",HYPERLINK("https://wa.me/"&amp;G65,"Открыть чат"))</f>
        <v/>
      </c>
    </row>
    <row r="66">
      <c r="A66" s="32" t="n"/>
      <c r="B66" s="33" t="n"/>
      <c r="C66" s="33" t="n"/>
      <c r="D66" s="34" t="n"/>
      <c r="E66" s="33" t="n"/>
      <c r="F66" s="35" t="n"/>
      <c r="G66" s="36" t="n"/>
      <c r="H66" s="37" t="n"/>
      <c r="I66" s="38" t="n"/>
      <c r="J66" s="39">
        <f>IF(G66="","",HYPERLINK("https://wa.me/"&amp;G66,"Открыть чат"))</f>
        <v/>
      </c>
    </row>
    <row r="67">
      <c r="A67" s="32" t="n"/>
      <c r="B67" s="33" t="n"/>
      <c r="C67" s="33" t="n"/>
      <c r="D67" s="34" t="n"/>
      <c r="E67" s="33" t="n"/>
      <c r="F67" s="35" t="n"/>
      <c r="G67" s="36" t="n"/>
      <c r="H67" s="37" t="n"/>
      <c r="I67" s="38" t="n"/>
      <c r="J67" s="39">
        <f>IF(G67="","",HYPERLINK("https://wa.me/"&amp;G67,"Открыть чат"))</f>
        <v/>
      </c>
    </row>
    <row r="68">
      <c r="A68" s="32" t="n"/>
      <c r="B68" s="33" t="n"/>
      <c r="C68" s="33" t="n"/>
      <c r="D68" s="34" t="n"/>
      <c r="E68" s="33" t="n"/>
      <c r="F68" s="35" t="n"/>
      <c r="G68" s="36" t="n"/>
      <c r="H68" s="37" t="n"/>
      <c r="I68" s="38" t="n"/>
      <c r="J68" s="39">
        <f>IF(G68="","",HYPERLINK("https://wa.me/"&amp;G68,"Открыть чат"))</f>
        <v/>
      </c>
    </row>
    <row r="69">
      <c r="A69" s="32" t="n"/>
      <c r="B69" s="33" t="n"/>
      <c r="C69" s="33" t="n"/>
      <c r="D69" s="34" t="n"/>
      <c r="E69" s="33" t="n"/>
      <c r="F69" s="35" t="n"/>
      <c r="G69" s="36" t="n"/>
      <c r="H69" s="37" t="n"/>
      <c r="I69" s="38" t="n"/>
      <c r="J69" s="39">
        <f>IF(G69="","",HYPERLINK("https://wa.me/"&amp;G69,"Открыть чат"))</f>
        <v/>
      </c>
    </row>
    <row r="70">
      <c r="A70" s="32" t="n"/>
      <c r="B70" s="33" t="n"/>
      <c r="C70" s="33" t="n"/>
      <c r="D70" s="34" t="n"/>
      <c r="E70" s="33" t="n"/>
      <c r="F70" s="35" t="n"/>
      <c r="G70" s="36" t="n"/>
      <c r="H70" s="37" t="n"/>
      <c r="I70" s="38" t="n"/>
      <c r="J70" s="39">
        <f>IF(G70="","",HYPERLINK("https://wa.me/"&amp;G70,"Открыть чат"))</f>
        <v/>
      </c>
    </row>
    <row r="71">
      <c r="A71" s="32" t="n"/>
      <c r="B71" s="33" t="n"/>
      <c r="C71" s="33" t="n"/>
      <c r="D71" s="34" t="n"/>
      <c r="E71" s="33" t="n"/>
      <c r="F71" s="35" t="n"/>
      <c r="G71" s="36" t="n"/>
      <c r="H71" s="37" t="n"/>
      <c r="I71" s="38" t="n"/>
      <c r="J71" s="39">
        <f>IF(G71="","",HYPERLINK("https://wa.me/"&amp;G71,"Открыть чат"))</f>
        <v/>
      </c>
    </row>
    <row r="72">
      <c r="A72" s="32" t="n"/>
      <c r="B72" s="33" t="n"/>
      <c r="C72" s="33" t="n"/>
      <c r="D72" s="34" t="n"/>
      <c r="E72" s="33" t="n"/>
      <c r="F72" s="35" t="n"/>
      <c r="G72" s="36" t="n"/>
      <c r="H72" s="37" t="n"/>
      <c r="I72" s="38" t="n"/>
      <c r="J72" s="39">
        <f>IF(G72="","",HYPERLINK("https://wa.me/"&amp;G72,"Открыть чат"))</f>
        <v/>
      </c>
    </row>
    <row r="73">
      <c r="A73" s="32" t="n"/>
      <c r="B73" s="33" t="n"/>
      <c r="C73" s="33" t="n"/>
      <c r="D73" s="34" t="n"/>
      <c r="E73" s="33" t="n"/>
      <c r="F73" s="35" t="n"/>
      <c r="G73" s="36" t="n"/>
      <c r="H73" s="37" t="n"/>
      <c r="I73" s="38" t="n"/>
      <c r="J73" s="39">
        <f>IF(G73="","",HYPERLINK("https://wa.me/"&amp;G73,"Открыть чат"))</f>
        <v/>
      </c>
    </row>
    <row r="74">
      <c r="A74" s="32" t="n"/>
      <c r="B74" s="33" t="n"/>
      <c r="C74" s="33" t="n"/>
      <c r="D74" s="34" t="n"/>
      <c r="E74" s="33" t="n"/>
      <c r="F74" s="35" t="n"/>
      <c r="G74" s="36" t="n"/>
      <c r="H74" s="37" t="n"/>
      <c r="I74" s="38" t="n"/>
      <c r="J74" s="39">
        <f>IF(G74="","",HYPERLINK("https://wa.me/"&amp;G74,"Открыть чат"))</f>
        <v/>
      </c>
    </row>
    <row r="75">
      <c r="A75" s="32" t="n"/>
      <c r="B75" s="33" t="n"/>
      <c r="C75" s="33" t="n"/>
      <c r="D75" s="34" t="n"/>
      <c r="E75" s="33" t="n"/>
      <c r="F75" s="35" t="n"/>
      <c r="G75" s="36" t="n"/>
      <c r="H75" s="37" t="n"/>
      <c r="I75" s="38" t="n"/>
      <c r="J75" s="39">
        <f>IF(G75="","",HYPERLINK("https://wa.me/"&amp;G75,"Открыть чат"))</f>
        <v/>
      </c>
    </row>
    <row r="76">
      <c r="A76" s="32" t="n"/>
      <c r="B76" s="33" t="n"/>
      <c r="C76" s="33" t="n"/>
      <c r="D76" s="34" t="n"/>
      <c r="E76" s="33" t="n"/>
      <c r="F76" s="35" t="n"/>
      <c r="G76" s="36" t="n"/>
      <c r="H76" s="37" t="n"/>
      <c r="I76" s="38" t="n"/>
      <c r="J76" s="39">
        <f>IF(G76="","",HYPERLINK("https://wa.me/"&amp;G76,"Открыть чат"))</f>
        <v/>
      </c>
    </row>
    <row r="77">
      <c r="A77" s="32" t="n"/>
      <c r="B77" s="33" t="n"/>
      <c r="C77" s="33" t="n"/>
      <c r="D77" s="34" t="n"/>
      <c r="E77" s="33" t="n"/>
      <c r="F77" s="35" t="n"/>
      <c r="G77" s="36" t="n"/>
      <c r="H77" s="37" t="n"/>
      <c r="I77" s="38" t="n"/>
      <c r="J77" s="39">
        <f>IF(G77="","",HYPERLINK("https://wa.me/"&amp;G77,"Открыть чат"))</f>
        <v/>
      </c>
    </row>
    <row r="78">
      <c r="A78" s="32" t="n"/>
      <c r="B78" s="33" t="n"/>
      <c r="C78" s="33" t="n"/>
      <c r="D78" s="34" t="n"/>
      <c r="E78" s="33" t="n"/>
      <c r="F78" s="35" t="n"/>
      <c r="G78" s="36" t="n"/>
      <c r="H78" s="37" t="n"/>
      <c r="I78" s="38" t="n"/>
      <c r="J78" s="39">
        <f>IF(G78="","",HYPERLINK("https://wa.me/"&amp;G78,"Открыть чат"))</f>
        <v/>
      </c>
    </row>
    <row r="79">
      <c r="A79" s="32" t="n"/>
      <c r="B79" s="33" t="n"/>
      <c r="C79" s="33" t="n"/>
      <c r="D79" s="34" t="n"/>
      <c r="E79" s="33" t="n"/>
      <c r="F79" s="35" t="n"/>
      <c r="G79" s="36" t="n"/>
      <c r="H79" s="37" t="n"/>
      <c r="I79" s="38" t="n"/>
      <c r="J79" s="39">
        <f>IF(G79="","",HYPERLINK("https://wa.me/"&amp;G79,"Открыть чат"))</f>
        <v/>
      </c>
    </row>
    <row r="80">
      <c r="A80" s="32" t="n"/>
      <c r="B80" s="33" t="n"/>
      <c r="C80" s="33" t="n"/>
      <c r="D80" s="34" t="n"/>
      <c r="E80" s="33" t="n"/>
      <c r="F80" s="35" t="n"/>
      <c r="G80" s="36" t="n"/>
      <c r="H80" s="37" t="n"/>
      <c r="I80" s="38" t="n"/>
      <c r="J80" s="39">
        <f>IF(G80="","",HYPERLINK("https://wa.me/"&amp;G80,"Открыть чат"))</f>
        <v/>
      </c>
    </row>
    <row r="81">
      <c r="A81" s="32" t="n"/>
      <c r="B81" s="33" t="n"/>
      <c r="C81" s="33" t="n"/>
      <c r="D81" s="34" t="n"/>
      <c r="E81" s="33" t="n"/>
      <c r="F81" s="35" t="n"/>
      <c r="G81" s="36" t="n"/>
      <c r="H81" s="37" t="n"/>
      <c r="I81" s="38" t="n"/>
      <c r="J81" s="39">
        <f>IF(G81="","",HYPERLINK("https://wa.me/"&amp;G81,"Открыть чат"))</f>
        <v/>
      </c>
    </row>
    <row r="82">
      <c r="A82" s="32" t="n"/>
      <c r="B82" s="33" t="n"/>
      <c r="C82" s="33" t="n"/>
      <c r="D82" s="34" t="n"/>
      <c r="E82" s="33" t="n"/>
      <c r="F82" s="35" t="n"/>
      <c r="G82" s="36" t="n"/>
      <c r="H82" s="37" t="n"/>
      <c r="I82" s="38" t="n"/>
      <c r="J82" s="39">
        <f>IF(G82="","",HYPERLINK("https://wa.me/"&amp;G82,"Открыть чат"))</f>
        <v/>
      </c>
    </row>
    <row r="83">
      <c r="A83" s="32" t="n"/>
      <c r="B83" s="33" t="n"/>
      <c r="C83" s="33" t="n"/>
      <c r="D83" s="34" t="n"/>
      <c r="E83" s="33" t="n"/>
      <c r="F83" s="35" t="n"/>
      <c r="G83" s="36" t="n"/>
      <c r="H83" s="37" t="n"/>
      <c r="I83" s="38" t="n"/>
      <c r="J83" s="39">
        <f>IF(G83="","",HYPERLINK("https://wa.me/"&amp;G83,"Открыть чат"))</f>
        <v/>
      </c>
    </row>
    <row r="84">
      <c r="A84" s="32" t="n"/>
      <c r="B84" s="33" t="n"/>
      <c r="C84" s="33" t="n"/>
      <c r="D84" s="34" t="n"/>
      <c r="E84" s="33" t="n"/>
      <c r="F84" s="35" t="n"/>
      <c r="G84" s="36" t="n"/>
      <c r="H84" s="37" t="n"/>
      <c r="I84" s="38" t="n"/>
      <c r="J84" s="39">
        <f>IF(G84="","",HYPERLINK("https://wa.me/"&amp;G84,"Открыть чат"))</f>
        <v/>
      </c>
    </row>
    <row r="85">
      <c r="A85" s="32" t="n"/>
      <c r="B85" s="33" t="n"/>
      <c r="C85" s="33" t="n"/>
      <c r="D85" s="34" t="n"/>
      <c r="E85" s="33" t="n"/>
      <c r="F85" s="35" t="n"/>
      <c r="G85" s="36" t="n"/>
      <c r="H85" s="37" t="n"/>
      <c r="I85" s="38" t="n"/>
      <c r="J85" s="39">
        <f>IF(G85="","",HYPERLINK("https://wa.me/"&amp;G85,"Открыть чат"))</f>
        <v/>
      </c>
    </row>
    <row r="86">
      <c r="A86" s="32" t="n"/>
      <c r="B86" s="33" t="n"/>
      <c r="C86" s="33" t="n"/>
      <c r="D86" s="34" t="n"/>
      <c r="E86" s="33" t="n"/>
      <c r="F86" s="35" t="n"/>
      <c r="G86" s="36" t="n"/>
      <c r="H86" s="37" t="n"/>
      <c r="I86" s="38" t="n"/>
      <c r="J86" s="39">
        <f>IF(G86="","",HYPERLINK("https://wa.me/"&amp;G86,"Открыть чат"))</f>
        <v/>
      </c>
    </row>
    <row r="87">
      <c r="A87" s="32" t="n"/>
      <c r="B87" s="33" t="n"/>
      <c r="C87" s="33" t="n"/>
      <c r="D87" s="34" t="n"/>
      <c r="E87" s="33" t="n"/>
      <c r="F87" s="35" t="n"/>
      <c r="G87" s="36" t="n"/>
      <c r="H87" s="37" t="n"/>
      <c r="I87" s="38" t="n"/>
      <c r="J87" s="39">
        <f>IF(G87="","",HYPERLINK("https://wa.me/"&amp;G87,"Открыть чат"))</f>
        <v/>
      </c>
    </row>
    <row r="88">
      <c r="A88" s="32" t="n"/>
      <c r="B88" s="33" t="n"/>
      <c r="C88" s="33" t="n"/>
      <c r="D88" s="34" t="n"/>
      <c r="E88" s="33" t="n"/>
      <c r="F88" s="35" t="n"/>
      <c r="G88" s="36" t="n"/>
      <c r="H88" s="37" t="n"/>
      <c r="I88" s="38" t="n"/>
      <c r="J88" s="39">
        <f>IF(G88="","",HYPERLINK("https://wa.me/"&amp;G88,"Открыть чат"))</f>
        <v/>
      </c>
    </row>
    <row r="89">
      <c r="A89" s="32" t="n"/>
      <c r="B89" s="33" t="n"/>
      <c r="C89" s="33" t="n"/>
      <c r="D89" s="34" t="n"/>
      <c r="E89" s="33" t="n"/>
      <c r="F89" s="35" t="n"/>
      <c r="G89" s="36" t="n"/>
      <c r="H89" s="37" t="n"/>
      <c r="I89" s="38" t="n"/>
      <c r="J89" s="39">
        <f>IF(G89="","",HYPERLINK("https://wa.me/"&amp;G89,"Открыть чат"))</f>
        <v/>
      </c>
    </row>
    <row r="90">
      <c r="A90" s="32" t="n"/>
      <c r="B90" s="33" t="n"/>
      <c r="C90" s="33" t="n"/>
      <c r="D90" s="34" t="n"/>
      <c r="E90" s="33" t="n"/>
      <c r="F90" s="35" t="n"/>
      <c r="G90" s="36" t="n"/>
      <c r="H90" s="37" t="n"/>
      <c r="I90" s="38" t="n"/>
      <c r="J90" s="39">
        <f>IF(G90="","",HYPERLINK("https://wa.me/"&amp;G90,"Открыть чат"))</f>
        <v/>
      </c>
    </row>
    <row r="91">
      <c r="A91" s="32" t="n"/>
      <c r="B91" s="33" t="n"/>
      <c r="C91" s="33" t="n"/>
      <c r="D91" s="34" t="n"/>
      <c r="E91" s="33" t="n"/>
      <c r="F91" s="35" t="n"/>
      <c r="G91" s="36" t="n"/>
      <c r="H91" s="37" t="n"/>
      <c r="I91" s="38" t="n"/>
      <c r="J91" s="39">
        <f>IF(G91="","",HYPERLINK("https://wa.me/"&amp;G91,"Открыть чат"))</f>
        <v/>
      </c>
    </row>
    <row r="92">
      <c r="A92" s="32" t="n"/>
      <c r="B92" s="33" t="n"/>
      <c r="C92" s="33" t="n"/>
      <c r="D92" s="34" t="n"/>
      <c r="E92" s="33" t="n"/>
      <c r="F92" s="35" t="n"/>
      <c r="G92" s="36" t="n"/>
      <c r="H92" s="37" t="n"/>
      <c r="I92" s="38" t="n"/>
      <c r="J92" s="39">
        <f>IF(G92="","",HYPERLINK("https://wa.me/"&amp;G92,"Открыть чат"))</f>
        <v/>
      </c>
    </row>
    <row r="93">
      <c r="A93" s="32" t="n"/>
      <c r="B93" s="33" t="n"/>
      <c r="C93" s="33" t="n"/>
      <c r="D93" s="34" t="n"/>
      <c r="E93" s="33" t="n"/>
      <c r="F93" s="35" t="n"/>
      <c r="G93" s="36" t="n"/>
      <c r="H93" s="37" t="n"/>
      <c r="I93" s="38" t="n"/>
      <c r="J93" s="39">
        <f>IF(G93="","",HYPERLINK("https://wa.me/"&amp;G93,"Открыть чат"))</f>
        <v/>
      </c>
    </row>
    <row r="94">
      <c r="A94" s="32" t="n"/>
      <c r="B94" s="33" t="n"/>
      <c r="C94" s="33" t="n"/>
      <c r="D94" s="34" t="n"/>
      <c r="E94" s="33" t="n"/>
      <c r="F94" s="35" t="n"/>
      <c r="G94" s="36" t="n"/>
      <c r="H94" s="37" t="n"/>
      <c r="I94" s="38" t="n"/>
      <c r="J94" s="39">
        <f>IF(G94="","",HYPERLINK("https://wa.me/"&amp;G94,"Открыть чат"))</f>
        <v/>
      </c>
    </row>
    <row r="95">
      <c r="A95" s="32" t="n"/>
      <c r="B95" s="33" t="n"/>
      <c r="C95" s="33" t="n"/>
      <c r="D95" s="34" t="n"/>
      <c r="E95" s="33" t="n"/>
      <c r="F95" s="35" t="n"/>
      <c r="G95" s="36" t="n"/>
      <c r="H95" s="37" t="n"/>
      <c r="I95" s="38" t="n"/>
      <c r="J95" s="39">
        <f>IF(G95="","",HYPERLINK("https://wa.me/"&amp;G95,"Открыть чат"))</f>
        <v/>
      </c>
    </row>
    <row r="96">
      <c r="A96" s="32" t="n"/>
      <c r="B96" s="33" t="n"/>
      <c r="C96" s="33" t="n"/>
      <c r="D96" s="34" t="n"/>
      <c r="E96" s="33" t="n"/>
      <c r="F96" s="35" t="n"/>
      <c r="G96" s="36" t="n"/>
      <c r="H96" s="37" t="n"/>
      <c r="I96" s="38" t="n"/>
      <c r="J96" s="39">
        <f>IF(G96="","",HYPERLINK("https://wa.me/"&amp;G96,"Открыть чат"))</f>
        <v/>
      </c>
    </row>
    <row r="97">
      <c r="A97" s="32" t="n"/>
      <c r="B97" s="33" t="n"/>
      <c r="C97" s="33" t="n"/>
      <c r="D97" s="34" t="n"/>
      <c r="E97" s="33" t="n"/>
      <c r="F97" s="35" t="n"/>
      <c r="G97" s="36" t="n"/>
      <c r="H97" s="37" t="n"/>
      <c r="I97" s="38" t="n"/>
      <c r="J97" s="39">
        <f>IF(G97="","",HYPERLINK("https://wa.me/"&amp;G97,"Открыть чат"))</f>
        <v/>
      </c>
    </row>
    <row r="98">
      <c r="A98" s="32" t="n"/>
      <c r="B98" s="33" t="n"/>
      <c r="C98" s="33" t="n"/>
      <c r="D98" s="34" t="n"/>
      <c r="E98" s="33" t="n"/>
      <c r="F98" s="35" t="n"/>
      <c r="G98" s="36" t="n"/>
      <c r="H98" s="37" t="n"/>
      <c r="I98" s="38" t="n"/>
      <c r="J98" s="39">
        <f>IF(G98="","",HYPERLINK("https://wa.me/"&amp;G98,"Открыть чат"))</f>
        <v/>
      </c>
    </row>
    <row r="99">
      <c r="A99" s="32" t="n"/>
      <c r="B99" s="33" t="n"/>
      <c r="C99" s="33" t="n"/>
      <c r="D99" s="34" t="n"/>
      <c r="E99" s="33" t="n"/>
      <c r="F99" s="35" t="n"/>
      <c r="G99" s="36" t="n"/>
      <c r="H99" s="37" t="n"/>
      <c r="I99" s="38" t="n"/>
      <c r="J99" s="39">
        <f>IF(G99="","",HYPERLINK("https://wa.me/"&amp;G99,"Открыть чат"))</f>
        <v/>
      </c>
    </row>
    <row r="100">
      <c r="A100" s="32" t="n"/>
      <c r="B100" s="33" t="n"/>
      <c r="C100" s="33" t="n"/>
      <c r="D100" s="34" t="n"/>
      <c r="E100" s="33" t="n"/>
      <c r="F100" s="35" t="n"/>
      <c r="G100" s="36" t="n"/>
      <c r="H100" s="37" t="n"/>
      <c r="I100" s="38" t="n"/>
      <c r="J100" s="39">
        <f>IF(G100="","",HYPERLINK("https://wa.me/"&amp;G100,"Открыть чат"))</f>
        <v/>
      </c>
    </row>
    <row r="101">
      <c r="A101" s="32" t="n"/>
      <c r="B101" s="33" t="n"/>
      <c r="C101" s="33" t="n"/>
      <c r="D101" s="34" t="n"/>
      <c r="E101" s="33" t="n"/>
      <c r="F101" s="35" t="n"/>
      <c r="G101" s="36" t="n"/>
      <c r="H101" s="37" t="n"/>
      <c r="I101" s="38" t="n"/>
      <c r="J101" s="39">
        <f>IF(G101="","",HYPERLINK("https://wa.me/"&amp;G101,"Открыть чат"))</f>
        <v/>
      </c>
    </row>
    <row r="102">
      <c r="A102" s="32" t="n"/>
      <c r="B102" s="33" t="n"/>
      <c r="C102" s="33" t="n"/>
      <c r="D102" s="34" t="n"/>
      <c r="E102" s="33" t="n"/>
      <c r="F102" s="35" t="n"/>
      <c r="G102" s="36" t="n"/>
      <c r="H102" s="37" t="n"/>
      <c r="I102" s="38" t="n"/>
      <c r="J102" s="39">
        <f>IF(G102="","",HYPERLINK("https://wa.me/"&amp;G102,"Открыть чат"))</f>
        <v/>
      </c>
    </row>
    <row r="103">
      <c r="A103" s="32" t="n"/>
      <c r="B103" s="33" t="n"/>
      <c r="C103" s="33" t="n"/>
      <c r="D103" s="34" t="n"/>
      <c r="E103" s="33" t="n"/>
      <c r="F103" s="35" t="n"/>
      <c r="G103" s="36" t="n"/>
      <c r="H103" s="37" t="n"/>
      <c r="I103" s="38" t="n"/>
      <c r="J103" s="39">
        <f>IF(G103="","",HYPERLINK("https://wa.me/"&amp;G103,"Открыть чат"))</f>
        <v/>
      </c>
    </row>
    <row r="104">
      <c r="A104" s="32" t="n"/>
      <c r="B104" s="33" t="n"/>
      <c r="C104" s="33" t="n"/>
      <c r="D104" s="34" t="n"/>
      <c r="E104" s="33" t="n"/>
      <c r="F104" s="35" t="n"/>
      <c r="G104" s="36" t="n"/>
      <c r="H104" s="37" t="n"/>
      <c r="I104" s="38" t="n"/>
      <c r="J104" s="39">
        <f>IF(G104="","",HYPERLINK("https://wa.me/"&amp;G104,"Открыть чат"))</f>
        <v/>
      </c>
    </row>
    <row r="105">
      <c r="A105" s="32" t="n"/>
      <c r="B105" s="33" t="n"/>
      <c r="C105" s="33" t="n"/>
      <c r="D105" s="34" t="n"/>
      <c r="E105" s="33" t="n"/>
      <c r="F105" s="35" t="n"/>
      <c r="G105" s="36" t="n"/>
      <c r="H105" s="37" t="n"/>
      <c r="I105" s="38" t="n"/>
      <c r="J105" s="39">
        <f>IF(G105="","",HYPERLINK("https://wa.me/"&amp;G105,"Открыть чат"))</f>
        <v/>
      </c>
    </row>
    <row r="106">
      <c r="A106" s="32" t="n"/>
      <c r="B106" s="33" t="n"/>
      <c r="C106" s="33" t="n"/>
      <c r="D106" s="34" t="n"/>
      <c r="E106" s="33" t="n"/>
      <c r="F106" s="35" t="n"/>
      <c r="G106" s="36" t="n"/>
      <c r="H106" s="37" t="n"/>
      <c r="I106" s="38" t="n"/>
      <c r="J106" s="39">
        <f>IF(G106="","",HYPERLINK("https://wa.me/"&amp;G106,"Открыть чат"))</f>
        <v/>
      </c>
    </row>
    <row r="107">
      <c r="A107" s="32" t="n"/>
      <c r="B107" s="33" t="n"/>
      <c r="C107" s="33" t="n"/>
      <c r="D107" s="34" t="n"/>
      <c r="E107" s="33" t="n"/>
      <c r="F107" s="35" t="n"/>
      <c r="G107" s="36" t="n"/>
      <c r="H107" s="37" t="n"/>
      <c r="I107" s="38" t="n"/>
      <c r="J107" s="39">
        <f>IF(G107="","",HYPERLINK("https://wa.me/"&amp;G107,"Открыть чат"))</f>
        <v/>
      </c>
    </row>
    <row r="108">
      <c r="A108" s="32" t="n"/>
      <c r="B108" s="33" t="n"/>
      <c r="C108" s="33" t="n"/>
      <c r="D108" s="34" t="n"/>
      <c r="E108" s="33" t="n"/>
      <c r="F108" s="35" t="n"/>
      <c r="G108" s="36" t="n"/>
      <c r="H108" s="37" t="n"/>
      <c r="I108" s="38" t="n"/>
      <c r="J108" s="39">
        <f>IF(G108="","",HYPERLINK("https://wa.me/"&amp;G108,"Открыть чат"))</f>
        <v/>
      </c>
    </row>
    <row r="109">
      <c r="A109" s="32" t="n"/>
      <c r="B109" s="33" t="n"/>
      <c r="C109" s="33" t="n"/>
      <c r="D109" s="34" t="n"/>
      <c r="E109" s="33" t="n"/>
      <c r="F109" s="35" t="n"/>
      <c r="G109" s="36" t="n"/>
      <c r="H109" s="37" t="n"/>
      <c r="I109" s="38" t="n"/>
      <c r="J109" s="39">
        <f>IF(G109="","",HYPERLINK("https://wa.me/"&amp;G109,"Открыть чат"))</f>
        <v/>
      </c>
    </row>
    <row r="110">
      <c r="A110" s="32" t="n"/>
      <c r="B110" s="33" t="n"/>
      <c r="C110" s="33" t="n"/>
      <c r="D110" s="34" t="n"/>
      <c r="E110" s="33" t="n"/>
      <c r="F110" s="35" t="n"/>
      <c r="G110" s="36" t="n"/>
      <c r="H110" s="37" t="n"/>
      <c r="I110" s="38" t="n"/>
      <c r="J110" s="39">
        <f>IF(G110="","",HYPERLINK("https://wa.me/"&amp;G110,"Открыть чат"))</f>
        <v/>
      </c>
    </row>
    <row r="111">
      <c r="A111" s="32" t="n"/>
      <c r="B111" s="33" t="n"/>
      <c r="C111" s="33" t="n"/>
      <c r="D111" s="34" t="n"/>
      <c r="E111" s="33" t="n"/>
      <c r="F111" s="35" t="n"/>
      <c r="G111" s="36" t="n"/>
      <c r="H111" s="37" t="n"/>
      <c r="I111" s="38" t="n"/>
      <c r="J111" s="39">
        <f>IF(G111="","",HYPERLINK("https://wa.me/"&amp;G111,"Открыть чат"))</f>
        <v/>
      </c>
    </row>
    <row r="112">
      <c r="A112" s="32" t="n"/>
      <c r="B112" s="33" t="n"/>
      <c r="C112" s="33" t="n"/>
      <c r="D112" s="34" t="n"/>
      <c r="E112" s="33" t="n"/>
      <c r="F112" s="35" t="n"/>
      <c r="G112" s="36" t="n"/>
      <c r="H112" s="37" t="n"/>
      <c r="I112" s="38" t="n"/>
      <c r="J112" s="39">
        <f>IF(G112="","",HYPERLINK("https://wa.me/"&amp;G112,"Открыть чат"))</f>
        <v/>
      </c>
    </row>
    <row r="113">
      <c r="A113" s="32" t="n"/>
      <c r="B113" s="33" t="n"/>
      <c r="C113" s="33" t="n"/>
      <c r="D113" s="34" t="n"/>
      <c r="E113" s="33" t="n"/>
      <c r="F113" s="35" t="n"/>
      <c r="G113" s="36" t="n"/>
      <c r="H113" s="37" t="n"/>
      <c r="I113" s="38" t="n"/>
      <c r="J113" s="39">
        <f>IF(G113="","",HYPERLINK("https://wa.me/"&amp;G113,"Открыть чат"))</f>
        <v/>
      </c>
    </row>
    <row r="114">
      <c r="A114" s="32" t="n"/>
      <c r="B114" s="33" t="n"/>
      <c r="C114" s="33" t="n"/>
      <c r="D114" s="34" t="n"/>
      <c r="E114" s="33" t="n"/>
      <c r="F114" s="35" t="n"/>
      <c r="G114" s="36" t="n"/>
      <c r="H114" s="37" t="n"/>
      <c r="I114" s="38" t="n"/>
      <c r="J114" s="39">
        <f>IF(G114="","",HYPERLINK("https://wa.me/"&amp;G114,"Открыть чат"))</f>
        <v/>
      </c>
    </row>
    <row r="115">
      <c r="A115" s="32" t="n"/>
      <c r="B115" s="33" t="n"/>
      <c r="C115" s="33" t="n"/>
      <c r="D115" s="34" t="n"/>
      <c r="E115" s="33" t="n"/>
      <c r="F115" s="35" t="n"/>
      <c r="G115" s="36" t="n"/>
      <c r="H115" s="37" t="n"/>
      <c r="I115" s="38" t="n"/>
      <c r="J115" s="39">
        <f>IF(G115="","",HYPERLINK("https://wa.me/"&amp;G115,"Открыть чат"))</f>
        <v/>
      </c>
    </row>
    <row r="116">
      <c r="A116" s="32" t="n"/>
      <c r="B116" s="33" t="n"/>
      <c r="C116" s="33" t="n"/>
      <c r="D116" s="34" t="n"/>
      <c r="E116" s="33" t="n"/>
      <c r="F116" s="35" t="n"/>
      <c r="G116" s="36" t="n"/>
      <c r="H116" s="37" t="n"/>
      <c r="I116" s="38" t="n"/>
      <c r="J116" s="39">
        <f>IF(G116="","",HYPERLINK("https://wa.me/"&amp;G116,"Открыть чат"))</f>
        <v/>
      </c>
    </row>
    <row r="117">
      <c r="A117" s="32" t="n"/>
      <c r="B117" s="33" t="n"/>
      <c r="C117" s="33" t="n"/>
      <c r="D117" s="34" t="n"/>
      <c r="E117" s="33" t="n"/>
      <c r="F117" s="35" t="n"/>
      <c r="G117" s="36" t="n"/>
      <c r="H117" s="37" t="n"/>
      <c r="I117" s="38" t="n"/>
      <c r="J117" s="39">
        <f>IF(G117="","",HYPERLINK("https://wa.me/"&amp;G117,"Открыть чат"))</f>
        <v/>
      </c>
    </row>
    <row r="118">
      <c r="A118" s="32" t="n"/>
      <c r="B118" s="33" t="n"/>
      <c r="C118" s="33" t="n"/>
      <c r="D118" s="34" t="n"/>
      <c r="E118" s="33" t="n"/>
      <c r="F118" s="35" t="n"/>
      <c r="G118" s="36" t="n"/>
      <c r="H118" s="37" t="n"/>
      <c r="I118" s="38" t="n"/>
      <c r="J118" s="39">
        <f>IF(G118="","",HYPERLINK("https://wa.me/"&amp;G118,"Открыть чат"))</f>
        <v/>
      </c>
    </row>
    <row r="119">
      <c r="A119" s="32" t="n"/>
      <c r="B119" s="33" t="n"/>
      <c r="C119" s="33" t="n"/>
      <c r="D119" s="34" t="n"/>
      <c r="E119" s="33" t="n"/>
      <c r="F119" s="35" t="n"/>
      <c r="G119" s="36" t="n"/>
      <c r="H119" s="37" t="n"/>
      <c r="I119" s="38" t="n"/>
      <c r="J119" s="39">
        <f>IF(G119="","",HYPERLINK("https://wa.me/"&amp;G119,"Открыть чат"))</f>
        <v/>
      </c>
    </row>
    <row r="120">
      <c r="A120" s="32" t="n"/>
      <c r="B120" s="33" t="n"/>
      <c r="C120" s="33" t="n"/>
      <c r="D120" s="34" t="n"/>
      <c r="E120" s="33" t="n"/>
      <c r="F120" s="35" t="n"/>
      <c r="G120" s="36" t="n"/>
      <c r="H120" s="37" t="n"/>
      <c r="I120" s="38" t="n"/>
      <c r="J120" s="39">
        <f>IF(G120="","",HYPERLINK("https://wa.me/"&amp;G120,"Открыть чат"))</f>
        <v/>
      </c>
    </row>
    <row r="121">
      <c r="A121" s="32" t="n"/>
      <c r="B121" s="33" t="n"/>
      <c r="C121" s="33" t="n"/>
      <c r="D121" s="34" t="n"/>
      <c r="E121" s="33" t="n"/>
      <c r="F121" s="35" t="n"/>
      <c r="G121" s="36" t="n"/>
      <c r="H121" s="37" t="n"/>
      <c r="I121" s="38" t="n"/>
      <c r="J121" s="39">
        <f>IF(G121="","",HYPERLINK("https://wa.me/"&amp;G121,"Открыть чат"))</f>
        <v/>
      </c>
    </row>
    <row r="122">
      <c r="A122" s="32" t="n"/>
      <c r="B122" s="33" t="n"/>
      <c r="C122" s="33" t="n"/>
      <c r="D122" s="34" t="n"/>
      <c r="E122" s="33" t="n"/>
      <c r="F122" s="35" t="n"/>
      <c r="G122" s="36" t="n"/>
      <c r="H122" s="37" t="n"/>
      <c r="I122" s="38" t="n"/>
      <c r="J122" s="39">
        <f>IF(G122="","",HYPERLINK("https://wa.me/"&amp;G122,"Открыть чат"))</f>
        <v/>
      </c>
    </row>
    <row r="123">
      <c r="A123" s="32" t="n"/>
      <c r="B123" s="33" t="n"/>
      <c r="C123" s="33" t="n"/>
      <c r="D123" s="34" t="n"/>
      <c r="E123" s="33" t="n"/>
      <c r="F123" s="35" t="n"/>
      <c r="G123" s="36" t="n"/>
      <c r="H123" s="37" t="n"/>
      <c r="I123" s="38" t="n"/>
      <c r="J123" s="39">
        <f>IF(G123="","",HYPERLINK("https://wa.me/"&amp;G123,"Открыть чат"))</f>
        <v/>
      </c>
    </row>
    <row r="124">
      <c r="A124" s="32" t="n"/>
      <c r="B124" s="33" t="n"/>
      <c r="C124" s="33" t="n"/>
      <c r="D124" s="34" t="n"/>
      <c r="E124" s="33" t="n"/>
      <c r="F124" s="35" t="n"/>
      <c r="G124" s="36" t="n"/>
      <c r="H124" s="37" t="n"/>
      <c r="I124" s="38" t="n"/>
      <c r="J124" s="39">
        <f>IF(G124="","",HYPERLINK("https://wa.me/"&amp;G124,"Открыть чат"))</f>
        <v/>
      </c>
    </row>
    <row r="125">
      <c r="A125" s="32" t="n"/>
      <c r="B125" s="33" t="n"/>
      <c r="C125" s="33" t="n"/>
      <c r="D125" s="34" t="n"/>
      <c r="E125" s="33" t="n"/>
      <c r="F125" s="35" t="n"/>
      <c r="G125" s="36" t="n"/>
      <c r="H125" s="37" t="n"/>
      <c r="I125" s="38" t="n"/>
      <c r="J125" s="39">
        <f>IF(G125="","",HYPERLINK("https://wa.me/"&amp;G125,"Открыть чат"))</f>
        <v/>
      </c>
    </row>
    <row r="126">
      <c r="A126" s="32" t="n"/>
      <c r="B126" s="33" t="n"/>
      <c r="C126" s="33" t="n"/>
      <c r="D126" s="34" t="n"/>
      <c r="E126" s="33" t="n"/>
      <c r="F126" s="35" t="n"/>
      <c r="G126" s="36" t="n"/>
      <c r="H126" s="37" t="n"/>
      <c r="I126" s="38" t="n"/>
      <c r="J126" s="39">
        <f>IF(G126="","",HYPERLINK("https://wa.me/"&amp;G126,"Открыть чат"))</f>
        <v/>
      </c>
    </row>
    <row r="127">
      <c r="A127" s="32" t="n"/>
      <c r="B127" s="33" t="n"/>
      <c r="C127" s="33" t="n"/>
      <c r="D127" s="34" t="n"/>
      <c r="E127" s="33" t="n"/>
      <c r="F127" s="35" t="n"/>
      <c r="G127" s="36" t="n"/>
      <c r="H127" s="37" t="n"/>
      <c r="I127" s="38" t="n"/>
      <c r="J127" s="39">
        <f>IF(G127="","",HYPERLINK("https://wa.me/"&amp;G127,"Открыть чат"))</f>
        <v/>
      </c>
    </row>
    <row r="128">
      <c r="A128" s="32" t="n"/>
      <c r="B128" s="33" t="n"/>
      <c r="C128" s="33" t="n"/>
      <c r="D128" s="34" t="n"/>
      <c r="E128" s="33" t="n"/>
      <c r="F128" s="35" t="n"/>
      <c r="G128" s="36" t="n"/>
      <c r="H128" s="37" t="n"/>
      <c r="I128" s="38" t="n"/>
      <c r="J128" s="39">
        <f>IF(G128="","",HYPERLINK("https://wa.me/"&amp;G128,"Открыть чат"))</f>
        <v/>
      </c>
    </row>
    <row r="129">
      <c r="A129" s="32" t="n"/>
      <c r="B129" s="33" t="n"/>
      <c r="C129" s="33" t="n"/>
      <c r="D129" s="34" t="n"/>
      <c r="E129" s="33" t="n"/>
      <c r="F129" s="35" t="n"/>
      <c r="G129" s="36" t="n"/>
      <c r="H129" s="37" t="n"/>
      <c r="I129" s="38" t="n"/>
      <c r="J129" s="39">
        <f>IF(G129="","",HYPERLINK("https://wa.me/"&amp;G129,"Открыть чат"))</f>
        <v/>
      </c>
    </row>
    <row r="130">
      <c r="A130" s="32" t="n"/>
      <c r="B130" s="33" t="n"/>
      <c r="C130" s="33" t="n"/>
      <c r="D130" s="34" t="n"/>
      <c r="E130" s="33" t="n"/>
      <c r="F130" s="35" t="n"/>
      <c r="G130" s="36" t="n"/>
      <c r="H130" s="37" t="n"/>
      <c r="I130" s="38" t="n"/>
      <c r="J130" s="39">
        <f>IF(G130="","",HYPERLINK("https://wa.me/"&amp;G130,"Открыть чат"))</f>
        <v/>
      </c>
    </row>
    <row r="131">
      <c r="A131" s="32" t="n"/>
      <c r="B131" s="33" t="n"/>
      <c r="C131" s="33" t="n"/>
      <c r="D131" s="34" t="n"/>
      <c r="E131" s="33" t="n"/>
      <c r="F131" s="35" t="n"/>
      <c r="G131" s="36" t="n"/>
      <c r="H131" s="37" t="n"/>
      <c r="I131" s="38" t="n"/>
      <c r="J131" s="39">
        <f>IF(G131="","",HYPERLINK("https://wa.me/"&amp;G131,"Открыть чат"))</f>
        <v/>
      </c>
    </row>
    <row r="132">
      <c r="A132" s="32" t="n"/>
      <c r="B132" s="33" t="n"/>
      <c r="C132" s="33" t="n"/>
      <c r="D132" s="34" t="n"/>
      <c r="E132" s="33" t="n"/>
      <c r="F132" s="35" t="n"/>
      <c r="G132" s="36" t="n"/>
      <c r="H132" s="37" t="n"/>
      <c r="I132" s="38" t="n"/>
      <c r="J132" s="39">
        <f>IF(G132="","",HYPERLINK("https://wa.me/"&amp;G132,"Открыть чат"))</f>
        <v/>
      </c>
    </row>
    <row r="133">
      <c r="A133" s="32" t="n"/>
      <c r="B133" s="33" t="n"/>
      <c r="C133" s="33" t="n"/>
      <c r="D133" s="34" t="n"/>
      <c r="E133" s="33" t="n"/>
      <c r="F133" s="35" t="n"/>
      <c r="G133" s="36" t="n"/>
      <c r="H133" s="37" t="n"/>
      <c r="I133" s="38" t="n"/>
      <c r="J133" s="39">
        <f>IF(G133="","",HYPERLINK("https://wa.me/"&amp;G133,"Открыть чат"))</f>
        <v/>
      </c>
    </row>
    <row r="134">
      <c r="A134" s="32" t="n"/>
      <c r="B134" s="33" t="n"/>
      <c r="C134" s="33" t="n"/>
      <c r="D134" s="34" t="n"/>
      <c r="E134" s="33" t="n"/>
      <c r="F134" s="35" t="n"/>
      <c r="G134" s="36" t="n"/>
      <c r="H134" s="37" t="n"/>
      <c r="I134" s="38" t="n"/>
      <c r="J134" s="39">
        <f>IF(G134="","",HYPERLINK("https://wa.me/"&amp;G134,"Открыть чат"))</f>
        <v/>
      </c>
    </row>
    <row r="135">
      <c r="A135" s="32" t="n"/>
      <c r="B135" s="33" t="n"/>
      <c r="C135" s="33" t="n"/>
      <c r="D135" s="34" t="n"/>
      <c r="E135" s="33" t="n"/>
      <c r="F135" s="35" t="n"/>
      <c r="G135" s="36" t="n"/>
      <c r="H135" s="37" t="n"/>
      <c r="I135" s="38" t="n"/>
      <c r="J135" s="39">
        <f>IF(G135="","",HYPERLINK("https://wa.me/"&amp;G135,"Открыть чат"))</f>
        <v/>
      </c>
    </row>
    <row r="136">
      <c r="A136" s="32" t="n"/>
      <c r="B136" s="33" t="n"/>
      <c r="C136" s="33" t="n"/>
      <c r="D136" s="34" t="n"/>
      <c r="E136" s="33" t="n"/>
      <c r="F136" s="35" t="n"/>
      <c r="G136" s="36" t="n"/>
      <c r="H136" s="37" t="n"/>
      <c r="I136" s="38" t="n"/>
      <c r="J136" s="39">
        <f>IF(G136="","",HYPERLINK("https://wa.me/"&amp;G136,"Открыть чат"))</f>
        <v/>
      </c>
    </row>
    <row r="137">
      <c r="A137" s="32" t="n"/>
      <c r="B137" s="33" t="n"/>
      <c r="C137" s="33" t="n"/>
      <c r="D137" s="34" t="n"/>
      <c r="E137" s="33" t="n"/>
      <c r="F137" s="35" t="n"/>
      <c r="G137" s="36" t="n"/>
      <c r="H137" s="37" t="n"/>
      <c r="I137" s="38" t="n"/>
      <c r="J137" s="39">
        <f>IF(G137="","",HYPERLINK("https://wa.me/"&amp;G137,"Открыть чат"))</f>
        <v/>
      </c>
    </row>
    <row r="138">
      <c r="A138" s="32" t="n"/>
      <c r="B138" s="33" t="n"/>
      <c r="C138" s="33" t="n"/>
      <c r="D138" s="34" t="n"/>
      <c r="E138" s="33" t="n"/>
      <c r="F138" s="35" t="n"/>
      <c r="G138" s="36" t="n"/>
      <c r="H138" s="37" t="n"/>
      <c r="I138" s="38" t="n"/>
      <c r="J138" s="39">
        <f>IF(G138="","",HYPERLINK("https://wa.me/"&amp;G138,"Открыть чат"))</f>
        <v/>
      </c>
    </row>
    <row r="139">
      <c r="A139" s="32" t="n"/>
      <c r="B139" s="33" t="n"/>
      <c r="C139" s="33" t="n"/>
      <c r="D139" s="34" t="n"/>
      <c r="E139" s="33" t="n"/>
      <c r="F139" s="35" t="n"/>
      <c r="G139" s="36" t="n"/>
      <c r="H139" s="37" t="n"/>
      <c r="I139" s="38" t="n"/>
      <c r="J139" s="39">
        <f>IF(G139="","",HYPERLINK("https://wa.me/"&amp;G139,"Открыть чат"))</f>
        <v/>
      </c>
    </row>
    <row r="140">
      <c r="A140" s="32" t="n"/>
      <c r="B140" s="33" t="n"/>
      <c r="C140" s="33" t="n"/>
      <c r="D140" s="34" t="n"/>
      <c r="E140" s="33" t="n"/>
      <c r="F140" s="35" t="n"/>
      <c r="G140" s="36" t="n"/>
      <c r="H140" s="37" t="n"/>
      <c r="I140" s="38" t="n"/>
      <c r="J140" s="39">
        <f>IF(G140="","",HYPERLINK("https://wa.me/"&amp;G140,"Открыть чат"))</f>
        <v/>
      </c>
    </row>
    <row r="141">
      <c r="A141" s="32" t="n"/>
      <c r="B141" s="33" t="n"/>
      <c r="C141" s="33" t="n"/>
      <c r="D141" s="34" t="n"/>
      <c r="E141" s="33" t="n"/>
      <c r="F141" s="35" t="n"/>
      <c r="G141" s="36" t="n"/>
      <c r="H141" s="37" t="n"/>
      <c r="I141" s="38" t="n"/>
      <c r="J141" s="39">
        <f>IF(G141="","",HYPERLINK("https://wa.me/"&amp;G141,"Открыть чат"))</f>
        <v/>
      </c>
    </row>
    <row r="142">
      <c r="A142" s="32" t="n"/>
      <c r="B142" s="33" t="n"/>
      <c r="C142" s="33" t="n"/>
      <c r="D142" s="34" t="n"/>
      <c r="E142" s="33" t="n"/>
      <c r="F142" s="35" t="n"/>
      <c r="G142" s="36" t="n"/>
      <c r="H142" s="37" t="n"/>
      <c r="I142" s="38" t="n"/>
      <c r="J142" s="39">
        <f>IF(G142="","",HYPERLINK("https://wa.me/"&amp;G142,"Открыть чат"))</f>
        <v/>
      </c>
    </row>
    <row r="143">
      <c r="A143" s="32" t="n"/>
      <c r="B143" s="33" t="n"/>
      <c r="C143" s="33" t="n"/>
      <c r="D143" s="34" t="n"/>
      <c r="E143" s="33" t="n"/>
      <c r="F143" s="35" t="n"/>
      <c r="G143" s="36" t="n"/>
      <c r="H143" s="37" t="n"/>
      <c r="I143" s="38" t="n"/>
      <c r="J143" s="39">
        <f>IF(G143="","",HYPERLINK("https://wa.me/"&amp;G143,"Открыть чат"))</f>
        <v/>
      </c>
    </row>
    <row r="144">
      <c r="A144" s="32" t="n"/>
      <c r="B144" s="33" t="n"/>
      <c r="C144" s="33" t="n"/>
      <c r="D144" s="34" t="n"/>
      <c r="E144" s="33" t="n"/>
      <c r="F144" s="35" t="n"/>
      <c r="G144" s="36" t="n"/>
      <c r="H144" s="37" t="n"/>
      <c r="I144" s="38" t="n"/>
      <c r="J144" s="39">
        <f>IF(G144="","",HYPERLINK("https://wa.me/"&amp;G144,"Открыть чат"))</f>
        <v/>
      </c>
    </row>
    <row r="145">
      <c r="A145" s="32" t="n"/>
      <c r="B145" s="33" t="n"/>
      <c r="C145" s="33" t="n"/>
      <c r="D145" s="34" t="n"/>
      <c r="E145" s="33" t="n"/>
      <c r="F145" s="35" t="n"/>
      <c r="G145" s="36" t="n"/>
      <c r="H145" s="37" t="n"/>
      <c r="I145" s="38" t="n"/>
      <c r="J145" s="39">
        <f>IF(G145="","",HYPERLINK("https://wa.me/"&amp;G145,"Открыть чат"))</f>
        <v/>
      </c>
    </row>
    <row r="146">
      <c r="A146" s="32" t="n"/>
      <c r="B146" s="33" t="n"/>
      <c r="C146" s="33" t="n"/>
      <c r="D146" s="34" t="n"/>
      <c r="E146" s="33" t="n"/>
      <c r="F146" s="35" t="n"/>
      <c r="G146" s="36" t="n"/>
      <c r="H146" s="37" t="n"/>
      <c r="I146" s="38" t="n"/>
      <c r="J146" s="39">
        <f>IF(G146="","",HYPERLINK("https://wa.me/"&amp;G146,"Открыть чат"))</f>
        <v/>
      </c>
    </row>
    <row r="147">
      <c r="A147" s="32" t="n"/>
      <c r="B147" s="33" t="n"/>
      <c r="C147" s="33" t="n"/>
      <c r="D147" s="34" t="n"/>
      <c r="E147" s="33" t="n"/>
      <c r="F147" s="35" t="n"/>
      <c r="G147" s="36" t="n"/>
      <c r="H147" s="37" t="n"/>
      <c r="I147" s="38" t="n"/>
      <c r="J147" s="39">
        <f>IF(G147="","",HYPERLINK("https://wa.me/"&amp;G147,"Открыть чат"))</f>
        <v/>
      </c>
    </row>
    <row r="148">
      <c r="A148" s="32" t="n"/>
      <c r="B148" s="33" t="n"/>
      <c r="C148" s="33" t="n"/>
      <c r="D148" s="34" t="n"/>
      <c r="E148" s="33" t="n"/>
      <c r="F148" s="35" t="n"/>
      <c r="G148" s="36" t="n"/>
      <c r="H148" s="37" t="n"/>
      <c r="I148" s="38" t="n"/>
      <c r="J148" s="39">
        <f>IF(G148="","",HYPERLINK("https://wa.me/"&amp;G148,"Открыть чат"))</f>
        <v/>
      </c>
    </row>
    <row r="149">
      <c r="A149" s="32" t="n"/>
      <c r="B149" s="33" t="n"/>
      <c r="C149" s="33" t="n"/>
      <c r="D149" s="34" t="n"/>
      <c r="E149" s="33" t="n"/>
      <c r="F149" s="35" t="n"/>
      <c r="G149" s="36" t="n"/>
      <c r="H149" s="37" t="n"/>
      <c r="I149" s="38" t="n"/>
      <c r="J149" s="39">
        <f>IF(G149="","",HYPERLINK("https://wa.me/"&amp;G149,"Открыть чат"))</f>
        <v/>
      </c>
    </row>
    <row r="150">
      <c r="A150" s="32" t="n"/>
      <c r="B150" s="33" t="n"/>
      <c r="C150" s="33" t="n"/>
      <c r="D150" s="34" t="n"/>
      <c r="E150" s="33" t="n"/>
      <c r="F150" s="35" t="n"/>
      <c r="G150" s="36" t="n"/>
      <c r="H150" s="37" t="n"/>
      <c r="I150" s="38" t="n"/>
      <c r="J150" s="39">
        <f>IF(G150="","",HYPERLINK("https://wa.me/"&amp;G150,"Открыть чат"))</f>
        <v/>
      </c>
    </row>
    <row r="151">
      <c r="A151" s="32" t="n"/>
      <c r="B151" s="33" t="n"/>
      <c r="C151" s="33" t="n"/>
      <c r="D151" s="34" t="n"/>
      <c r="E151" s="33" t="n"/>
      <c r="F151" s="35" t="n"/>
      <c r="G151" s="36" t="n"/>
      <c r="H151" s="37" t="n"/>
      <c r="I151" s="38" t="n"/>
      <c r="J151" s="39">
        <f>IF(G151="","",HYPERLINK("https://wa.me/"&amp;G151,"Открыть чат"))</f>
        <v/>
      </c>
    </row>
    <row r="152">
      <c r="A152" s="32" t="n"/>
      <c r="B152" s="33" t="n"/>
      <c r="C152" s="33" t="n"/>
      <c r="D152" s="34" t="n"/>
      <c r="E152" s="33" t="n"/>
      <c r="F152" s="35" t="n"/>
      <c r="G152" s="36" t="n"/>
      <c r="H152" s="37" t="n"/>
      <c r="I152" s="38" t="n"/>
      <c r="J152" s="39">
        <f>IF(G152="","",HYPERLINK("https://wa.me/"&amp;G152,"Открыть чат"))</f>
        <v/>
      </c>
    </row>
    <row r="153">
      <c r="A153" s="32" t="n"/>
      <c r="B153" s="33" t="n"/>
      <c r="C153" s="33" t="n"/>
      <c r="D153" s="34" t="n"/>
      <c r="E153" s="33" t="n"/>
      <c r="F153" s="35" t="n"/>
      <c r="G153" s="36" t="n"/>
      <c r="H153" s="37" t="n"/>
      <c r="I153" s="38" t="n"/>
      <c r="J153" s="39">
        <f>IF(G153="","",HYPERLINK("https://wa.me/"&amp;G153,"Открыть чат"))</f>
        <v/>
      </c>
    </row>
    <row r="154">
      <c r="A154" s="32" t="n"/>
      <c r="B154" s="33" t="n"/>
      <c r="C154" s="33" t="n"/>
      <c r="D154" s="34" t="n"/>
      <c r="E154" s="33" t="n"/>
      <c r="F154" s="35" t="n"/>
      <c r="G154" s="36" t="n"/>
      <c r="H154" s="37" t="n"/>
      <c r="I154" s="38" t="n"/>
      <c r="J154" s="39">
        <f>IF(G154="","",HYPERLINK("https://wa.me/"&amp;G154,"Открыть чат"))</f>
        <v/>
      </c>
    </row>
    <row r="155">
      <c r="A155" s="32" t="n"/>
      <c r="B155" s="33" t="n"/>
      <c r="C155" s="33" t="n"/>
      <c r="D155" s="34" t="n"/>
      <c r="E155" s="33" t="n"/>
      <c r="F155" s="35" t="n"/>
      <c r="G155" s="36" t="n"/>
      <c r="H155" s="37" t="n"/>
      <c r="I155" s="38" t="n"/>
      <c r="J155" s="39">
        <f>IF(G155="","",HYPERLINK("https://wa.me/"&amp;G155,"Открыть чат"))</f>
        <v/>
      </c>
    </row>
    <row r="156">
      <c r="A156" s="32" t="n"/>
      <c r="B156" s="33" t="n"/>
      <c r="C156" s="33" t="n"/>
      <c r="D156" s="34" t="n"/>
      <c r="E156" s="33" t="n"/>
      <c r="F156" s="35" t="n"/>
      <c r="G156" s="36" t="n"/>
      <c r="H156" s="37" t="n"/>
      <c r="I156" s="38" t="n"/>
      <c r="J156" s="39">
        <f>IF(G156="","",HYPERLINK("https://wa.me/"&amp;G156,"Открыть чат"))</f>
        <v/>
      </c>
    </row>
    <row r="157">
      <c r="A157" s="32" t="n"/>
      <c r="B157" s="33" t="n"/>
      <c r="C157" s="33" t="n"/>
      <c r="D157" s="34" t="n"/>
      <c r="E157" s="33" t="n"/>
      <c r="F157" s="35" t="n"/>
      <c r="G157" s="36" t="n"/>
      <c r="H157" s="37" t="n"/>
      <c r="I157" s="38" t="n"/>
      <c r="J157" s="39">
        <f>IF(G157="","",HYPERLINK("https://wa.me/"&amp;G157,"Открыть чат"))</f>
        <v/>
      </c>
    </row>
    <row r="158">
      <c r="A158" s="32" t="n"/>
      <c r="B158" s="33" t="n"/>
      <c r="C158" s="33" t="n"/>
      <c r="D158" s="34" t="n"/>
      <c r="E158" s="33" t="n"/>
      <c r="F158" s="35" t="n"/>
      <c r="G158" s="36" t="n"/>
      <c r="H158" s="37" t="n"/>
      <c r="I158" s="38" t="n"/>
      <c r="J158" s="39">
        <f>IF(G158="","",HYPERLINK("https://wa.me/"&amp;G158,"Открыть чат"))</f>
        <v/>
      </c>
    </row>
    <row r="159">
      <c r="A159" s="32" t="n"/>
      <c r="B159" s="33" t="n"/>
      <c r="C159" s="33" t="n"/>
      <c r="D159" s="34" t="n"/>
      <c r="E159" s="33" t="n"/>
      <c r="F159" s="35" t="n"/>
      <c r="G159" s="36" t="n"/>
      <c r="H159" s="37" t="n"/>
      <c r="I159" s="38" t="n"/>
      <c r="J159" s="39">
        <f>IF(G159="","",HYPERLINK("https://wa.me/"&amp;G159,"Открыть чат"))</f>
        <v/>
      </c>
    </row>
    <row r="160">
      <c r="A160" s="32" t="n"/>
      <c r="B160" s="33" t="n"/>
      <c r="C160" s="33" t="n"/>
      <c r="D160" s="34" t="n"/>
      <c r="E160" s="33" t="n"/>
      <c r="F160" s="35" t="n"/>
      <c r="G160" s="36" t="n"/>
      <c r="H160" s="37" t="n"/>
      <c r="I160" s="38" t="n"/>
      <c r="J160" s="39">
        <f>IF(G160="","",HYPERLINK("https://wa.me/"&amp;G160,"Открыть чат"))</f>
        <v/>
      </c>
    </row>
    <row r="161">
      <c r="A161" s="32" t="n"/>
      <c r="B161" s="33" t="n"/>
      <c r="C161" s="33" t="n"/>
      <c r="D161" s="34" t="n"/>
      <c r="E161" s="33" t="n"/>
      <c r="F161" s="35" t="n"/>
      <c r="G161" s="36" t="n"/>
      <c r="H161" s="37" t="n"/>
      <c r="I161" s="38" t="n"/>
      <c r="J161" s="39">
        <f>IF(G161="","",HYPERLINK("https://wa.me/"&amp;G161,"Открыть чат"))</f>
        <v/>
      </c>
    </row>
    <row r="162">
      <c r="A162" s="32" t="n"/>
      <c r="B162" s="33" t="n"/>
      <c r="C162" s="33" t="n"/>
      <c r="D162" s="34" t="n"/>
      <c r="E162" s="33" t="n"/>
      <c r="F162" s="35" t="n"/>
      <c r="G162" s="36" t="n"/>
      <c r="H162" s="37" t="n"/>
      <c r="I162" s="38" t="n"/>
      <c r="J162" s="39">
        <f>IF(G162="","",HYPERLINK("https://wa.me/"&amp;G162,"Открыть чат"))</f>
        <v/>
      </c>
    </row>
    <row r="163">
      <c r="A163" s="32" t="n"/>
      <c r="B163" s="33" t="n"/>
      <c r="C163" s="33" t="n"/>
      <c r="D163" s="34" t="n"/>
      <c r="E163" s="33" t="n"/>
      <c r="F163" s="35" t="n"/>
      <c r="G163" s="36" t="n"/>
      <c r="H163" s="37" t="n"/>
      <c r="I163" s="38" t="n"/>
      <c r="J163" s="39">
        <f>IF(G163="","",HYPERLINK("https://wa.me/"&amp;G163,"Открыть чат"))</f>
        <v/>
      </c>
    </row>
    <row r="164">
      <c r="A164" s="32" t="n"/>
      <c r="B164" s="33" t="n"/>
      <c r="C164" s="33" t="n"/>
      <c r="D164" s="34" t="n"/>
      <c r="E164" s="33" t="n"/>
      <c r="F164" s="35" t="n"/>
      <c r="G164" s="36" t="n"/>
      <c r="H164" s="37" t="n"/>
      <c r="I164" s="38" t="n"/>
      <c r="J164" s="39">
        <f>IF(G164="","",HYPERLINK("https://wa.me/"&amp;G164,"Открыть чат"))</f>
        <v/>
      </c>
    </row>
    <row r="165">
      <c r="A165" s="32" t="n"/>
      <c r="B165" s="33" t="n"/>
      <c r="C165" s="33" t="n"/>
      <c r="D165" s="34" t="n"/>
      <c r="E165" s="33" t="n"/>
      <c r="F165" s="35" t="n"/>
      <c r="G165" s="36" t="n"/>
      <c r="H165" s="37" t="n"/>
      <c r="I165" s="38" t="n"/>
      <c r="J165" s="39">
        <f>IF(G165="","",HYPERLINK("https://wa.me/"&amp;G165,"Открыть чат"))</f>
        <v/>
      </c>
    </row>
    <row r="166">
      <c r="A166" s="32" t="n"/>
      <c r="B166" s="33" t="n"/>
      <c r="C166" s="33" t="n"/>
      <c r="D166" s="34" t="n"/>
      <c r="E166" s="33" t="n"/>
      <c r="F166" s="35" t="n"/>
      <c r="G166" s="36" t="n"/>
      <c r="H166" s="37" t="n"/>
      <c r="I166" s="38" t="n"/>
      <c r="J166" s="39">
        <f>IF(G166="","",HYPERLINK("https://wa.me/"&amp;G166,"Открыть чат"))</f>
        <v/>
      </c>
    </row>
    <row r="167">
      <c r="A167" s="32" t="n"/>
      <c r="B167" s="33" t="n"/>
      <c r="C167" s="33" t="n"/>
      <c r="D167" s="34" t="n"/>
      <c r="E167" s="33" t="n"/>
      <c r="F167" s="35" t="n"/>
      <c r="G167" s="36" t="n"/>
      <c r="H167" s="37" t="n"/>
      <c r="I167" s="38" t="n"/>
      <c r="J167" s="39">
        <f>IF(G167="","",HYPERLINK("https://wa.me/"&amp;G167,"Открыть чат"))</f>
        <v/>
      </c>
    </row>
    <row r="168">
      <c r="A168" s="32" t="n"/>
      <c r="B168" s="33" t="n"/>
      <c r="C168" s="33" t="n"/>
      <c r="D168" s="34" t="n"/>
      <c r="E168" s="33" t="n"/>
      <c r="F168" s="35" t="n"/>
      <c r="G168" s="36" t="n"/>
      <c r="H168" s="37" t="n"/>
      <c r="I168" s="38" t="n"/>
      <c r="J168" s="39">
        <f>IF(G168="","",HYPERLINK("https://wa.me/"&amp;G168,"Открыть чат"))</f>
        <v/>
      </c>
    </row>
    <row r="169">
      <c r="A169" s="32" t="n"/>
      <c r="B169" s="33" t="n"/>
      <c r="C169" s="33" t="n"/>
      <c r="D169" s="34" t="n"/>
      <c r="E169" s="33" t="n"/>
      <c r="F169" s="35" t="n"/>
      <c r="G169" s="36" t="n"/>
      <c r="H169" s="37" t="n"/>
      <c r="I169" s="38" t="n"/>
      <c r="J169" s="39">
        <f>IF(G169="","",HYPERLINK("https://wa.me/"&amp;G169,"Открыть чат"))</f>
        <v/>
      </c>
    </row>
    <row r="170">
      <c r="A170" s="32" t="n"/>
      <c r="B170" s="33" t="n"/>
      <c r="C170" s="33" t="n"/>
      <c r="D170" s="34" t="n"/>
      <c r="E170" s="33" t="n"/>
      <c r="F170" s="35" t="n"/>
      <c r="G170" s="36" t="n"/>
      <c r="H170" s="37" t="n"/>
      <c r="I170" s="38" t="n"/>
      <c r="J170" s="39">
        <f>IF(G170="","",HYPERLINK("https://wa.me/"&amp;G170,"Открыть чат"))</f>
        <v/>
      </c>
    </row>
    <row r="171">
      <c r="A171" s="32" t="n"/>
      <c r="B171" s="33" t="n"/>
      <c r="C171" s="33" t="n"/>
      <c r="D171" s="34" t="n"/>
      <c r="E171" s="33" t="n"/>
      <c r="F171" s="35" t="n"/>
      <c r="G171" s="36" t="n"/>
      <c r="H171" s="37" t="n"/>
      <c r="I171" s="38" t="n"/>
      <c r="J171" s="39">
        <f>IF(G171="","",HYPERLINK("https://wa.me/"&amp;G171,"Открыть чат"))</f>
        <v/>
      </c>
    </row>
    <row r="172">
      <c r="A172" s="32" t="n"/>
      <c r="B172" s="33" t="n"/>
      <c r="C172" s="33" t="n"/>
      <c r="D172" s="34" t="n"/>
      <c r="E172" s="33" t="n"/>
      <c r="F172" s="35" t="n"/>
      <c r="G172" s="36" t="n"/>
      <c r="H172" s="37" t="n"/>
      <c r="I172" s="38" t="n"/>
      <c r="J172" s="39">
        <f>IF(G172="","",HYPERLINK("https://wa.me/"&amp;G172,"Открыть чат"))</f>
        <v/>
      </c>
    </row>
    <row r="173">
      <c r="A173" s="32" t="n"/>
      <c r="B173" s="33" t="n"/>
      <c r="C173" s="33" t="n"/>
      <c r="D173" s="34" t="n"/>
      <c r="E173" s="33" t="n"/>
      <c r="F173" s="35" t="n"/>
      <c r="G173" s="36" t="n"/>
      <c r="H173" s="37" t="n"/>
      <c r="I173" s="38" t="n"/>
      <c r="J173" s="39">
        <f>IF(G173="","",HYPERLINK("https://wa.me/"&amp;G173,"Открыть чат"))</f>
        <v/>
      </c>
    </row>
    <row r="174">
      <c r="A174" s="32" t="n"/>
      <c r="B174" s="33" t="n"/>
      <c r="C174" s="33" t="n"/>
      <c r="D174" s="34" t="n"/>
      <c r="E174" s="33" t="n"/>
      <c r="F174" s="35" t="n"/>
      <c r="G174" s="36" t="n"/>
      <c r="H174" s="37" t="n"/>
      <c r="I174" s="38" t="n"/>
      <c r="J174" s="39">
        <f>IF(G174="","",HYPERLINK("https://wa.me/"&amp;G174,"Открыть чат"))</f>
        <v/>
      </c>
    </row>
    <row r="175">
      <c r="A175" s="32" t="n"/>
      <c r="B175" s="33" t="n"/>
      <c r="C175" s="33" t="n"/>
      <c r="D175" s="34" t="n"/>
      <c r="E175" s="33" t="n"/>
      <c r="F175" s="35" t="n"/>
      <c r="G175" s="36" t="n"/>
      <c r="H175" s="37" t="n"/>
      <c r="I175" s="38" t="n"/>
      <c r="J175" s="39">
        <f>IF(G175="","",HYPERLINK("https://wa.me/"&amp;G175,"Открыть чат"))</f>
        <v/>
      </c>
    </row>
    <row r="176">
      <c r="A176" s="32" t="n"/>
      <c r="B176" s="33" t="n"/>
      <c r="C176" s="33" t="n"/>
      <c r="D176" s="34" t="n"/>
      <c r="E176" s="33" t="n"/>
      <c r="F176" s="35" t="n"/>
      <c r="G176" s="36" t="n"/>
      <c r="H176" s="37" t="n"/>
      <c r="I176" s="38" t="n"/>
      <c r="J176" s="39">
        <f>IF(G176="","",HYPERLINK("https://wa.me/"&amp;G176,"Открыть чат"))</f>
        <v/>
      </c>
    </row>
    <row r="177">
      <c r="A177" s="32" t="n"/>
      <c r="B177" s="33" t="n"/>
      <c r="C177" s="33" t="n"/>
      <c r="D177" s="34" t="n"/>
      <c r="E177" s="33" t="n"/>
      <c r="F177" s="35" t="n"/>
      <c r="G177" s="36" t="n"/>
      <c r="H177" s="37" t="n"/>
      <c r="I177" s="38" t="n"/>
      <c r="J177" s="39">
        <f>IF(G177="","",HYPERLINK("https://wa.me/"&amp;G177,"Открыть чат"))</f>
        <v/>
      </c>
    </row>
    <row r="178">
      <c r="A178" s="32" t="n"/>
      <c r="B178" s="33" t="n"/>
      <c r="C178" s="33" t="n"/>
      <c r="D178" s="34" t="n"/>
      <c r="E178" s="33" t="n"/>
      <c r="F178" s="35" t="n"/>
      <c r="G178" s="36" t="n"/>
      <c r="H178" s="37" t="n"/>
      <c r="I178" s="38" t="n"/>
      <c r="J178" s="39">
        <f>IF(G178="","",HYPERLINK("https://wa.me/"&amp;G178,"Открыть чат"))</f>
        <v/>
      </c>
    </row>
    <row r="179">
      <c r="A179" s="32" t="n"/>
      <c r="B179" s="33" t="n"/>
      <c r="C179" s="33" t="n"/>
      <c r="D179" s="34" t="n"/>
      <c r="E179" s="33" t="n"/>
      <c r="F179" s="35" t="n"/>
      <c r="G179" s="36" t="n"/>
      <c r="H179" s="37" t="n"/>
      <c r="I179" s="38" t="n"/>
      <c r="J179" s="39">
        <f>IF(G179="","",HYPERLINK("https://wa.me/"&amp;G179,"Открыть чат"))</f>
        <v/>
      </c>
    </row>
    <row r="180">
      <c r="A180" s="32" t="n"/>
      <c r="B180" s="33" t="n"/>
      <c r="C180" s="33" t="n"/>
      <c r="D180" s="34" t="n"/>
      <c r="E180" s="33" t="n"/>
      <c r="F180" s="35" t="n"/>
      <c r="G180" s="36" t="n"/>
      <c r="H180" s="37" t="n"/>
      <c r="I180" s="38" t="n"/>
      <c r="J180" s="39">
        <f>IF(G180="","",HYPERLINK("https://wa.me/"&amp;G180,"Открыть чат"))</f>
        <v/>
      </c>
    </row>
    <row r="181">
      <c r="A181" s="32" t="n"/>
      <c r="B181" s="33" t="n"/>
      <c r="C181" s="33" t="n"/>
      <c r="D181" s="34" t="n"/>
      <c r="E181" s="33" t="n"/>
      <c r="F181" s="35" t="n"/>
      <c r="G181" s="36" t="n"/>
      <c r="H181" s="37" t="n"/>
      <c r="I181" s="38" t="n"/>
      <c r="J181" s="39">
        <f>IF(G181="","",HYPERLINK("https://wa.me/"&amp;G181,"Открыть чат"))</f>
        <v/>
      </c>
    </row>
    <row r="182">
      <c r="A182" s="32" t="n"/>
      <c r="B182" s="33" t="n"/>
      <c r="C182" s="33" t="n"/>
      <c r="D182" s="34" t="n"/>
      <c r="E182" s="33" t="n"/>
      <c r="F182" s="35" t="n"/>
      <c r="G182" s="36" t="n"/>
      <c r="H182" s="37" t="n"/>
      <c r="I182" s="38" t="n"/>
      <c r="J182" s="39">
        <f>IF(G182="","",HYPERLINK("https://wa.me/"&amp;G182,"Открыть чат"))</f>
        <v/>
      </c>
    </row>
    <row r="183">
      <c r="A183" s="32" t="n"/>
      <c r="B183" s="33" t="n"/>
      <c r="C183" s="33" t="n"/>
      <c r="D183" s="34" t="n"/>
      <c r="E183" s="33" t="n"/>
      <c r="F183" s="35" t="n"/>
      <c r="G183" s="36" t="n"/>
      <c r="H183" s="37" t="n"/>
      <c r="I183" s="38" t="n"/>
      <c r="J183" s="39">
        <f>IF(G183="","",HYPERLINK("https://wa.me/"&amp;G183,"Открыть чат"))</f>
        <v/>
      </c>
    </row>
    <row r="184">
      <c r="A184" s="32" t="n"/>
      <c r="B184" s="33" t="n"/>
      <c r="C184" s="33" t="n"/>
      <c r="D184" s="34" t="n"/>
      <c r="E184" s="33" t="n"/>
      <c r="F184" s="35" t="n"/>
      <c r="G184" s="36" t="n"/>
      <c r="H184" s="37" t="n"/>
      <c r="I184" s="38" t="n"/>
      <c r="J184" s="39">
        <f>IF(G184="","",HYPERLINK("https://wa.me/"&amp;G184,"Открыть чат"))</f>
        <v/>
      </c>
    </row>
    <row r="185">
      <c r="A185" s="32" t="n"/>
      <c r="B185" s="33" t="n"/>
      <c r="C185" s="33" t="n"/>
      <c r="D185" s="34" t="n"/>
      <c r="E185" s="33" t="n"/>
      <c r="F185" s="35" t="n"/>
      <c r="G185" s="36" t="n"/>
      <c r="H185" s="37" t="n"/>
      <c r="I185" s="38" t="n"/>
      <c r="J185" s="39">
        <f>IF(G185="","",HYPERLINK("https://wa.me/"&amp;G185,"Открыть чат"))</f>
        <v/>
      </c>
    </row>
    <row r="186">
      <c r="A186" s="32" t="n"/>
      <c r="B186" s="33" t="n"/>
      <c r="C186" s="33" t="n"/>
      <c r="D186" s="34" t="n"/>
      <c r="E186" s="33" t="n"/>
      <c r="F186" s="35" t="n"/>
      <c r="G186" s="36" t="n"/>
      <c r="H186" s="37" t="n"/>
      <c r="I186" s="38" t="n"/>
      <c r="J186" s="39">
        <f>IF(G186="","",HYPERLINK("https://wa.me/"&amp;G186,"Открыть чат"))</f>
        <v/>
      </c>
    </row>
    <row r="187">
      <c r="A187" s="32" t="n"/>
      <c r="B187" s="33" t="n"/>
      <c r="C187" s="33" t="n"/>
      <c r="D187" s="34" t="n"/>
      <c r="E187" s="33" t="n"/>
      <c r="F187" s="35" t="n"/>
      <c r="G187" s="36" t="n"/>
      <c r="H187" s="37" t="n"/>
      <c r="I187" s="38" t="n"/>
      <c r="J187" s="39">
        <f>IF(G187="","",HYPERLINK("https://wa.me/"&amp;G187,"Открыть чат"))</f>
        <v/>
      </c>
    </row>
    <row r="188">
      <c r="A188" s="32" t="n"/>
      <c r="B188" s="33" t="n"/>
      <c r="C188" s="33" t="n"/>
      <c r="D188" s="34" t="n"/>
      <c r="E188" s="33" t="n"/>
      <c r="F188" s="35" t="n"/>
      <c r="G188" s="36" t="n"/>
      <c r="H188" s="37" t="n"/>
      <c r="I188" s="38" t="n"/>
      <c r="J188" s="39">
        <f>IF(G188="","",HYPERLINK("https://wa.me/"&amp;G188,"Открыть чат"))</f>
        <v/>
      </c>
    </row>
    <row r="189">
      <c r="A189" s="32" t="n"/>
      <c r="B189" s="33" t="n"/>
      <c r="C189" s="33" t="n"/>
      <c r="D189" s="34" t="n"/>
      <c r="E189" s="33" t="n"/>
      <c r="F189" s="35" t="n"/>
      <c r="G189" s="36" t="n"/>
      <c r="H189" s="37" t="n"/>
      <c r="I189" s="38" t="n"/>
      <c r="J189" s="39">
        <f>IF(G189="","",HYPERLINK("https://wa.me/"&amp;G189,"Открыть чат"))</f>
        <v/>
      </c>
    </row>
    <row r="190">
      <c r="A190" s="32" t="n"/>
      <c r="B190" s="33" t="n"/>
      <c r="C190" s="33" t="n"/>
      <c r="D190" s="34" t="n"/>
      <c r="E190" s="33" t="n"/>
      <c r="F190" s="35" t="n"/>
      <c r="G190" s="36" t="n"/>
      <c r="H190" s="37" t="n"/>
      <c r="I190" s="38" t="n"/>
      <c r="J190" s="39">
        <f>IF(G190="","",HYPERLINK("https://wa.me/"&amp;G190,"Открыть чат"))</f>
        <v/>
      </c>
    </row>
    <row r="191">
      <c r="A191" s="32" t="n"/>
      <c r="B191" s="33" t="n"/>
      <c r="C191" s="33" t="n"/>
      <c r="D191" s="34" t="n"/>
      <c r="E191" s="33" t="n"/>
      <c r="F191" s="35" t="n"/>
      <c r="G191" s="36" t="n"/>
      <c r="H191" s="37" t="n"/>
      <c r="I191" s="38" t="n"/>
      <c r="J191" s="39">
        <f>IF(G191="","",HYPERLINK("https://wa.me/"&amp;G191,"Открыть чат"))</f>
        <v/>
      </c>
    </row>
    <row r="192">
      <c r="A192" s="32" t="n"/>
      <c r="B192" s="33" t="n"/>
      <c r="C192" s="33" t="n"/>
      <c r="D192" s="34" t="n"/>
      <c r="E192" s="33" t="n"/>
      <c r="F192" s="35" t="n"/>
      <c r="G192" s="36" t="n"/>
      <c r="H192" s="37" t="n"/>
      <c r="I192" s="38" t="n"/>
      <c r="J192" s="39">
        <f>IF(G192="","",HYPERLINK("https://wa.me/"&amp;G192,"Открыть чат"))</f>
        <v/>
      </c>
    </row>
    <row r="193">
      <c r="A193" s="32" t="n"/>
      <c r="B193" s="33" t="n"/>
      <c r="C193" s="33" t="n"/>
      <c r="D193" s="34" t="n"/>
      <c r="E193" s="33" t="n"/>
      <c r="F193" s="35" t="n"/>
      <c r="G193" s="36" t="n"/>
      <c r="H193" s="37" t="n"/>
      <c r="I193" s="38" t="n"/>
      <c r="J193" s="39">
        <f>IF(G193="","",HYPERLINK("https://wa.me/"&amp;G193,"Открыть чат"))</f>
        <v/>
      </c>
    </row>
    <row r="194">
      <c r="A194" s="32" t="n"/>
      <c r="B194" s="33" t="n"/>
      <c r="C194" s="33" t="n"/>
      <c r="D194" s="34" t="n"/>
      <c r="E194" s="33" t="n"/>
      <c r="F194" s="35" t="n"/>
      <c r="G194" s="36" t="n"/>
      <c r="H194" s="37" t="n"/>
      <c r="I194" s="38" t="n"/>
      <c r="J194" s="39">
        <f>IF(G194="","",HYPERLINK("https://wa.me/"&amp;G194,"Открыть чат"))</f>
        <v/>
      </c>
    </row>
    <row r="195">
      <c r="A195" s="32" t="n"/>
      <c r="B195" s="33" t="n"/>
      <c r="C195" s="33" t="n"/>
      <c r="D195" s="34" t="n"/>
      <c r="E195" s="33" t="n"/>
      <c r="F195" s="35" t="n"/>
      <c r="G195" s="36" t="n"/>
      <c r="H195" s="37" t="n"/>
      <c r="I195" s="38" t="n"/>
      <c r="J195" s="39">
        <f>IF(G195="","",HYPERLINK("https://wa.me/"&amp;G195,"Открыть чат"))</f>
        <v/>
      </c>
    </row>
    <row r="196">
      <c r="A196" s="32" t="n"/>
      <c r="B196" s="33" t="n"/>
      <c r="C196" s="33" t="n"/>
      <c r="D196" s="34" t="n"/>
      <c r="E196" s="33" t="n"/>
      <c r="F196" s="35" t="n"/>
      <c r="G196" s="36" t="n"/>
      <c r="H196" s="37" t="n"/>
      <c r="I196" s="38" t="n"/>
      <c r="J196" s="39">
        <f>IF(G196="","",HYPERLINK("https://wa.me/"&amp;G196,"Открыть чат"))</f>
        <v/>
      </c>
    </row>
    <row r="197">
      <c r="A197" s="32" t="n"/>
      <c r="B197" s="33" t="n"/>
      <c r="C197" s="33" t="n"/>
      <c r="D197" s="34" t="n"/>
      <c r="E197" s="33" t="n"/>
      <c r="F197" s="35" t="n"/>
      <c r="G197" s="36" t="n"/>
      <c r="H197" s="37" t="n"/>
      <c r="I197" s="38" t="n"/>
      <c r="J197" s="39">
        <f>IF(G197="","",HYPERLINK("https://wa.me/"&amp;G197,"Открыть чат"))</f>
        <v/>
      </c>
    </row>
    <row r="198">
      <c r="A198" s="32" t="n"/>
      <c r="B198" s="33" t="n"/>
      <c r="C198" s="33" t="n"/>
      <c r="D198" s="34" t="n"/>
      <c r="E198" s="33" t="n"/>
      <c r="F198" s="35" t="n"/>
      <c r="G198" s="36" t="n"/>
      <c r="H198" s="37" t="n"/>
      <c r="I198" s="38" t="n"/>
      <c r="J198" s="39">
        <f>IF(G198="","",HYPERLINK("https://wa.me/"&amp;G198,"Открыть чат"))</f>
        <v/>
      </c>
    </row>
    <row r="199">
      <c r="A199" s="32" t="n"/>
      <c r="B199" s="33" t="n"/>
      <c r="C199" s="33" t="n"/>
      <c r="D199" s="34" t="n"/>
      <c r="E199" s="33" t="n"/>
      <c r="F199" s="35" t="n"/>
      <c r="G199" s="36" t="n"/>
      <c r="H199" s="37" t="n"/>
      <c r="I199" s="38" t="n"/>
      <c r="J199" s="39">
        <f>IF(G199="","",HYPERLINK("https://wa.me/"&amp;G199,"Открыть чат"))</f>
        <v/>
      </c>
    </row>
    <row r="200">
      <c r="A200" s="32" t="n"/>
      <c r="B200" s="33" t="n"/>
      <c r="C200" s="33" t="n"/>
      <c r="D200" s="34" t="n"/>
      <c r="E200" s="33" t="n"/>
      <c r="F200" s="35" t="n"/>
      <c r="G200" s="36" t="n"/>
      <c r="H200" s="37" t="n"/>
      <c r="I200" s="38" t="n"/>
      <c r="J200" s="39">
        <f>IF(G200="","",HYPERLINK("https://wa.me/"&amp;G200,"Открыть чат"))</f>
        <v/>
      </c>
    </row>
    <row r="201">
      <c r="A201" s="32" t="n"/>
      <c r="B201" s="33" t="n"/>
      <c r="C201" s="33" t="n"/>
      <c r="D201" s="34" t="n"/>
      <c r="E201" s="33" t="n"/>
      <c r="F201" s="35" t="n"/>
      <c r="G201" s="36" t="n"/>
      <c r="H201" s="37" t="n"/>
      <c r="I201" s="38" t="n"/>
      <c r="J201" s="39">
        <f>IF(G201="","",HYPERLINK("https://wa.me/"&amp;G201,"Открыть чат"))</f>
        <v/>
      </c>
    </row>
    <row r="202">
      <c r="A202" s="32" t="n"/>
      <c r="B202" s="33" t="n"/>
      <c r="C202" s="33" t="n"/>
      <c r="D202" s="34" t="n"/>
      <c r="E202" s="33" t="n"/>
      <c r="F202" s="35" t="n"/>
      <c r="G202" s="36" t="n"/>
      <c r="H202" s="37" t="n"/>
      <c r="I202" s="38" t="n"/>
      <c r="J202" s="39">
        <f>IF(G202="","",HYPERLINK("https://wa.me/"&amp;G202,"Открыть чат"))</f>
        <v/>
      </c>
    </row>
    <row r="203">
      <c r="A203" s="32" t="n"/>
      <c r="B203" s="33" t="n"/>
      <c r="C203" s="33" t="n"/>
      <c r="D203" s="34" t="n"/>
      <c r="E203" s="33" t="n"/>
      <c r="F203" s="35" t="n"/>
      <c r="G203" s="36" t="n"/>
      <c r="H203" s="37" t="n"/>
      <c r="I203" s="38" t="n"/>
      <c r="J203" s="39">
        <f>IF(G203="","",HYPERLINK("https://wa.me/"&amp;G203,"Открыть чат"))</f>
        <v/>
      </c>
    </row>
    <row r="204">
      <c r="A204" s="32" t="n"/>
      <c r="B204" s="33" t="n"/>
      <c r="C204" s="33" t="n"/>
      <c r="D204" s="34" t="n"/>
      <c r="E204" s="33" t="n"/>
      <c r="F204" s="35" t="n"/>
      <c r="G204" s="36" t="n"/>
      <c r="H204" s="37" t="n"/>
      <c r="I204" s="38" t="n"/>
      <c r="J204" s="39">
        <f>IF(G204="","",HYPERLINK("https://wa.me/"&amp;G204,"Открыть чат"))</f>
        <v/>
      </c>
    </row>
    <row r="205">
      <c r="A205" s="32" t="n"/>
      <c r="B205" s="33" t="n"/>
      <c r="C205" s="33" t="n"/>
      <c r="D205" s="34" t="n"/>
      <c r="E205" s="33" t="n"/>
      <c r="F205" s="35" t="n"/>
      <c r="G205" s="36" t="n"/>
      <c r="H205" s="37" t="n"/>
      <c r="I205" s="38" t="n"/>
      <c r="J205" s="39">
        <f>IF(G205="","",HYPERLINK("https://wa.me/"&amp;G205,"Открыть чат"))</f>
        <v/>
      </c>
    </row>
    <row r="206">
      <c r="A206" s="32" t="n"/>
      <c r="B206" s="33" t="n"/>
      <c r="C206" s="33" t="n"/>
      <c r="D206" s="34" t="n"/>
      <c r="E206" s="33" t="n"/>
      <c r="F206" s="35" t="n"/>
      <c r="G206" s="36" t="n"/>
      <c r="H206" s="37" t="n"/>
      <c r="I206" s="38" t="n"/>
      <c r="J206" s="39">
        <f>IF(G206="","",HYPERLINK("https://wa.me/"&amp;G206,"Открыть чат"))</f>
        <v/>
      </c>
    </row>
    <row r="207">
      <c r="A207" s="32" t="n"/>
      <c r="B207" s="33" t="n"/>
      <c r="C207" s="33" t="n"/>
      <c r="D207" s="34" t="n"/>
      <c r="E207" s="33" t="n"/>
      <c r="F207" s="35" t="n"/>
      <c r="G207" s="36" t="n"/>
      <c r="H207" s="37" t="n"/>
      <c r="I207" s="38" t="n"/>
      <c r="J207" s="39">
        <f>IF(G207="","",HYPERLINK("https://wa.me/"&amp;G207,"Открыть чат"))</f>
        <v/>
      </c>
    </row>
    <row r="208">
      <c r="A208" s="32" t="n"/>
      <c r="B208" s="33" t="n"/>
      <c r="C208" s="33" t="n"/>
      <c r="D208" s="34" t="n"/>
      <c r="E208" s="33" t="n"/>
      <c r="F208" s="35" t="n"/>
      <c r="G208" s="36" t="n"/>
      <c r="H208" s="37" t="n"/>
      <c r="I208" s="38" t="n"/>
      <c r="J208" s="39">
        <f>IF(G208="","",HYPERLINK("https://wa.me/"&amp;G208,"Открыть чат"))</f>
        <v/>
      </c>
    </row>
    <row r="209">
      <c r="A209" s="32" t="n"/>
      <c r="B209" s="33" t="n"/>
      <c r="C209" s="33" t="n"/>
      <c r="D209" s="34" t="n"/>
      <c r="E209" s="33" t="n"/>
      <c r="F209" s="35" t="n"/>
      <c r="G209" s="36" t="n"/>
      <c r="H209" s="37" t="n"/>
      <c r="I209" s="38" t="n"/>
      <c r="J209" s="39">
        <f>IF(G209="","",HYPERLINK("https://wa.me/"&amp;G209,"Открыть чат"))</f>
        <v/>
      </c>
    </row>
    <row r="210">
      <c r="A210" s="32" t="n"/>
      <c r="B210" s="33" t="n"/>
      <c r="C210" s="33" t="n"/>
      <c r="D210" s="34" t="n"/>
      <c r="E210" s="33" t="n"/>
      <c r="F210" s="35" t="n"/>
      <c r="G210" s="36" t="n"/>
      <c r="H210" s="37" t="n"/>
      <c r="I210" s="38" t="n"/>
      <c r="J210" s="39">
        <f>IF(G210="","",HYPERLINK("https://wa.me/"&amp;G210,"Открыть чат"))</f>
        <v/>
      </c>
    </row>
    <row r="211">
      <c r="A211" s="32" t="n"/>
      <c r="B211" s="33" t="n"/>
      <c r="C211" s="33" t="n"/>
      <c r="D211" s="34" t="n"/>
      <c r="E211" s="33" t="n"/>
      <c r="F211" s="35" t="n"/>
      <c r="G211" s="36" t="n"/>
      <c r="H211" s="37" t="n"/>
      <c r="I211" s="38" t="n"/>
      <c r="J211" s="39">
        <f>IF(G211="","",HYPERLINK("https://wa.me/"&amp;G211,"Открыть чат"))</f>
        <v/>
      </c>
    </row>
    <row r="212">
      <c r="A212" s="32" t="n"/>
      <c r="B212" s="33" t="n"/>
      <c r="C212" s="33" t="n"/>
      <c r="D212" s="34" t="n"/>
      <c r="E212" s="33" t="n"/>
      <c r="F212" s="35" t="n"/>
      <c r="G212" s="36" t="n"/>
      <c r="H212" s="37" t="n"/>
      <c r="I212" s="38" t="n"/>
      <c r="J212" s="39">
        <f>IF(G212="","",HYPERLINK("https://wa.me/"&amp;G212,"Открыть чат"))</f>
        <v/>
      </c>
    </row>
    <row r="213">
      <c r="A213" s="32" t="n"/>
      <c r="B213" s="33" t="n"/>
      <c r="C213" s="33" t="n"/>
      <c r="D213" s="34" t="n"/>
      <c r="E213" s="33" t="n"/>
      <c r="F213" s="35" t="n"/>
      <c r="G213" s="36" t="n"/>
      <c r="H213" s="37" t="n"/>
      <c r="I213" s="38" t="n"/>
      <c r="J213" s="39">
        <f>IF(G213="","",HYPERLINK("https://wa.me/"&amp;G213,"Открыть чат"))</f>
        <v/>
      </c>
    </row>
    <row r="214">
      <c r="A214" s="32" t="n"/>
      <c r="B214" s="33" t="n"/>
      <c r="C214" s="33" t="n"/>
      <c r="D214" s="34" t="n"/>
      <c r="E214" s="33" t="n"/>
      <c r="F214" s="35" t="n"/>
      <c r="G214" s="36" t="n"/>
      <c r="H214" s="37" t="n"/>
      <c r="I214" s="38" t="n"/>
      <c r="J214" s="39">
        <f>IF(G214="","",HYPERLINK("https://wa.me/"&amp;G214,"Открыть чат"))</f>
        <v/>
      </c>
    </row>
    <row r="215">
      <c r="A215" s="32" t="n"/>
      <c r="B215" s="33" t="n"/>
      <c r="C215" s="33" t="n"/>
      <c r="D215" s="34" t="n"/>
      <c r="E215" s="33" t="n"/>
      <c r="F215" s="35" t="n"/>
      <c r="G215" s="36" t="n"/>
      <c r="H215" s="37" t="n"/>
      <c r="I215" s="38" t="n"/>
      <c r="J215" s="39">
        <f>IF(G215="","",HYPERLINK("https://wa.me/"&amp;G215,"Открыть чат"))</f>
        <v/>
      </c>
    </row>
    <row r="216">
      <c r="A216" s="32" t="n"/>
      <c r="B216" s="33" t="n"/>
      <c r="C216" s="33" t="n"/>
      <c r="D216" s="34" t="n"/>
      <c r="E216" s="33" t="n"/>
      <c r="F216" s="35" t="n"/>
      <c r="G216" s="36" t="n"/>
      <c r="H216" s="37" t="n"/>
      <c r="I216" s="38" t="n"/>
      <c r="J216" s="39">
        <f>IF(G216="","",HYPERLINK("https://wa.me/"&amp;G216,"Открыть чат"))</f>
        <v/>
      </c>
    </row>
    <row r="217">
      <c r="A217" s="32" t="n"/>
      <c r="B217" s="33" t="n"/>
      <c r="C217" s="33" t="n"/>
      <c r="D217" s="34" t="n"/>
      <c r="E217" s="33" t="n"/>
      <c r="F217" s="35" t="n"/>
      <c r="G217" s="36" t="n"/>
      <c r="H217" s="37" t="n"/>
      <c r="I217" s="38" t="n"/>
      <c r="J217" s="39">
        <f>IF(G217="","",HYPERLINK("https://wa.me/"&amp;G217,"Открыть чат"))</f>
        <v/>
      </c>
    </row>
    <row r="218">
      <c r="A218" s="32" t="n"/>
      <c r="B218" s="33" t="n"/>
      <c r="C218" s="33" t="n"/>
      <c r="D218" s="34" t="n"/>
      <c r="E218" s="33" t="n"/>
      <c r="F218" s="35" t="n"/>
      <c r="G218" s="36" t="n"/>
      <c r="H218" s="37" t="n"/>
      <c r="I218" s="38" t="n"/>
      <c r="J218" s="39">
        <f>IF(G218="","",HYPERLINK("https://wa.me/"&amp;G218,"Открыть чат"))</f>
        <v/>
      </c>
    </row>
    <row r="219">
      <c r="A219" s="32" t="n"/>
      <c r="B219" s="33" t="n"/>
      <c r="C219" s="33" t="n"/>
      <c r="D219" s="34" t="n"/>
      <c r="E219" s="33" t="n"/>
      <c r="F219" s="35" t="n"/>
      <c r="G219" s="36" t="n"/>
      <c r="H219" s="37" t="n"/>
      <c r="I219" s="38" t="n"/>
      <c r="J219" s="39">
        <f>IF(G219="","",HYPERLINK("https://wa.me/"&amp;G219,"Открыть чат"))</f>
        <v/>
      </c>
    </row>
    <row r="220">
      <c r="A220" s="32" t="n"/>
      <c r="B220" s="33" t="n"/>
      <c r="C220" s="33" t="n"/>
      <c r="D220" s="34" t="n"/>
      <c r="E220" s="33" t="n"/>
      <c r="F220" s="35" t="n"/>
      <c r="G220" s="36" t="n"/>
      <c r="H220" s="37" t="n"/>
      <c r="I220" s="38" t="n"/>
      <c r="J220" s="39">
        <f>IF(G220="","",HYPERLINK("https://wa.me/"&amp;G220,"Открыть чат"))</f>
        <v/>
      </c>
    </row>
    <row r="221">
      <c r="A221" s="32" t="n"/>
      <c r="B221" s="33" t="n"/>
      <c r="C221" s="33" t="n"/>
      <c r="D221" s="34" t="n"/>
      <c r="E221" s="33" t="n"/>
      <c r="F221" s="35" t="n"/>
      <c r="G221" s="36" t="n"/>
      <c r="H221" s="37" t="n"/>
      <c r="I221" s="38" t="n"/>
      <c r="J221" s="39">
        <f>IF(G221="","",HYPERLINK("https://wa.me/"&amp;G221,"Открыть чат"))</f>
        <v/>
      </c>
    </row>
    <row r="222">
      <c r="A222" s="32" t="n"/>
      <c r="B222" s="33" t="n"/>
      <c r="C222" s="33" t="n"/>
      <c r="D222" s="34" t="n"/>
      <c r="E222" s="33" t="n"/>
      <c r="F222" s="35" t="n"/>
      <c r="G222" s="36" t="n"/>
      <c r="H222" s="37" t="n"/>
      <c r="I222" s="38" t="n"/>
      <c r="J222" s="39">
        <f>IF(G222="","",HYPERLINK("https://wa.me/"&amp;G222,"Открыть чат"))</f>
        <v/>
      </c>
    </row>
    <row r="223">
      <c r="A223" s="32" t="n"/>
      <c r="B223" s="33" t="n"/>
      <c r="C223" s="33" t="n"/>
      <c r="D223" s="34" t="n"/>
      <c r="E223" s="33" t="n"/>
      <c r="F223" s="35" t="n"/>
      <c r="G223" s="36" t="n"/>
      <c r="H223" s="37" t="n"/>
      <c r="I223" s="38" t="n"/>
      <c r="J223" s="39">
        <f>IF(G223="","",HYPERLINK("https://wa.me/"&amp;G223,"Открыть чат"))</f>
        <v/>
      </c>
    </row>
    <row r="224">
      <c r="A224" s="32" t="n"/>
      <c r="B224" s="33" t="n"/>
      <c r="C224" s="33" t="n"/>
      <c r="D224" s="34" t="n"/>
      <c r="E224" s="33" t="n"/>
      <c r="F224" s="35" t="n"/>
      <c r="G224" s="36" t="n"/>
      <c r="H224" s="37" t="n"/>
      <c r="I224" s="38" t="n"/>
      <c r="J224" s="39">
        <f>IF(G224="","",HYPERLINK("https://wa.me/"&amp;G224,"Открыть чат"))</f>
        <v/>
      </c>
    </row>
    <row r="225">
      <c r="A225" s="32" t="n"/>
      <c r="B225" s="33" t="n"/>
      <c r="C225" s="33" t="n"/>
      <c r="D225" s="34" t="n"/>
      <c r="E225" s="33" t="n"/>
      <c r="F225" s="35" t="n"/>
      <c r="G225" s="36" t="n"/>
      <c r="H225" s="37" t="n"/>
      <c r="I225" s="38" t="n"/>
      <c r="J225" s="39">
        <f>IF(G225="","",HYPERLINK("https://wa.me/"&amp;G225,"Открыть чат"))</f>
        <v/>
      </c>
    </row>
    <row r="226">
      <c r="A226" s="32" t="n"/>
      <c r="B226" s="33" t="n"/>
      <c r="C226" s="33" t="n"/>
      <c r="D226" s="34" t="n"/>
      <c r="E226" s="33" t="n"/>
      <c r="F226" s="35" t="n"/>
      <c r="G226" s="36" t="n"/>
      <c r="H226" s="37" t="n"/>
      <c r="I226" s="38" t="n"/>
      <c r="J226" s="39">
        <f>IF(G226="","",HYPERLINK("https://wa.me/"&amp;G226,"Открыть чат"))</f>
        <v/>
      </c>
    </row>
    <row r="227">
      <c r="A227" s="32" t="n"/>
      <c r="B227" s="33" t="n"/>
      <c r="C227" s="33" t="n"/>
      <c r="D227" s="34" t="n"/>
      <c r="E227" s="33" t="n"/>
      <c r="F227" s="35" t="n"/>
      <c r="G227" s="36" t="n"/>
      <c r="H227" s="37" t="n"/>
      <c r="I227" s="38" t="n"/>
      <c r="J227" s="39">
        <f>IF(G227="","",HYPERLINK("https://wa.me/"&amp;G227,"Открыть чат"))</f>
        <v/>
      </c>
    </row>
    <row r="228">
      <c r="A228" s="32" t="n"/>
      <c r="B228" s="33" t="n"/>
      <c r="C228" s="33" t="n"/>
      <c r="D228" s="34" t="n"/>
      <c r="E228" s="33" t="n"/>
      <c r="F228" s="35" t="n"/>
      <c r="G228" s="36" t="n"/>
      <c r="H228" s="37" t="n"/>
      <c r="I228" s="38" t="n"/>
      <c r="J228" s="39">
        <f>IF(G228="","",HYPERLINK("https://wa.me/"&amp;G228,"Открыть чат"))</f>
        <v/>
      </c>
    </row>
    <row r="229">
      <c r="A229" s="32" t="n"/>
      <c r="B229" s="33" t="n"/>
      <c r="C229" s="33" t="n"/>
      <c r="D229" s="34" t="n"/>
      <c r="E229" s="33" t="n"/>
      <c r="F229" s="35" t="n"/>
      <c r="G229" s="36" t="n"/>
      <c r="H229" s="37" t="n"/>
      <c r="I229" s="38" t="n"/>
      <c r="J229" s="39">
        <f>IF(G229="","",HYPERLINK("https://wa.me/"&amp;G229,"Открыть чат"))</f>
        <v/>
      </c>
    </row>
    <row r="230">
      <c r="A230" s="32" t="n"/>
      <c r="B230" s="33" t="n"/>
      <c r="C230" s="33" t="n"/>
      <c r="D230" s="34" t="n"/>
      <c r="E230" s="33" t="n"/>
      <c r="F230" s="35" t="n"/>
      <c r="G230" s="36" t="n"/>
      <c r="H230" s="37" t="n"/>
      <c r="I230" s="38" t="n"/>
      <c r="J230" s="39">
        <f>IF(G230="","",HYPERLINK("https://wa.me/"&amp;G230,"Открыть чат"))</f>
        <v/>
      </c>
    </row>
    <row r="231">
      <c r="A231" s="32" t="n"/>
      <c r="B231" s="33" t="n"/>
      <c r="C231" s="33" t="n"/>
      <c r="D231" s="34" t="n"/>
      <c r="E231" s="33" t="n"/>
      <c r="F231" s="35" t="n"/>
      <c r="G231" s="36" t="n"/>
      <c r="H231" s="37" t="n"/>
      <c r="I231" s="38" t="n"/>
      <c r="J231" s="39">
        <f>IF(G231="","",HYPERLINK("https://wa.me/"&amp;G231,"Открыть чат"))</f>
        <v/>
      </c>
    </row>
    <row r="232">
      <c r="A232" s="32" t="n"/>
      <c r="B232" s="33" t="n"/>
      <c r="C232" s="33" t="n"/>
      <c r="D232" s="34" t="n"/>
      <c r="E232" s="33" t="n"/>
      <c r="F232" s="35" t="n"/>
      <c r="G232" s="36" t="n"/>
      <c r="H232" s="37" t="n"/>
      <c r="I232" s="38" t="n"/>
      <c r="J232" s="39">
        <f>IF(G232="","",HYPERLINK("https://wa.me/"&amp;G232,"Открыть чат"))</f>
        <v/>
      </c>
    </row>
    <row r="233">
      <c r="A233" s="32" t="n"/>
      <c r="B233" s="33" t="n"/>
      <c r="C233" s="33" t="n"/>
      <c r="D233" s="34" t="n"/>
      <c r="E233" s="33" t="n"/>
      <c r="F233" s="35" t="n"/>
      <c r="G233" s="36" t="n"/>
      <c r="H233" s="37" t="n"/>
      <c r="I233" s="38" t="n"/>
      <c r="J233" s="39">
        <f>IF(G233="","",HYPERLINK("https://wa.me/"&amp;G233,"Открыть чат"))</f>
        <v/>
      </c>
    </row>
    <row r="234">
      <c r="A234" s="32" t="n"/>
      <c r="B234" s="33" t="n"/>
      <c r="C234" s="33" t="n"/>
      <c r="D234" s="34" t="n"/>
      <c r="E234" s="33" t="n"/>
      <c r="F234" s="35" t="n"/>
      <c r="G234" s="36" t="n"/>
      <c r="H234" s="37" t="n"/>
      <c r="I234" s="38" t="n"/>
      <c r="J234" s="39">
        <f>IF(G234="","",HYPERLINK("https://wa.me/"&amp;G234,"Открыть чат"))</f>
        <v/>
      </c>
    </row>
    <row r="235">
      <c r="A235" s="32" t="n"/>
      <c r="B235" s="33" t="n"/>
      <c r="C235" s="33" t="n"/>
      <c r="D235" s="34" t="n"/>
      <c r="E235" s="33" t="n"/>
      <c r="F235" s="35" t="n"/>
      <c r="G235" s="36" t="n"/>
      <c r="H235" s="37" t="n"/>
      <c r="I235" s="38" t="n"/>
      <c r="J235" s="39">
        <f>IF(G235="","",HYPERLINK("https://wa.me/"&amp;G235,"Открыть чат"))</f>
        <v/>
      </c>
    </row>
    <row r="236">
      <c r="A236" s="32" t="n"/>
      <c r="B236" s="33" t="n"/>
      <c r="C236" s="33" t="n"/>
      <c r="D236" s="34" t="n"/>
      <c r="E236" s="33" t="n"/>
      <c r="F236" s="35" t="n"/>
      <c r="G236" s="36" t="n"/>
      <c r="H236" s="37" t="n"/>
      <c r="I236" s="38" t="n"/>
      <c r="J236" s="39">
        <f>IF(G236="","",HYPERLINK("https://wa.me/"&amp;G236,"Открыть чат"))</f>
        <v/>
      </c>
    </row>
    <row r="237">
      <c r="A237" s="32" t="n"/>
      <c r="B237" s="33" t="n"/>
      <c r="C237" s="33" t="n"/>
      <c r="D237" s="34" t="n"/>
      <c r="E237" s="33" t="n"/>
      <c r="F237" s="35" t="n"/>
      <c r="G237" s="36" t="n"/>
      <c r="H237" s="37" t="n"/>
      <c r="I237" s="38" t="n"/>
      <c r="J237" s="39">
        <f>IF(G237="","",HYPERLINK("https://wa.me/"&amp;G237,"Открыть чат"))</f>
        <v/>
      </c>
    </row>
    <row r="238">
      <c r="A238" s="32" t="n"/>
      <c r="B238" s="33" t="n"/>
      <c r="C238" s="33" t="n"/>
      <c r="D238" s="34" t="n"/>
      <c r="E238" s="33" t="n"/>
      <c r="F238" s="35" t="n"/>
      <c r="G238" s="36" t="n"/>
      <c r="H238" s="37" t="n"/>
      <c r="I238" s="38" t="n"/>
      <c r="J238" s="39">
        <f>IF(G238="","",HYPERLINK("https://wa.me/"&amp;G238,"Открыть чат"))</f>
        <v/>
      </c>
    </row>
    <row r="239">
      <c r="A239" s="32" t="n"/>
      <c r="B239" s="33" t="n"/>
      <c r="C239" s="33" t="n"/>
      <c r="D239" s="34" t="n"/>
      <c r="E239" s="33" t="n"/>
      <c r="F239" s="35" t="n"/>
      <c r="G239" s="36" t="n"/>
      <c r="H239" s="37" t="n"/>
      <c r="I239" s="38" t="n"/>
      <c r="J239" s="39">
        <f>IF(G239="","",HYPERLINK("https://wa.me/"&amp;G239,"Открыть чат"))</f>
        <v/>
      </c>
    </row>
    <row r="240">
      <c r="A240" s="32" t="n"/>
      <c r="B240" s="33" t="n"/>
      <c r="C240" s="33" t="n"/>
      <c r="D240" s="34" t="n"/>
      <c r="E240" s="33" t="n"/>
      <c r="F240" s="35" t="n"/>
      <c r="G240" s="36" t="n"/>
      <c r="H240" s="37" t="n"/>
      <c r="I240" s="38" t="n"/>
      <c r="J240" s="39">
        <f>IF(G240="","",HYPERLINK("https://wa.me/"&amp;G240,"Открыть чат"))</f>
        <v/>
      </c>
    </row>
    <row r="241">
      <c r="A241" s="32" t="n"/>
      <c r="B241" s="33" t="n"/>
      <c r="C241" s="33" t="n"/>
      <c r="D241" s="34" t="n"/>
      <c r="E241" s="33" t="n"/>
      <c r="F241" s="35" t="n"/>
      <c r="G241" s="36" t="n"/>
      <c r="H241" s="37" t="n"/>
      <c r="I241" s="38" t="n"/>
      <c r="J241" s="39">
        <f>IF(G241="","",HYPERLINK("https://wa.me/"&amp;G241,"Открыть чат"))</f>
        <v/>
      </c>
    </row>
    <row r="242">
      <c r="A242" s="32" t="n"/>
      <c r="B242" s="33" t="n"/>
      <c r="C242" s="33" t="n"/>
      <c r="D242" s="34" t="n"/>
      <c r="E242" s="33" t="n"/>
      <c r="F242" s="35" t="n"/>
      <c r="G242" s="36" t="n"/>
      <c r="H242" s="37" t="n"/>
      <c r="I242" s="38" t="n"/>
      <c r="J242" s="39">
        <f>IF(G242="","",HYPERLINK("https://wa.me/"&amp;G242,"Открыть чат"))</f>
        <v/>
      </c>
    </row>
    <row r="243">
      <c r="A243" s="32" t="n"/>
      <c r="B243" s="33" t="n"/>
      <c r="C243" s="33" t="n"/>
      <c r="D243" s="34" t="n"/>
      <c r="E243" s="33" t="n"/>
      <c r="F243" s="35" t="n"/>
      <c r="G243" s="36" t="n"/>
      <c r="H243" s="37" t="n"/>
      <c r="I243" s="38" t="n"/>
      <c r="J243" s="39">
        <f>IF(G243="","",HYPERLINK("https://wa.me/"&amp;G243,"Открыть чат"))</f>
        <v/>
      </c>
    </row>
    <row r="244">
      <c r="A244" s="32" t="n"/>
      <c r="B244" s="33" t="n"/>
      <c r="C244" s="33" t="n"/>
      <c r="D244" s="34" t="n"/>
      <c r="E244" s="33" t="n"/>
      <c r="F244" s="35" t="n"/>
      <c r="G244" s="36" t="n"/>
      <c r="H244" s="37" t="n"/>
      <c r="I244" s="38" t="n"/>
      <c r="J244" s="39">
        <f>IF(G244="","",HYPERLINK("https://wa.me/"&amp;G244,"Открыть чат"))</f>
        <v/>
      </c>
    </row>
    <row r="245">
      <c r="A245" s="32" t="n"/>
      <c r="B245" s="33" t="n"/>
      <c r="C245" s="33" t="n"/>
      <c r="D245" s="34" t="n"/>
      <c r="E245" s="33" t="n"/>
      <c r="F245" s="35" t="n"/>
      <c r="G245" s="36" t="n"/>
      <c r="H245" s="37" t="n"/>
      <c r="I245" s="38" t="n"/>
      <c r="J245" s="39">
        <f>IF(G245="","",HYPERLINK("https://wa.me/"&amp;G245,"Открыть чат"))</f>
        <v/>
      </c>
    </row>
    <row r="246">
      <c r="A246" s="32" t="n"/>
      <c r="B246" s="33" t="n"/>
      <c r="C246" s="33" t="n"/>
      <c r="D246" s="34" t="n"/>
      <c r="E246" s="33" t="n"/>
      <c r="F246" s="35" t="n"/>
      <c r="G246" s="36" t="n"/>
      <c r="H246" s="37" t="n"/>
      <c r="I246" s="38" t="n"/>
      <c r="J246" s="39">
        <f>IF(G246="","",HYPERLINK("https://wa.me/"&amp;G246,"Открыть чат"))</f>
        <v/>
      </c>
    </row>
    <row r="247">
      <c r="A247" s="32" t="n"/>
      <c r="B247" s="33" t="n"/>
      <c r="C247" s="33" t="n"/>
      <c r="D247" s="34" t="n"/>
      <c r="E247" s="33" t="n"/>
      <c r="F247" s="35" t="n"/>
      <c r="G247" s="36" t="n"/>
      <c r="H247" s="37" t="n"/>
      <c r="I247" s="38" t="n"/>
      <c r="J247" s="39">
        <f>IF(G247="","",HYPERLINK("https://wa.me/"&amp;G247,"Открыть чат"))</f>
        <v/>
      </c>
    </row>
    <row r="248">
      <c r="A248" s="32" t="n"/>
      <c r="B248" s="33" t="n"/>
      <c r="C248" s="33" t="n"/>
      <c r="D248" s="34" t="n"/>
      <c r="E248" s="33" t="n"/>
      <c r="F248" s="35" t="n"/>
      <c r="G248" s="36" t="n"/>
      <c r="H248" s="37" t="n"/>
      <c r="I248" s="38" t="n"/>
      <c r="J248" s="39">
        <f>IF(G248="","",HYPERLINK("https://wa.me/"&amp;G248,"Открыть чат"))</f>
        <v/>
      </c>
    </row>
    <row r="249">
      <c r="A249" s="32" t="n"/>
      <c r="B249" s="33" t="n"/>
      <c r="C249" s="33" t="n"/>
      <c r="D249" s="34" t="n"/>
      <c r="E249" s="33" t="n"/>
      <c r="F249" s="35" t="n"/>
      <c r="G249" s="36" t="n"/>
      <c r="H249" s="37" t="n"/>
      <c r="I249" s="38" t="n"/>
      <c r="J249" s="39">
        <f>IF(G249="","",HYPERLINK("https://wa.me/"&amp;G249,"Открыть чат"))</f>
        <v/>
      </c>
    </row>
    <row r="250">
      <c r="A250" s="32" t="n"/>
      <c r="B250" s="33" t="n"/>
      <c r="C250" s="33" t="n"/>
      <c r="D250" s="34" t="n"/>
      <c r="E250" s="33" t="n"/>
      <c r="F250" s="35" t="n"/>
      <c r="G250" s="36" t="n"/>
      <c r="H250" s="37" t="n"/>
      <c r="I250" s="38" t="n"/>
      <c r="J250" s="39">
        <f>IF(G250="","",HYPERLINK("https://wa.me/"&amp;G250,"Открыть чат"))</f>
        <v/>
      </c>
    </row>
    <row r="251">
      <c r="A251" s="32" t="n"/>
      <c r="B251" s="33" t="n"/>
      <c r="C251" s="33" t="n"/>
      <c r="D251" s="34" t="n"/>
      <c r="E251" s="33" t="n"/>
      <c r="F251" s="35" t="n"/>
      <c r="G251" s="36" t="n"/>
      <c r="H251" s="37" t="n"/>
      <c r="I251" s="38" t="n"/>
      <c r="J251" s="39">
        <f>IF(G251="","",HYPERLINK("https://wa.me/"&amp;G251,"Открыть чат"))</f>
        <v/>
      </c>
    </row>
    <row r="252">
      <c r="A252" s="32" t="n"/>
      <c r="B252" s="33" t="n"/>
      <c r="C252" s="33" t="n"/>
      <c r="D252" s="34" t="n"/>
      <c r="E252" s="33" t="n"/>
      <c r="F252" s="35" t="n"/>
      <c r="G252" s="36" t="n"/>
      <c r="H252" s="37" t="n"/>
      <c r="I252" s="38" t="n"/>
      <c r="J252" s="39">
        <f>IF(G252="","",HYPERLINK("https://wa.me/"&amp;G252,"Открыть чат"))</f>
        <v/>
      </c>
    </row>
    <row r="253">
      <c r="A253" s="32" t="n"/>
      <c r="B253" s="33" t="n"/>
      <c r="C253" s="33" t="n"/>
      <c r="D253" s="34" t="n"/>
      <c r="E253" s="33" t="n"/>
      <c r="F253" s="35" t="n"/>
      <c r="G253" s="36" t="n"/>
      <c r="H253" s="37" t="n"/>
      <c r="I253" s="38" t="n"/>
      <c r="J253" s="39">
        <f>IF(G253="","",HYPERLINK("https://wa.me/"&amp;G253,"Открыть чат"))</f>
        <v/>
      </c>
    </row>
    <row r="254">
      <c r="A254" s="32" t="n"/>
      <c r="B254" s="33" t="n"/>
      <c r="C254" s="33" t="n"/>
      <c r="D254" s="34" t="n"/>
      <c r="E254" s="33" t="n"/>
      <c r="F254" s="35" t="n"/>
      <c r="G254" s="36" t="n"/>
      <c r="H254" s="37" t="n"/>
      <c r="I254" s="38" t="n"/>
      <c r="J254" s="39">
        <f>IF(G254="","",HYPERLINK("https://wa.me/"&amp;G254,"Открыть чат"))</f>
        <v/>
      </c>
    </row>
    <row r="255">
      <c r="A255" s="32" t="n"/>
      <c r="B255" s="33" t="n"/>
      <c r="C255" s="33" t="n"/>
      <c r="D255" s="34" t="n"/>
      <c r="E255" s="33" t="n"/>
      <c r="F255" s="35" t="n"/>
      <c r="G255" s="36" t="n"/>
      <c r="H255" s="37" t="n"/>
      <c r="I255" s="38" t="n"/>
      <c r="J255" s="39">
        <f>IF(G255="","",HYPERLINK("https://wa.me/"&amp;G255,"Открыть чат"))</f>
        <v/>
      </c>
    </row>
    <row r="256">
      <c r="A256" s="32" t="n"/>
      <c r="B256" s="33" t="n"/>
      <c r="C256" s="33" t="n"/>
      <c r="D256" s="34" t="n"/>
      <c r="E256" s="33" t="n"/>
      <c r="F256" s="35" t="n"/>
      <c r="G256" s="36" t="n"/>
      <c r="H256" s="37" t="n"/>
      <c r="I256" s="38" t="n"/>
      <c r="J256" s="39">
        <f>IF(G256="","",HYPERLINK("https://wa.me/"&amp;G256,"Открыть чат"))</f>
        <v/>
      </c>
    </row>
    <row r="257">
      <c r="A257" s="32" t="n"/>
      <c r="B257" s="33" t="n"/>
      <c r="C257" s="33" t="n"/>
      <c r="D257" s="34" t="n"/>
      <c r="E257" s="33" t="n"/>
      <c r="F257" s="35" t="n"/>
      <c r="G257" s="36" t="n"/>
      <c r="H257" s="37" t="n"/>
      <c r="I257" s="38" t="n"/>
      <c r="J257" s="39">
        <f>IF(G257="","",HYPERLINK("https://wa.me/"&amp;G257,"Открыть чат"))</f>
        <v/>
      </c>
    </row>
    <row r="258">
      <c r="A258" s="32" t="n"/>
      <c r="B258" s="33" t="n"/>
      <c r="C258" s="33" t="n"/>
      <c r="D258" s="34" t="n"/>
      <c r="E258" s="33" t="n"/>
      <c r="F258" s="35" t="n"/>
      <c r="G258" s="36" t="n"/>
      <c r="H258" s="37" t="n"/>
      <c r="I258" s="38" t="n"/>
      <c r="J258" s="39">
        <f>IF(G258="","",HYPERLINK("https://wa.me/"&amp;G258,"Открыть чат"))</f>
        <v/>
      </c>
    </row>
    <row r="259">
      <c r="A259" s="32" t="n"/>
      <c r="B259" s="33" t="n"/>
      <c r="C259" s="33" t="n"/>
      <c r="D259" s="34" t="n"/>
      <c r="E259" s="33" t="n"/>
      <c r="F259" s="35" t="n"/>
      <c r="G259" s="36" t="n"/>
      <c r="H259" s="37" t="n"/>
      <c r="I259" s="38" t="n"/>
      <c r="J259" s="39">
        <f>IF(G259="","",HYPERLINK("https://wa.me/"&amp;G259,"Открыть чат"))</f>
        <v/>
      </c>
    </row>
    <row r="260">
      <c r="A260" s="32" t="n"/>
      <c r="B260" s="33" t="n"/>
      <c r="C260" s="33" t="n"/>
      <c r="D260" s="34" t="n"/>
      <c r="E260" s="33" t="n"/>
      <c r="F260" s="35" t="n"/>
      <c r="G260" s="36" t="n"/>
      <c r="H260" s="37" t="n"/>
      <c r="I260" s="38" t="n"/>
      <c r="J260" s="39">
        <f>IF(G260="","",HYPERLINK("https://wa.me/"&amp;G260,"Открыть чат"))</f>
        <v/>
      </c>
    </row>
    <row r="261">
      <c r="A261" s="32" t="n"/>
      <c r="B261" s="33" t="n"/>
      <c r="C261" s="33" t="n"/>
      <c r="D261" s="34" t="n"/>
      <c r="E261" s="33" t="n"/>
      <c r="F261" s="35" t="n"/>
      <c r="G261" s="36" t="n"/>
      <c r="H261" s="37" t="n"/>
      <c r="I261" s="38" t="n"/>
      <c r="J261" s="39">
        <f>IF(G261="","",HYPERLINK("https://wa.me/"&amp;G261,"Открыть чат"))</f>
        <v/>
      </c>
    </row>
    <row r="262">
      <c r="A262" s="32" t="n"/>
      <c r="B262" s="33" t="n"/>
      <c r="C262" s="33" t="n"/>
      <c r="D262" s="34" t="n"/>
      <c r="E262" s="33" t="n"/>
      <c r="F262" s="35" t="n"/>
      <c r="G262" s="36" t="n"/>
      <c r="H262" s="37" t="n"/>
      <c r="I262" s="38" t="n"/>
      <c r="J262" s="39">
        <f>IF(G262="","",HYPERLINK("https://wa.me/"&amp;G262,"Открыть чат"))</f>
        <v/>
      </c>
    </row>
    <row r="263">
      <c r="A263" s="32" t="n"/>
      <c r="B263" s="33" t="n"/>
      <c r="C263" s="33" t="n"/>
      <c r="D263" s="34" t="n"/>
      <c r="E263" s="33" t="n"/>
      <c r="F263" s="35" t="n"/>
      <c r="G263" s="36" t="n"/>
      <c r="H263" s="37" t="n"/>
      <c r="I263" s="38" t="n"/>
      <c r="J263" s="39">
        <f>IF(G263="","",HYPERLINK("https://wa.me/"&amp;G263,"Открыть чат"))</f>
        <v/>
      </c>
    </row>
    <row r="264">
      <c r="A264" s="32" t="n"/>
      <c r="B264" s="33" t="n"/>
      <c r="C264" s="33" t="n"/>
      <c r="D264" s="34" t="n"/>
      <c r="E264" s="33" t="n"/>
      <c r="F264" s="35" t="n"/>
      <c r="G264" s="36" t="n"/>
      <c r="H264" s="37" t="n"/>
      <c r="I264" s="38" t="n"/>
      <c r="J264" s="39">
        <f>IF(G264="","",HYPERLINK("https://wa.me/"&amp;G264,"Открыть чат"))</f>
        <v/>
      </c>
    </row>
    <row r="265">
      <c r="A265" s="32" t="n"/>
      <c r="B265" s="33" t="n"/>
      <c r="C265" s="33" t="n"/>
      <c r="D265" s="34" t="n"/>
      <c r="E265" s="33" t="n"/>
      <c r="F265" s="35" t="n"/>
      <c r="G265" s="36" t="n"/>
      <c r="H265" s="37" t="n"/>
      <c r="I265" s="38" t="n"/>
      <c r="J265" s="39">
        <f>IF(G265="","",HYPERLINK("https://wa.me/"&amp;G265,"Открыть чат"))</f>
        <v/>
      </c>
    </row>
    <row r="266">
      <c r="A266" s="32" t="n"/>
      <c r="B266" s="33" t="n"/>
      <c r="C266" s="33" t="n"/>
      <c r="D266" s="34" t="n"/>
      <c r="E266" s="33" t="n"/>
      <c r="F266" s="35" t="n"/>
      <c r="G266" s="36" t="n"/>
      <c r="H266" s="37" t="n"/>
      <c r="I266" s="38" t="n"/>
      <c r="J266" s="39">
        <f>IF(G266="","",HYPERLINK("https://wa.me/"&amp;G266,"Открыть чат"))</f>
        <v/>
      </c>
    </row>
    <row r="267">
      <c r="A267" s="32" t="n"/>
      <c r="B267" s="33" t="n"/>
      <c r="C267" s="33" t="n"/>
      <c r="D267" s="34" t="n"/>
      <c r="E267" s="33" t="n"/>
      <c r="F267" s="35" t="n"/>
      <c r="G267" s="36" t="n"/>
      <c r="H267" s="37" t="n"/>
      <c r="I267" s="38" t="n"/>
      <c r="J267" s="39">
        <f>IF(G267="","",HYPERLINK("https://wa.me/"&amp;G267,"Открыть чат"))</f>
        <v/>
      </c>
    </row>
    <row r="268">
      <c r="A268" s="32" t="n"/>
      <c r="B268" s="33" t="n"/>
      <c r="C268" s="33" t="n"/>
      <c r="D268" s="34" t="n"/>
      <c r="E268" s="33" t="n"/>
      <c r="F268" s="35" t="n"/>
      <c r="G268" s="36" t="n"/>
      <c r="H268" s="37" t="n"/>
      <c r="I268" s="38" t="n"/>
      <c r="J268" s="39">
        <f>IF(G268="","",HYPERLINK("https://wa.me/"&amp;G268,"Открыть чат"))</f>
        <v/>
      </c>
    </row>
    <row r="269">
      <c r="A269" s="32" t="n"/>
      <c r="B269" s="33" t="n"/>
      <c r="C269" s="33" t="n"/>
      <c r="D269" s="34" t="n"/>
      <c r="E269" s="33" t="n"/>
      <c r="F269" s="35" t="n"/>
      <c r="G269" s="36" t="n"/>
      <c r="H269" s="37" t="n"/>
      <c r="I269" s="38" t="n"/>
      <c r="J269" s="39">
        <f>IF(G269="","",HYPERLINK("https://wa.me/"&amp;G269,"Открыть чат"))</f>
        <v/>
      </c>
    </row>
    <row r="270">
      <c r="A270" s="32" t="n"/>
      <c r="B270" s="33" t="n"/>
      <c r="C270" s="33" t="n"/>
      <c r="D270" s="34" t="n"/>
      <c r="E270" s="33" t="n"/>
      <c r="F270" s="35" t="n"/>
      <c r="G270" s="36" t="n"/>
      <c r="H270" s="37" t="n"/>
      <c r="I270" s="38" t="n"/>
      <c r="J270" s="39">
        <f>IF(G270="","",HYPERLINK("https://wa.me/"&amp;G270,"Открыть чат"))</f>
        <v/>
      </c>
    </row>
    <row r="271">
      <c r="A271" s="32" t="n"/>
      <c r="B271" s="33" t="n"/>
      <c r="C271" s="33" t="n"/>
      <c r="D271" s="34" t="n"/>
      <c r="E271" s="33" t="n"/>
      <c r="F271" s="35" t="n"/>
      <c r="G271" s="36" t="n"/>
      <c r="H271" s="37" t="n"/>
      <c r="I271" s="38" t="n"/>
      <c r="J271" s="39">
        <f>IF(G271="","",HYPERLINK("https://wa.me/"&amp;G271,"Открыть чат"))</f>
        <v/>
      </c>
    </row>
    <row r="272">
      <c r="A272" s="32" t="n"/>
      <c r="B272" s="33" t="n"/>
      <c r="C272" s="33" t="n"/>
      <c r="D272" s="34" t="n"/>
      <c r="E272" s="33" t="n"/>
      <c r="F272" s="35" t="n"/>
      <c r="G272" s="36" t="n"/>
      <c r="H272" s="37" t="n"/>
      <c r="I272" s="38" t="n"/>
      <c r="J272" s="39">
        <f>IF(G272="","",HYPERLINK("https://wa.me/"&amp;G272,"Открыть чат"))</f>
        <v/>
      </c>
    </row>
    <row r="273">
      <c r="A273" s="32" t="n"/>
      <c r="B273" s="33" t="n"/>
      <c r="C273" s="33" t="n"/>
      <c r="D273" s="34" t="n"/>
      <c r="E273" s="33" t="n"/>
      <c r="F273" s="35" t="n"/>
      <c r="G273" s="36" t="n"/>
      <c r="H273" s="37" t="n"/>
      <c r="I273" s="38" t="n"/>
      <c r="J273" s="39">
        <f>IF(G273="","",HYPERLINK("https://wa.me/"&amp;G273,"Открыть чат"))</f>
        <v/>
      </c>
    </row>
    <row r="274">
      <c r="A274" s="32" t="n"/>
      <c r="B274" s="33" t="n"/>
      <c r="C274" s="33" t="n"/>
      <c r="D274" s="34" t="n"/>
      <c r="E274" s="33" t="n"/>
      <c r="F274" s="35" t="n"/>
      <c r="G274" s="36" t="n"/>
      <c r="H274" s="37" t="n"/>
      <c r="I274" s="38" t="n"/>
      <c r="J274" s="39">
        <f>IF(G274="","",HYPERLINK("https://wa.me/"&amp;G274,"Открыть чат"))</f>
        <v/>
      </c>
    </row>
    <row r="275">
      <c r="A275" s="32" t="n"/>
      <c r="B275" s="33" t="n"/>
      <c r="C275" s="33" t="n"/>
      <c r="D275" s="34" t="n"/>
      <c r="E275" s="33" t="n"/>
      <c r="F275" s="35" t="n"/>
      <c r="G275" s="36" t="n"/>
      <c r="H275" s="37" t="n"/>
      <c r="I275" s="38" t="n"/>
      <c r="J275" s="39">
        <f>IF(G275="","",HYPERLINK("https://wa.me/"&amp;G275,"Открыть чат"))</f>
        <v/>
      </c>
    </row>
    <row r="276">
      <c r="A276" s="32" t="n"/>
      <c r="B276" s="33" t="n"/>
      <c r="C276" s="33" t="n"/>
      <c r="D276" s="34" t="n"/>
      <c r="E276" s="33" t="n"/>
      <c r="F276" s="35" t="n"/>
      <c r="G276" s="36" t="n"/>
      <c r="H276" s="37" t="n"/>
      <c r="I276" s="38" t="n"/>
      <c r="J276" s="39">
        <f>IF(G276="","",HYPERLINK("https://wa.me/"&amp;G276,"Открыть чат"))</f>
        <v/>
      </c>
    </row>
    <row r="277">
      <c r="A277" s="32" t="n"/>
      <c r="B277" s="33" t="n"/>
      <c r="C277" s="33" t="n"/>
      <c r="D277" s="34" t="n"/>
      <c r="E277" s="33" t="n"/>
      <c r="F277" s="35" t="n"/>
      <c r="G277" s="36" t="n"/>
      <c r="H277" s="37" t="n"/>
      <c r="I277" s="38" t="n"/>
      <c r="J277" s="39">
        <f>IF(G277="","",HYPERLINK("https://wa.me/"&amp;G277,"Открыть чат"))</f>
        <v/>
      </c>
    </row>
    <row r="278">
      <c r="A278" s="32" t="n"/>
      <c r="B278" s="33" t="n"/>
      <c r="C278" s="33" t="n"/>
      <c r="D278" s="34" t="n"/>
      <c r="E278" s="33" t="n"/>
      <c r="F278" s="35" t="n"/>
      <c r="G278" s="36" t="n"/>
      <c r="H278" s="37" t="n"/>
      <c r="I278" s="38" t="n"/>
      <c r="J278" s="39">
        <f>IF(G278="","",HYPERLINK("https://wa.me/"&amp;G278,"Открыть чат"))</f>
        <v/>
      </c>
    </row>
    <row r="279">
      <c r="A279" s="32" t="n"/>
      <c r="B279" s="33" t="n"/>
      <c r="C279" s="33" t="n"/>
      <c r="D279" s="34" t="n"/>
      <c r="E279" s="33" t="n"/>
      <c r="F279" s="35" t="n"/>
      <c r="G279" s="36" t="n"/>
      <c r="H279" s="37" t="n"/>
      <c r="I279" s="38" t="n"/>
      <c r="J279" s="39">
        <f>IF(G279="","",HYPERLINK("https://wa.me/"&amp;G279,"Открыть чат"))</f>
        <v/>
      </c>
    </row>
    <row r="280">
      <c r="A280" s="32" t="n"/>
      <c r="B280" s="33" t="n"/>
      <c r="C280" s="33" t="n"/>
      <c r="D280" s="34" t="n"/>
      <c r="E280" s="33" t="n"/>
      <c r="F280" s="35" t="n"/>
      <c r="G280" s="36" t="n"/>
      <c r="H280" s="37" t="n"/>
      <c r="I280" s="38" t="n"/>
      <c r="J280" s="39">
        <f>IF(G280="","",HYPERLINK("https://wa.me/"&amp;G280,"Открыть чат"))</f>
        <v/>
      </c>
    </row>
    <row r="281">
      <c r="A281" s="32" t="n"/>
      <c r="B281" s="33" t="n"/>
      <c r="C281" s="33" t="n"/>
      <c r="D281" s="34" t="n"/>
      <c r="E281" s="33" t="n"/>
      <c r="F281" s="35" t="n"/>
      <c r="G281" s="36" t="n"/>
      <c r="H281" s="37" t="n"/>
      <c r="I281" s="38" t="n"/>
      <c r="J281" s="39">
        <f>IF(G281="","",HYPERLINK("https://wa.me/"&amp;G281,"Открыть чат"))</f>
        <v/>
      </c>
    </row>
    <row r="282">
      <c r="A282" s="32" t="n"/>
      <c r="B282" s="33" t="n"/>
      <c r="C282" s="33" t="n"/>
      <c r="D282" s="34" t="n"/>
      <c r="E282" s="33" t="n"/>
      <c r="F282" s="35" t="n"/>
      <c r="G282" s="36" t="n"/>
      <c r="H282" s="37" t="n"/>
      <c r="I282" s="38" t="n"/>
      <c r="J282" s="39">
        <f>IF(G282="","",HYPERLINK("https://wa.me/"&amp;G282,"Открыть чат"))</f>
        <v/>
      </c>
    </row>
    <row r="283">
      <c r="A283" s="32" t="n"/>
      <c r="B283" s="33" t="n"/>
      <c r="C283" s="33" t="n"/>
      <c r="D283" s="34" t="n"/>
      <c r="E283" s="33" t="n"/>
      <c r="F283" s="35" t="n"/>
      <c r="G283" s="36" t="n"/>
      <c r="H283" s="37" t="n"/>
      <c r="I283" s="38" t="n"/>
      <c r="J283" s="39">
        <f>IF(G283="","",HYPERLINK("https://wa.me/"&amp;G283,"Открыть чат"))</f>
        <v/>
      </c>
    </row>
    <row r="284">
      <c r="A284" s="32" t="n"/>
      <c r="B284" s="33" t="n"/>
      <c r="C284" s="33" t="n"/>
      <c r="D284" s="34" t="n"/>
      <c r="E284" s="33" t="n"/>
      <c r="F284" s="35" t="n"/>
      <c r="G284" s="36" t="n"/>
      <c r="H284" s="37" t="n"/>
      <c r="I284" s="38" t="n"/>
      <c r="J284" s="39">
        <f>IF(G284="","",HYPERLINK("https://wa.me/"&amp;G284,"Открыть чат"))</f>
        <v/>
      </c>
    </row>
    <row r="285">
      <c r="A285" s="32" t="n"/>
      <c r="B285" s="33" t="n"/>
      <c r="C285" s="33" t="n"/>
      <c r="D285" s="34" t="n"/>
      <c r="E285" s="33" t="n"/>
      <c r="F285" s="35" t="n"/>
      <c r="G285" s="36" t="n"/>
      <c r="H285" s="37" t="n"/>
      <c r="I285" s="38" t="n"/>
      <c r="J285" s="39">
        <f>IF(G285="","",HYPERLINK("https://wa.me/"&amp;G285,"Открыть чат"))</f>
        <v/>
      </c>
    </row>
    <row r="286">
      <c r="A286" s="32" t="n"/>
      <c r="B286" s="33" t="n"/>
      <c r="C286" s="33" t="n"/>
      <c r="D286" s="34" t="n"/>
      <c r="E286" s="33" t="n"/>
      <c r="F286" s="35" t="n"/>
      <c r="G286" s="36" t="n"/>
      <c r="H286" s="37" t="n"/>
      <c r="I286" s="38" t="n"/>
      <c r="J286" s="39">
        <f>IF(G286="","",HYPERLINK("https://wa.me/"&amp;G286,"Открыть чат"))</f>
        <v/>
      </c>
    </row>
    <row r="287">
      <c r="A287" s="32" t="n"/>
      <c r="B287" s="33" t="n"/>
      <c r="C287" s="33" t="n"/>
      <c r="D287" s="34" t="n"/>
      <c r="E287" s="33" t="n"/>
      <c r="F287" s="35" t="n"/>
      <c r="G287" s="36" t="n"/>
      <c r="H287" s="37" t="n"/>
      <c r="I287" s="38" t="n"/>
      <c r="J287" s="39">
        <f>IF(G287="","",HYPERLINK("https://wa.me/"&amp;G287,"Открыть чат"))</f>
        <v/>
      </c>
    </row>
    <row r="288">
      <c r="A288" s="32" t="n"/>
      <c r="B288" s="33" t="n"/>
      <c r="C288" s="33" t="n"/>
      <c r="D288" s="34" t="n"/>
      <c r="E288" s="33" t="n"/>
      <c r="F288" s="35" t="n"/>
      <c r="G288" s="36" t="n"/>
      <c r="H288" s="37" t="n"/>
      <c r="I288" s="38" t="n"/>
      <c r="J288" s="39">
        <f>IF(G288="","",HYPERLINK("https://wa.me/"&amp;G288,"Открыть чат"))</f>
        <v/>
      </c>
    </row>
    <row r="289">
      <c r="A289" s="32" t="n"/>
      <c r="B289" s="33" t="n"/>
      <c r="C289" s="33" t="n"/>
      <c r="D289" s="34" t="n"/>
      <c r="E289" s="33" t="n"/>
      <c r="F289" s="35" t="n"/>
      <c r="G289" s="36" t="n"/>
      <c r="H289" s="37" t="n"/>
      <c r="I289" s="38" t="n"/>
      <c r="J289" s="39">
        <f>IF(G289="","",HYPERLINK("https://wa.me/"&amp;G289,"Открыть чат"))</f>
        <v/>
      </c>
    </row>
    <row r="290">
      <c r="A290" s="32" t="n"/>
      <c r="B290" s="33" t="n"/>
      <c r="C290" s="33" t="n"/>
      <c r="D290" s="34" t="n"/>
      <c r="E290" s="33" t="n"/>
      <c r="F290" s="35" t="n"/>
      <c r="G290" s="36" t="n"/>
      <c r="H290" s="37" t="n"/>
      <c r="I290" s="38" t="n"/>
      <c r="J290" s="39">
        <f>IF(G290="","",HYPERLINK("https://wa.me/"&amp;G290,"Открыть чат"))</f>
        <v/>
      </c>
    </row>
    <row r="291">
      <c r="A291" s="32" t="n"/>
      <c r="B291" s="33" t="n"/>
      <c r="C291" s="33" t="n"/>
      <c r="D291" s="34" t="n"/>
      <c r="E291" s="33" t="n"/>
      <c r="F291" s="35" t="n"/>
      <c r="G291" s="36" t="n"/>
      <c r="H291" s="37" t="n"/>
      <c r="I291" s="38" t="n"/>
      <c r="J291" s="39">
        <f>IF(G291="","",HYPERLINK("https://wa.me/"&amp;G291,"Открыть чат"))</f>
        <v/>
      </c>
    </row>
    <row r="292">
      <c r="A292" s="32" t="n"/>
      <c r="B292" s="33" t="n"/>
      <c r="C292" s="33" t="n"/>
      <c r="D292" s="34" t="n"/>
      <c r="E292" s="33" t="n"/>
      <c r="F292" s="35" t="n"/>
      <c r="G292" s="36" t="n"/>
      <c r="H292" s="37" t="n"/>
      <c r="I292" s="38" t="n"/>
      <c r="J292" s="39">
        <f>IF(G292="","",HYPERLINK("https://wa.me/"&amp;G292,"Открыть чат"))</f>
        <v/>
      </c>
    </row>
    <row r="293">
      <c r="A293" s="32" t="n"/>
      <c r="B293" s="33" t="n"/>
      <c r="C293" s="33" t="n"/>
      <c r="D293" s="34" t="n"/>
      <c r="E293" s="33" t="n"/>
      <c r="F293" s="35" t="n"/>
      <c r="G293" s="36" t="n"/>
      <c r="H293" s="37" t="n"/>
      <c r="I293" s="38" t="n"/>
      <c r="J293" s="39">
        <f>IF(G293="","",HYPERLINK("https://wa.me/"&amp;G293,"Открыть чат"))</f>
        <v/>
      </c>
    </row>
    <row r="294">
      <c r="A294" s="32" t="n"/>
      <c r="B294" s="33" t="n"/>
      <c r="C294" s="33" t="n"/>
      <c r="D294" s="34" t="n"/>
      <c r="E294" s="33" t="n"/>
      <c r="F294" s="35" t="n"/>
      <c r="G294" s="36" t="n"/>
      <c r="H294" s="37" t="n"/>
      <c r="I294" s="38" t="n"/>
      <c r="J294" s="39">
        <f>IF(G294="","",HYPERLINK("https://wa.me/"&amp;G294,"Открыть чат"))</f>
        <v/>
      </c>
    </row>
    <row r="295">
      <c r="A295" s="32" t="n"/>
      <c r="B295" s="33" t="n"/>
      <c r="C295" s="33" t="n"/>
      <c r="D295" s="34" t="n"/>
      <c r="E295" s="33" t="n"/>
      <c r="F295" s="35" t="n"/>
      <c r="G295" s="36" t="n"/>
      <c r="H295" s="37" t="n"/>
      <c r="I295" s="38" t="n"/>
      <c r="J295" s="39">
        <f>IF(G295="","",HYPERLINK("https://wa.me/"&amp;G295,"Открыть чат"))</f>
        <v/>
      </c>
    </row>
    <row r="296">
      <c r="A296" s="32" t="n"/>
      <c r="B296" s="33" t="n"/>
      <c r="C296" s="33" t="n"/>
      <c r="D296" s="34" t="n"/>
      <c r="E296" s="33" t="n"/>
      <c r="F296" s="35" t="n"/>
      <c r="G296" s="36" t="n"/>
      <c r="H296" s="37" t="n"/>
      <c r="I296" s="38" t="n"/>
      <c r="J296" s="39">
        <f>IF(G296="","",HYPERLINK("https://wa.me/"&amp;G296,"Открыть чат"))</f>
        <v/>
      </c>
    </row>
    <row r="297">
      <c r="A297" s="32" t="n"/>
      <c r="B297" s="33" t="n"/>
      <c r="C297" s="33" t="n"/>
      <c r="D297" s="34" t="n"/>
      <c r="E297" s="33" t="n"/>
      <c r="F297" s="35" t="n"/>
      <c r="G297" s="36" t="n"/>
      <c r="H297" s="37" t="n"/>
      <c r="I297" s="38" t="n"/>
      <c r="J297" s="39">
        <f>IF(G297="","",HYPERLINK("https://wa.me/"&amp;G297,"Открыть чат"))</f>
        <v/>
      </c>
    </row>
    <row r="298">
      <c r="A298" s="32" t="n"/>
      <c r="B298" s="33" t="n"/>
      <c r="C298" s="33" t="n"/>
      <c r="D298" s="34" t="n"/>
      <c r="E298" s="33" t="n"/>
      <c r="F298" s="35" t="n"/>
      <c r="G298" s="36" t="n"/>
      <c r="H298" s="37" t="n"/>
      <c r="I298" s="38" t="n"/>
      <c r="J298" s="39">
        <f>IF(G298="","",HYPERLINK("https://wa.me/"&amp;G298,"Открыть чат"))</f>
        <v/>
      </c>
    </row>
    <row r="299">
      <c r="A299" s="32" t="n"/>
      <c r="B299" s="33" t="n"/>
      <c r="C299" s="33" t="n"/>
      <c r="D299" s="34" t="n"/>
      <c r="E299" s="33" t="n"/>
      <c r="F299" s="35" t="n"/>
      <c r="G299" s="36" t="n"/>
      <c r="H299" s="37" t="n"/>
      <c r="I299" s="38" t="n"/>
      <c r="J299" s="39">
        <f>IF(G299="","",HYPERLINK("https://wa.me/"&amp;G299,"Открыть чат"))</f>
        <v/>
      </c>
    </row>
    <row r="300">
      <c r="A300" s="32" t="n"/>
      <c r="B300" s="33" t="n"/>
      <c r="C300" s="33" t="n"/>
      <c r="D300" s="34" t="n"/>
      <c r="E300" s="33" t="n"/>
      <c r="F300" s="35" t="n"/>
      <c r="G300" s="36" t="n"/>
      <c r="H300" s="37" t="n"/>
      <c r="I300" s="38" t="n"/>
      <c r="J300" s="39">
        <f>IF(G300="","",HYPERLINK("https://wa.me/"&amp;G300,"Открыть чат"))</f>
        <v/>
      </c>
    </row>
    <row r="301">
      <c r="A301" s="32" t="n"/>
      <c r="B301" s="33" t="n"/>
      <c r="C301" s="33" t="n"/>
      <c r="D301" s="34" t="n"/>
      <c r="E301" s="33" t="n"/>
      <c r="F301" s="35" t="n"/>
      <c r="G301" s="36" t="n"/>
      <c r="H301" s="37" t="n"/>
      <c r="I301" s="38" t="n"/>
      <c r="J301" s="39">
        <f>IF(G301="","",HYPERLINK("https://wa.me/"&amp;G301,"Открыть чат"))</f>
        <v/>
      </c>
    </row>
    <row r="302">
      <c r="A302" s="32" t="n"/>
      <c r="B302" s="33" t="n"/>
      <c r="C302" s="33" t="n"/>
      <c r="D302" s="34" t="n"/>
      <c r="E302" s="33" t="n"/>
      <c r="F302" s="35" t="n"/>
      <c r="G302" s="36" t="n"/>
      <c r="H302" s="37" t="n"/>
      <c r="I302" s="38" t="n"/>
      <c r="J302" s="39">
        <f>IF(G302="","",HYPERLINK("https://wa.me/"&amp;G302,"Открыть чат"))</f>
        <v/>
      </c>
    </row>
    <row r="303">
      <c r="A303" s="32" t="n"/>
      <c r="B303" s="33" t="n"/>
      <c r="C303" s="33" t="n"/>
      <c r="D303" s="34" t="n"/>
      <c r="E303" s="33" t="n"/>
      <c r="F303" s="35" t="n"/>
      <c r="G303" s="36" t="n"/>
      <c r="H303" s="37" t="n"/>
      <c r="I303" s="38" t="n"/>
      <c r="J303" s="39">
        <f>IF(G303="","",HYPERLINK("https://wa.me/"&amp;G303,"Открыть чат"))</f>
        <v/>
      </c>
    </row>
    <row r="304">
      <c r="A304" s="32" t="n"/>
      <c r="B304" s="33" t="n"/>
      <c r="C304" s="33" t="n"/>
      <c r="D304" s="34" t="n"/>
      <c r="E304" s="33" t="n"/>
      <c r="F304" s="35" t="n"/>
      <c r="G304" s="36" t="n"/>
      <c r="H304" s="37" t="n"/>
      <c r="I304" s="38" t="n"/>
      <c r="J304" s="39">
        <f>IF(G304="","",HYPERLINK("https://wa.me/"&amp;G304,"Открыть чат"))</f>
        <v/>
      </c>
    </row>
    <row r="305">
      <c r="A305" s="32" t="n"/>
      <c r="B305" s="33" t="n"/>
      <c r="C305" s="33" t="n"/>
      <c r="D305" s="34" t="n"/>
      <c r="E305" s="33" t="n"/>
      <c r="F305" s="35" t="n"/>
      <c r="G305" s="36" t="n"/>
      <c r="H305" s="37" t="n"/>
      <c r="I305" s="38" t="n"/>
      <c r="J305" s="39">
        <f>IF(G305="","",HYPERLINK("https://wa.me/"&amp;G305,"Открыть чат"))</f>
        <v/>
      </c>
    </row>
    <row r="306">
      <c r="A306" s="32" t="n"/>
      <c r="B306" s="33" t="n"/>
      <c r="C306" s="33" t="n"/>
      <c r="D306" s="34" t="n"/>
      <c r="E306" s="33" t="n"/>
      <c r="F306" s="35" t="n"/>
      <c r="G306" s="36" t="n"/>
      <c r="H306" s="37" t="n"/>
      <c r="I306" s="38" t="n"/>
      <c r="J306" s="39">
        <f>IF(G306="","",HYPERLINK("https://wa.me/"&amp;G306,"Открыть чат"))</f>
        <v/>
      </c>
    </row>
    <row r="307">
      <c r="A307" s="32" t="n"/>
      <c r="B307" s="33" t="n"/>
      <c r="C307" s="33" t="n"/>
      <c r="D307" s="34" t="n"/>
      <c r="E307" s="33" t="n"/>
      <c r="F307" s="35" t="n"/>
      <c r="G307" s="36" t="n"/>
      <c r="H307" s="37" t="n"/>
      <c r="I307" s="38" t="n"/>
      <c r="J307" s="39">
        <f>IF(G307="","",HYPERLINK("https://wa.me/"&amp;G307,"Открыть чат"))</f>
        <v/>
      </c>
    </row>
    <row r="308">
      <c r="A308" s="32" t="n"/>
      <c r="B308" s="33" t="n"/>
      <c r="C308" s="33" t="n"/>
      <c r="D308" s="34" t="n"/>
      <c r="E308" s="33" t="n"/>
      <c r="F308" s="35" t="n"/>
      <c r="G308" s="36" t="n"/>
      <c r="H308" s="37" t="n"/>
      <c r="I308" s="38" t="n"/>
      <c r="J308" s="39">
        <f>IF(G308="","",HYPERLINK("https://wa.me/"&amp;G308,"Открыть чат"))</f>
        <v/>
      </c>
    </row>
    <row r="309">
      <c r="A309" s="32" t="n"/>
      <c r="B309" s="33" t="n"/>
      <c r="C309" s="33" t="n"/>
      <c r="D309" s="34" t="n"/>
      <c r="E309" s="33" t="n"/>
      <c r="F309" s="35" t="n"/>
      <c r="G309" s="36" t="n"/>
      <c r="H309" s="37" t="n"/>
      <c r="I309" s="38" t="n"/>
      <c r="J309" s="39">
        <f>IF(G309="","",HYPERLINK("https://wa.me/"&amp;G309,"Открыть чат"))</f>
        <v/>
      </c>
    </row>
    <row r="310">
      <c r="A310" s="32" t="n"/>
      <c r="B310" s="33" t="n"/>
      <c r="C310" s="33" t="n"/>
      <c r="D310" s="34" t="n"/>
      <c r="E310" s="33" t="n"/>
      <c r="F310" s="35" t="n"/>
      <c r="G310" s="36" t="n"/>
      <c r="H310" s="37" t="n"/>
      <c r="I310" s="38" t="n"/>
      <c r="J310" s="39">
        <f>IF(G310="","",HYPERLINK("https://wa.me/"&amp;G310,"Открыть чат"))</f>
        <v/>
      </c>
    </row>
    <row r="311">
      <c r="A311" s="32" t="n"/>
      <c r="B311" s="33" t="n"/>
      <c r="C311" s="33" t="n"/>
      <c r="D311" s="34" t="n"/>
      <c r="E311" s="33" t="n"/>
      <c r="F311" s="35" t="n"/>
      <c r="G311" s="36" t="n"/>
      <c r="H311" s="37" t="n"/>
      <c r="I311" s="38" t="n"/>
      <c r="J311" s="39">
        <f>IF(G311="","",HYPERLINK("https://wa.me/"&amp;G311,"Открыть чат"))</f>
        <v/>
      </c>
    </row>
    <row r="312">
      <c r="A312" s="32" t="n"/>
      <c r="B312" s="33" t="n"/>
      <c r="C312" s="33" t="n"/>
      <c r="D312" s="34" t="n"/>
      <c r="E312" s="33" t="n"/>
      <c r="F312" s="35" t="n"/>
      <c r="G312" s="36" t="n"/>
      <c r="H312" s="37" t="n"/>
      <c r="I312" s="38" t="n"/>
      <c r="J312" s="39">
        <f>IF(G312="","",HYPERLINK("https://wa.me/"&amp;G312,"Открыть чат"))</f>
        <v/>
      </c>
    </row>
    <row r="313">
      <c r="A313" s="32" t="n"/>
      <c r="B313" s="33" t="n"/>
      <c r="C313" s="33" t="n"/>
      <c r="D313" s="34" t="n"/>
      <c r="E313" s="33" t="n"/>
      <c r="F313" s="35" t="n"/>
      <c r="G313" s="36" t="n"/>
      <c r="H313" s="37" t="n"/>
      <c r="I313" s="38" t="n"/>
      <c r="J313" s="39">
        <f>IF(G313="","",HYPERLINK("https://wa.me/"&amp;G313,"Открыть чат"))</f>
        <v/>
      </c>
    </row>
    <row r="314">
      <c r="A314" s="32" t="n"/>
      <c r="B314" s="33" t="n"/>
      <c r="C314" s="33" t="n"/>
      <c r="D314" s="34" t="n"/>
      <c r="E314" s="33" t="n"/>
      <c r="F314" s="35" t="n"/>
      <c r="G314" s="36" t="n"/>
      <c r="H314" s="37" t="n"/>
      <c r="I314" s="38" t="n"/>
      <c r="J314" s="39">
        <f>IF(G314="","",HYPERLINK("https://wa.me/"&amp;G314,"Открыть чат"))</f>
        <v/>
      </c>
    </row>
    <row r="315">
      <c r="A315" s="32" t="n"/>
      <c r="B315" s="33" t="n"/>
      <c r="C315" s="33" t="n"/>
      <c r="D315" s="34" t="n"/>
      <c r="E315" s="33" t="n"/>
      <c r="F315" s="35" t="n"/>
      <c r="G315" s="36" t="n"/>
      <c r="H315" s="37" t="n"/>
      <c r="I315" s="38" t="n"/>
      <c r="J315" s="39">
        <f>IF(G315="","",HYPERLINK("https://wa.me/"&amp;G315,"Открыть чат"))</f>
        <v/>
      </c>
    </row>
    <row r="316">
      <c r="A316" s="32" t="n"/>
      <c r="B316" s="33" t="n"/>
      <c r="C316" s="33" t="n"/>
      <c r="D316" s="34" t="n"/>
      <c r="E316" s="33" t="n"/>
      <c r="F316" s="35" t="n"/>
      <c r="G316" s="36" t="n"/>
      <c r="H316" s="37" t="n"/>
      <c r="I316" s="38" t="n"/>
      <c r="J316" s="39">
        <f>IF(G316="","",HYPERLINK("https://wa.me/"&amp;G316,"Открыть чат"))</f>
        <v/>
      </c>
    </row>
    <row r="317">
      <c r="A317" s="32" t="n"/>
      <c r="B317" s="33" t="n"/>
      <c r="C317" s="33" t="n"/>
      <c r="D317" s="34" t="n"/>
      <c r="E317" s="33" t="n"/>
      <c r="F317" s="35" t="n"/>
      <c r="G317" s="36" t="n"/>
      <c r="H317" s="37" t="n"/>
      <c r="I317" s="38" t="n"/>
      <c r="J317" s="39">
        <f>IF(G317="","",HYPERLINK("https://wa.me/"&amp;G317,"Открыть чат"))</f>
        <v/>
      </c>
    </row>
    <row r="318">
      <c r="A318" s="32" t="n"/>
      <c r="B318" s="33" t="n"/>
      <c r="C318" s="33" t="n"/>
      <c r="D318" s="34" t="n"/>
      <c r="E318" s="33" t="n"/>
      <c r="F318" s="35" t="n"/>
      <c r="G318" s="36" t="n"/>
      <c r="H318" s="37" t="n"/>
      <c r="I318" s="38" t="n"/>
      <c r="J318" s="39">
        <f>IF(G318="","",HYPERLINK("https://wa.me/"&amp;G318,"Открыть чат"))</f>
        <v/>
      </c>
    </row>
    <row r="319">
      <c r="A319" s="32" t="n"/>
      <c r="B319" s="33" t="n"/>
      <c r="C319" s="33" t="n"/>
      <c r="D319" s="34" t="n"/>
      <c r="E319" s="33" t="n"/>
      <c r="F319" s="35" t="n"/>
      <c r="G319" s="36" t="n"/>
      <c r="H319" s="37" t="n"/>
      <c r="I319" s="38" t="n"/>
      <c r="J319" s="39">
        <f>IF(G319="","",HYPERLINK("https://wa.me/"&amp;G319,"Открыть чат"))</f>
        <v/>
      </c>
    </row>
    <row r="320">
      <c r="A320" s="32" t="n"/>
      <c r="B320" s="33" t="n"/>
      <c r="C320" s="33" t="n"/>
      <c r="D320" s="34" t="n"/>
      <c r="E320" s="33" t="n"/>
      <c r="F320" s="35" t="n"/>
      <c r="G320" s="36" t="n"/>
      <c r="H320" s="37" t="n"/>
      <c r="I320" s="38" t="n"/>
      <c r="J320" s="39">
        <f>IF(G320="","",HYPERLINK("https://wa.me/"&amp;G320,"Открыть чат"))</f>
        <v/>
      </c>
    </row>
    <row r="321">
      <c r="A321" s="32" t="n"/>
      <c r="B321" s="33" t="n"/>
      <c r="C321" s="33" t="n"/>
      <c r="D321" s="34" t="n"/>
      <c r="E321" s="33" t="n"/>
      <c r="F321" s="35" t="n"/>
      <c r="G321" s="36" t="n"/>
      <c r="H321" s="37" t="n"/>
      <c r="I321" s="38" t="n"/>
      <c r="J321" s="39">
        <f>IF(G321="","",HYPERLINK("https://wa.me/"&amp;G321,"Открыть чат"))</f>
        <v/>
      </c>
    </row>
    <row r="322">
      <c r="A322" s="32" t="n"/>
      <c r="B322" s="33" t="n"/>
      <c r="C322" s="33" t="n"/>
      <c r="D322" s="34" t="n"/>
      <c r="E322" s="33" t="n"/>
      <c r="F322" s="35" t="n"/>
      <c r="G322" s="36" t="n"/>
      <c r="H322" s="37" t="n"/>
      <c r="I322" s="38" t="n"/>
      <c r="J322" s="39">
        <f>IF(G322="","",HYPERLINK("https://wa.me/"&amp;G322,"Открыть чат"))</f>
        <v/>
      </c>
    </row>
    <row r="323">
      <c r="A323" s="32" t="n"/>
      <c r="B323" s="33" t="n"/>
      <c r="C323" s="33" t="n"/>
      <c r="D323" s="34" t="n"/>
      <c r="E323" s="33" t="n"/>
      <c r="F323" s="35" t="n"/>
      <c r="G323" s="36" t="n"/>
      <c r="H323" s="37" t="n"/>
      <c r="I323" s="38" t="n"/>
      <c r="J323" s="39">
        <f>IF(G323="","",HYPERLINK("https://wa.me/"&amp;G323,"Открыть чат"))</f>
        <v/>
      </c>
    </row>
    <row r="324">
      <c r="A324" s="32" t="n"/>
      <c r="B324" s="33" t="n"/>
      <c r="C324" s="33" t="n"/>
      <c r="D324" s="34" t="n"/>
      <c r="E324" s="33" t="n"/>
      <c r="F324" s="35" t="n"/>
      <c r="G324" s="36" t="n"/>
      <c r="H324" s="37" t="n"/>
      <c r="I324" s="38" t="n"/>
      <c r="J324" s="39">
        <f>IF(G324="","",HYPERLINK("https://wa.me/"&amp;G324,"Открыть чат"))</f>
        <v/>
      </c>
    </row>
    <row r="325">
      <c r="A325" s="32" t="n"/>
      <c r="B325" s="33" t="n"/>
      <c r="C325" s="33" t="n"/>
      <c r="D325" s="34" t="n"/>
      <c r="E325" s="33" t="n"/>
      <c r="F325" s="35" t="n"/>
      <c r="G325" s="36" t="n"/>
      <c r="H325" s="37" t="n"/>
      <c r="I325" s="38" t="n"/>
      <c r="J325" s="39">
        <f>IF(G325="","",HYPERLINK("https://wa.me/"&amp;G325,"Открыть чат"))</f>
        <v/>
      </c>
    </row>
    <row r="326">
      <c r="A326" s="32" t="n"/>
      <c r="B326" s="33" t="n"/>
      <c r="C326" s="33" t="n"/>
      <c r="D326" s="34" t="n"/>
      <c r="E326" s="33" t="n"/>
      <c r="F326" s="35" t="n"/>
      <c r="G326" s="36" t="n"/>
      <c r="H326" s="37" t="n"/>
      <c r="I326" s="38" t="n"/>
      <c r="J326" s="39">
        <f>IF(G326="","",HYPERLINK("https://wa.me/"&amp;G326,"Открыть чат"))</f>
        <v/>
      </c>
    </row>
    <row r="327">
      <c r="A327" s="32" t="n"/>
      <c r="B327" s="33" t="n"/>
      <c r="C327" s="33" t="n"/>
      <c r="D327" s="34" t="n"/>
      <c r="E327" s="33" t="n"/>
      <c r="F327" s="35" t="n"/>
      <c r="G327" s="36" t="n"/>
      <c r="H327" s="37" t="n"/>
      <c r="I327" s="38" t="n"/>
      <c r="J327" s="39">
        <f>IF(G327="","",HYPERLINK("https://wa.me/"&amp;G327,"Открыть чат"))</f>
        <v/>
      </c>
    </row>
    <row r="328">
      <c r="A328" s="32" t="n"/>
      <c r="B328" s="33" t="n"/>
      <c r="C328" s="33" t="n"/>
      <c r="D328" s="34" t="n"/>
      <c r="E328" s="33" t="n"/>
      <c r="F328" s="35" t="n"/>
      <c r="G328" s="36" t="n"/>
      <c r="H328" s="37" t="n"/>
      <c r="I328" s="38" t="n"/>
      <c r="J328" s="39">
        <f>IF(G328="","",HYPERLINK("https://wa.me/"&amp;G328,"Открыть чат"))</f>
        <v/>
      </c>
    </row>
    <row r="329">
      <c r="A329" s="32" t="n"/>
      <c r="B329" s="33" t="n"/>
      <c r="C329" s="33" t="n"/>
      <c r="D329" s="34" t="n"/>
      <c r="E329" s="33" t="n"/>
      <c r="F329" s="35" t="n"/>
      <c r="G329" s="36" t="n"/>
      <c r="H329" s="37" t="n"/>
      <c r="I329" s="38" t="n"/>
      <c r="J329" s="39">
        <f>IF(G329="","",HYPERLINK("https://wa.me/"&amp;G329,"Открыть чат"))</f>
        <v/>
      </c>
    </row>
    <row r="330">
      <c r="A330" s="32" t="n"/>
      <c r="B330" s="33" t="n"/>
      <c r="C330" s="33" t="n"/>
      <c r="D330" s="34" t="n"/>
      <c r="E330" s="33" t="n"/>
      <c r="F330" s="35" t="n"/>
      <c r="G330" s="36" t="n"/>
      <c r="H330" s="37" t="n"/>
      <c r="I330" s="38" t="n"/>
      <c r="J330" s="39">
        <f>IF(G330="","",HYPERLINK("https://wa.me/"&amp;G330,"Открыть чат"))</f>
        <v/>
      </c>
    </row>
    <row r="331">
      <c r="A331" s="32" t="n"/>
      <c r="B331" s="33" t="n"/>
      <c r="C331" s="33" t="n"/>
      <c r="D331" s="34" t="n"/>
      <c r="E331" s="33" t="n"/>
      <c r="F331" s="35" t="n"/>
      <c r="G331" s="36" t="n"/>
      <c r="H331" s="37" t="n"/>
      <c r="I331" s="38" t="n"/>
      <c r="J331" s="39">
        <f>IF(G331="","",HYPERLINK("https://wa.me/"&amp;G331,"Открыть чат"))</f>
        <v/>
      </c>
    </row>
    <row r="332">
      <c r="A332" s="32" t="n"/>
      <c r="B332" s="33" t="n"/>
      <c r="C332" s="33" t="n"/>
      <c r="D332" s="34" t="n"/>
      <c r="E332" s="33" t="n"/>
      <c r="F332" s="35" t="n"/>
      <c r="G332" s="36" t="n"/>
      <c r="H332" s="37" t="n"/>
      <c r="I332" s="38" t="n"/>
      <c r="J332" s="39">
        <f>IF(G332="","",HYPERLINK("https://wa.me/"&amp;G332,"Открыть чат"))</f>
        <v/>
      </c>
    </row>
    <row r="333">
      <c r="A333" s="32" t="n"/>
      <c r="B333" s="33" t="n"/>
      <c r="C333" s="33" t="n"/>
      <c r="D333" s="34" t="n"/>
      <c r="E333" s="33" t="n"/>
      <c r="F333" s="35" t="n"/>
      <c r="G333" s="36" t="n"/>
      <c r="H333" s="37" t="n"/>
      <c r="I333" s="38" t="n"/>
      <c r="J333" s="39">
        <f>IF(G333="","",HYPERLINK("https://wa.me/"&amp;G333,"Открыть чат"))</f>
        <v/>
      </c>
    </row>
    <row r="334">
      <c r="A334" s="32" t="n"/>
      <c r="B334" s="33" t="n"/>
      <c r="C334" s="33" t="n"/>
      <c r="D334" s="34" t="n"/>
      <c r="E334" s="33" t="n"/>
      <c r="F334" s="35" t="n"/>
      <c r="G334" s="36" t="n"/>
      <c r="H334" s="37" t="n"/>
      <c r="I334" s="38" t="n"/>
      <c r="J334" s="39">
        <f>IF(G334="","",HYPERLINK("https://wa.me/"&amp;G334,"Открыть чат"))</f>
        <v/>
      </c>
    </row>
    <row r="335">
      <c r="A335" s="32" t="n"/>
      <c r="B335" s="33" t="n"/>
      <c r="C335" s="33" t="n"/>
      <c r="D335" s="34" t="n"/>
      <c r="E335" s="33" t="n"/>
      <c r="F335" s="35" t="n"/>
      <c r="G335" s="36" t="n"/>
      <c r="H335" s="37" t="n"/>
      <c r="I335" s="38" t="n"/>
      <c r="J335" s="39">
        <f>IF(G335="","",HYPERLINK("https://wa.me/"&amp;G335,"Открыть чат"))</f>
        <v/>
      </c>
    </row>
    <row r="336">
      <c r="A336" s="32" t="n"/>
      <c r="B336" s="33" t="n"/>
      <c r="C336" s="33" t="n"/>
      <c r="D336" s="34" t="n"/>
      <c r="E336" s="33" t="n"/>
      <c r="F336" s="35" t="n"/>
      <c r="G336" s="36" t="n"/>
      <c r="H336" s="37" t="n"/>
      <c r="I336" s="38" t="n"/>
      <c r="J336" s="39">
        <f>IF(G336="","",HYPERLINK("https://wa.me/"&amp;G336,"Открыть чат"))</f>
        <v/>
      </c>
    </row>
  </sheetData>
  <conditionalFormatting sqref="B9:B33">
    <cfRule type="expression" priority="1" dxfId="0">
      <formula>B9="Очередь"</formula>
    </cfRule>
    <cfRule type="expression" priority="2" dxfId="1">
      <formula>B9="Отправлено"</formula>
    </cfRule>
    <cfRule type="expression" priority="3" dxfId="2">
      <formula>B9="Не ответил"</formula>
    </cfRule>
    <cfRule type="expression" priority="4" dxfId="3">
      <formula>B9="Ответил"</formula>
    </cfRule>
    <cfRule type="expression" priority="5" dxfId="4">
      <formula>B9="Доработать"</formula>
    </cfRule>
    <cfRule type="expression" priority="6" dxfId="5">
      <formula>B9="Перезвонить"</formula>
    </cfRule>
    <cfRule type="expression" priority="7" dxfId="6">
      <formula>B9="Созвон"</formula>
    </cfRule>
    <cfRule type="expression" priority="8" dxfId="7">
      <formula>B9="Клиент"</formula>
    </cfRule>
    <cfRule type="expression" priority="9" dxfId="8">
      <formula>B9="Отказ"</formula>
    </cfRule>
    <cfRule type="expression" priority="10" dxfId="9">
      <formula>B9="Не писать"</formula>
    </cfRule>
  </conditionalFormatting>
  <conditionalFormatting sqref="E9:E33">
    <cfRule type="expression" priority="11" dxfId="8">
      <formula>E9="просрочено"</formula>
    </cfRule>
    <cfRule type="expression" priority="12" dxfId="4">
      <formula>OR(E9="сегодня",E9="укажи дату",LEFT(E9,6)="молчит")</formula>
    </cfRule>
  </conditionalFormatting>
  <conditionalFormatting sqref="B37:B336">
    <cfRule type="expression" priority="13" dxfId="0">
      <formula>B37="Очередь"</formula>
    </cfRule>
    <cfRule type="expression" priority="14" dxfId="1">
      <formula>B37="Отправлено"</formula>
    </cfRule>
    <cfRule type="expression" priority="15" dxfId="2">
      <formula>B37="Не ответил"</formula>
    </cfRule>
    <cfRule type="expression" priority="16" dxfId="3">
      <formula>B37="Ответил"</formula>
    </cfRule>
    <cfRule type="expression" priority="17" dxfId="4">
      <formula>B37="Доработать"</formula>
    </cfRule>
    <cfRule type="expression" priority="18" dxfId="5">
      <formula>B37="Перезвонить"</formula>
    </cfRule>
    <cfRule type="expression" priority="19" dxfId="6">
      <formula>B37="Созвон"</formula>
    </cfRule>
    <cfRule type="expression" priority="20" dxfId="7">
      <formula>B37="Клиент"</formula>
    </cfRule>
    <cfRule type="expression" priority="21" dxfId="8">
      <formula>B37="Отказ"</formula>
    </cfRule>
    <cfRule type="expression" priority="22" dxfId="9">
      <formula>B37="Не писать"</formula>
    </cfRule>
  </conditionalFormatting>
  <conditionalFormatting sqref="E37:E336">
    <cfRule type="expression" priority="23" dxfId="8">
      <formula>E37="просрочено"</formula>
    </cfRule>
    <cfRule type="expression" priority="24" dxfId="4">
      <formula>OR(E37="сегодня",E37="укажи дату",LEFT(E37,6)="молчит")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A5200"/>
    <outlinePr summaryBelow="1" summaryRight="1"/>
    <pageSetUpPr/>
  </sheetPr>
  <dimension ref="A1:J3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hidden="1" width="15" customWidth="1" min="3" max="3"/>
    <col width="20" customWidth="1" min="4" max="4"/>
    <col width="16" customWidth="1" min="5" max="5"/>
    <col width="48" customWidth="1" min="6" max="6"/>
    <col width="16" customWidth="1" min="7" max="7"/>
    <col width="15" customWidth="1" min="8" max="8"/>
    <col hidden="1" width="5" customWidth="1" min="9" max="9"/>
    <col width="16" customWidth="1" min="10" max="10"/>
  </cols>
  <sheetData>
    <row r="1">
      <c r="A1" s="56" t="inlineStr">
        <is>
          <t>Зураб</t>
        </is>
      </c>
    </row>
    <row r="2">
      <c r="A2" s="2" t="inlineStr">
        <is>
          <t>Твои дела и твои лиды. Лист собирается сам: править нужно на листе «Лиды».</t>
        </is>
      </c>
    </row>
    <row r="4" ht="30" customHeight="1">
      <c r="A4" s="3" t="inlineStr">
        <is>
          <t>в работе</t>
        </is>
      </c>
      <c r="B4" s="3" t="inlineStr">
        <is>
          <t>ждём ответа</t>
        </is>
      </c>
      <c r="D4" s="3" t="inlineStr">
        <is>
          <t>дел на сегодня</t>
        </is>
      </c>
      <c r="E4" s="3" t="inlineStr">
        <is>
          <t>просрочено</t>
        </is>
      </c>
      <c r="F4" s="55" t="n"/>
      <c r="G4" s="3" t="inlineStr">
        <is>
          <t>молчат 3+ дня</t>
        </is>
      </c>
      <c r="H4" s="3" t="inlineStr">
        <is>
          <t>клиентов</t>
        </is>
      </c>
    </row>
    <row r="5" ht="40" customHeight="1">
      <c r="A5" s="6">
        <f>COUNTIFS('Лиды'!$C$2:$C$2000,"Ответил",'Лиды'!$D$2:$D$2000,$A$1)+COUNTIFS('Лиды'!$C$2:$C$2000,"Доработать",'Лиды'!$D$2:$D$2000,$A$1)+COUNTIFS('Лиды'!$C$2:$C$2000,"Перезвонить",'Лиды'!$D$2:$D$2000,$A$1)+COUNTIFS('Лиды'!$C$2:$C$2000,"Созвон",'Лиды'!$D$2:$D$2000,$A$1)</f>
        <v/>
      </c>
      <c r="B5" s="5">
        <f>COUNTIFS('Лиды'!$C$2:$C$2000,"Отправлено",'Лиды'!$D$2:$D$2000,$A$1)</f>
        <v/>
      </c>
      <c r="D5" s="7">
        <f>COUNTIFS('Лиды'!$F$2:$F$2000,"сегодня",'Лиды'!$D$2:$D$2000,$A$1)+COUNTIFS('Лиды'!$F$2:$F$2000,"укажи дату",'Лиды'!$D$2:$D$2000,$A$1)</f>
        <v/>
      </c>
      <c r="E5" s="8">
        <f>COUNTIFS('Лиды'!$F$2:$F$2000,"просрочено",'Лиды'!$D$2:$D$2000,$A$1)</f>
        <v/>
      </c>
      <c r="F5" s="55" t="n"/>
      <c r="G5" s="7">
        <f>COUNTIFS('Лиды'!$F$2:$F$2000,"молчит*",'Лиды'!$D$2:$D$2000,$A$1)</f>
        <v/>
      </c>
      <c r="H5" s="6">
        <f>COUNTIFS('Лиды'!$C$2:$C$2000,"Клиент",'Лиды'!$D$2:$D$2000,$A$1)</f>
        <v/>
      </c>
    </row>
    <row r="7">
      <c r="A7" s="9" t="inlineStr">
        <is>
          <t>Что сделать сейчас</t>
        </is>
      </c>
    </row>
    <row r="8" ht="30" customHeight="1">
      <c r="A8" s="10" t="inlineStr">
        <is>
          <t>Компания</t>
        </is>
      </c>
      <c r="B8" s="10" t="inlineStr">
        <is>
          <t>Этап</t>
        </is>
      </c>
      <c r="C8" s="10" t="inlineStr">
        <is>
          <t>Менеджер</t>
        </is>
      </c>
      <c r="D8" s="10" t="inlineStr">
        <is>
          <t>Следующий контакт</t>
        </is>
      </c>
      <c r="E8" s="10" t="inlineStr">
        <is>
          <t>Срок</t>
        </is>
      </c>
      <c r="F8" s="10" t="inlineStr">
        <is>
          <t>Заметка</t>
        </is>
      </c>
      <c r="G8" s="10" t="inlineStr">
        <is>
          <t>Телефон</t>
        </is>
      </c>
      <c r="H8" s="10" t="inlineStr">
        <is>
          <t>Написали</t>
        </is>
      </c>
      <c r="I8" s="10" t="inlineStr">
        <is>
          <t>ранг</t>
        </is>
      </c>
      <c r="J8" s="10" t="inlineStr">
        <is>
          <t>Чат</t>
        </is>
      </c>
    </row>
    <row r="9">
      <c r="A9" s="32">
        <f>IFERROR(ARRAY_CONSTRAIN(SORT(FILTER('Лиды'!$B$2:$J$2000,('Лиды'!$D$2:$D$2000=$A$1)*('Лиды'!$V$2:$V$2000=1)),4,TRUE),25,9),"Дел нет")</f>
        <v/>
      </c>
      <c r="B9" s="33" t="n"/>
      <c r="C9" s="33" t="n"/>
      <c r="D9" s="34" t="n"/>
      <c r="E9" s="33" t="n"/>
      <c r="F9" s="35" t="n"/>
      <c r="G9" s="36" t="n"/>
      <c r="H9" s="37" t="n"/>
      <c r="I9" s="38" t="n"/>
      <c r="J9" s="39">
        <f>IF(G9="","",HYPERLINK("https://wa.me/"&amp;G9,"Открыть чат"))</f>
        <v/>
      </c>
    </row>
    <row r="10">
      <c r="A10" s="32" t="n"/>
      <c r="B10" s="33" t="n"/>
      <c r="C10" s="33" t="n"/>
      <c r="D10" s="34" t="n"/>
      <c r="E10" s="33" t="n"/>
      <c r="F10" s="35" t="n"/>
      <c r="G10" s="36" t="n"/>
      <c r="H10" s="37" t="n"/>
      <c r="I10" s="38" t="n"/>
      <c r="J10" s="39">
        <f>IF(G10="","",HYPERLINK("https://wa.me/"&amp;G10,"Открыть чат"))</f>
        <v/>
      </c>
    </row>
    <row r="11">
      <c r="A11" s="32" t="n"/>
      <c r="B11" s="33" t="n"/>
      <c r="C11" s="33" t="n"/>
      <c r="D11" s="34" t="n"/>
      <c r="E11" s="33" t="n"/>
      <c r="F11" s="35" t="n"/>
      <c r="G11" s="36" t="n"/>
      <c r="H11" s="37" t="n"/>
      <c r="I11" s="38" t="n"/>
      <c r="J11" s="39">
        <f>IF(G11="","",HYPERLINK("https://wa.me/"&amp;G11,"Открыть чат"))</f>
        <v/>
      </c>
    </row>
    <row r="12">
      <c r="A12" s="32" t="n"/>
      <c r="B12" s="33" t="n"/>
      <c r="C12" s="33" t="n"/>
      <c r="D12" s="34" t="n"/>
      <c r="E12" s="33" t="n"/>
      <c r="F12" s="35" t="n"/>
      <c r="G12" s="36" t="n"/>
      <c r="H12" s="37" t="n"/>
      <c r="I12" s="38" t="n"/>
      <c r="J12" s="39">
        <f>IF(G12="","",HYPERLINK("https://wa.me/"&amp;G12,"Открыть чат"))</f>
        <v/>
      </c>
    </row>
    <row r="13">
      <c r="A13" s="32" t="n"/>
      <c r="B13" s="33" t="n"/>
      <c r="C13" s="33" t="n"/>
      <c r="D13" s="34" t="n"/>
      <c r="E13" s="33" t="n"/>
      <c r="F13" s="35" t="n"/>
      <c r="G13" s="36" t="n"/>
      <c r="H13" s="37" t="n"/>
      <c r="I13" s="38" t="n"/>
      <c r="J13" s="39">
        <f>IF(G13="","",HYPERLINK("https://wa.me/"&amp;G13,"Открыть чат"))</f>
        <v/>
      </c>
    </row>
    <row r="14">
      <c r="A14" s="32" t="n"/>
      <c r="B14" s="33" t="n"/>
      <c r="C14" s="33" t="n"/>
      <c r="D14" s="34" t="n"/>
      <c r="E14" s="33" t="n"/>
      <c r="F14" s="35" t="n"/>
      <c r="G14" s="36" t="n"/>
      <c r="H14" s="37" t="n"/>
      <c r="I14" s="38" t="n"/>
      <c r="J14" s="39">
        <f>IF(G14="","",HYPERLINK("https://wa.me/"&amp;G14,"Открыть чат"))</f>
        <v/>
      </c>
    </row>
    <row r="15">
      <c r="A15" s="32" t="n"/>
      <c r="B15" s="33" t="n"/>
      <c r="C15" s="33" t="n"/>
      <c r="D15" s="34" t="n"/>
      <c r="E15" s="33" t="n"/>
      <c r="F15" s="35" t="n"/>
      <c r="G15" s="36" t="n"/>
      <c r="H15" s="37" t="n"/>
      <c r="I15" s="38" t="n"/>
      <c r="J15" s="39">
        <f>IF(G15="","",HYPERLINK("https://wa.me/"&amp;G15,"Открыть чат"))</f>
        <v/>
      </c>
    </row>
    <row r="16">
      <c r="A16" s="32" t="n"/>
      <c r="B16" s="33" t="n"/>
      <c r="C16" s="33" t="n"/>
      <c r="D16" s="34" t="n"/>
      <c r="E16" s="33" t="n"/>
      <c r="F16" s="35" t="n"/>
      <c r="G16" s="36" t="n"/>
      <c r="H16" s="37" t="n"/>
      <c r="I16" s="38" t="n"/>
      <c r="J16" s="39">
        <f>IF(G16="","",HYPERLINK("https://wa.me/"&amp;G16,"Открыть чат"))</f>
        <v/>
      </c>
    </row>
    <row r="17">
      <c r="A17" s="32" t="n"/>
      <c r="B17" s="33" t="n"/>
      <c r="C17" s="33" t="n"/>
      <c r="D17" s="34" t="n"/>
      <c r="E17" s="33" t="n"/>
      <c r="F17" s="35" t="n"/>
      <c r="G17" s="36" t="n"/>
      <c r="H17" s="37" t="n"/>
      <c r="I17" s="38" t="n"/>
      <c r="J17" s="39">
        <f>IF(G17="","",HYPERLINK("https://wa.me/"&amp;G17,"Открыть чат"))</f>
        <v/>
      </c>
    </row>
    <row r="18">
      <c r="A18" s="32" t="n"/>
      <c r="B18" s="33" t="n"/>
      <c r="C18" s="33" t="n"/>
      <c r="D18" s="34" t="n"/>
      <c r="E18" s="33" t="n"/>
      <c r="F18" s="35" t="n"/>
      <c r="G18" s="36" t="n"/>
      <c r="H18" s="37" t="n"/>
      <c r="I18" s="38" t="n"/>
      <c r="J18" s="39">
        <f>IF(G18="","",HYPERLINK("https://wa.me/"&amp;G18,"Открыть чат"))</f>
        <v/>
      </c>
    </row>
    <row r="19">
      <c r="A19" s="32" t="n"/>
      <c r="B19" s="33" t="n"/>
      <c r="C19" s="33" t="n"/>
      <c r="D19" s="34" t="n"/>
      <c r="E19" s="33" t="n"/>
      <c r="F19" s="35" t="n"/>
      <c r="G19" s="36" t="n"/>
      <c r="H19" s="37" t="n"/>
      <c r="I19" s="38" t="n"/>
      <c r="J19" s="39">
        <f>IF(G19="","",HYPERLINK("https://wa.me/"&amp;G19,"Открыть чат"))</f>
        <v/>
      </c>
    </row>
    <row r="20">
      <c r="A20" s="32" t="n"/>
      <c r="B20" s="33" t="n"/>
      <c r="C20" s="33" t="n"/>
      <c r="D20" s="34" t="n"/>
      <c r="E20" s="33" t="n"/>
      <c r="F20" s="35" t="n"/>
      <c r="G20" s="36" t="n"/>
      <c r="H20" s="37" t="n"/>
      <c r="I20" s="38" t="n"/>
      <c r="J20" s="39">
        <f>IF(G20="","",HYPERLINK("https://wa.me/"&amp;G20,"Открыть чат"))</f>
        <v/>
      </c>
    </row>
    <row r="21">
      <c r="A21" s="32" t="n"/>
      <c r="B21" s="33" t="n"/>
      <c r="C21" s="33" t="n"/>
      <c r="D21" s="34" t="n"/>
      <c r="E21" s="33" t="n"/>
      <c r="F21" s="35" t="n"/>
      <c r="G21" s="36" t="n"/>
      <c r="H21" s="37" t="n"/>
      <c r="I21" s="38" t="n"/>
      <c r="J21" s="39">
        <f>IF(G21="","",HYPERLINK("https://wa.me/"&amp;G21,"Открыть чат"))</f>
        <v/>
      </c>
    </row>
    <row r="22">
      <c r="A22" s="32" t="n"/>
      <c r="B22" s="33" t="n"/>
      <c r="C22" s="33" t="n"/>
      <c r="D22" s="34" t="n"/>
      <c r="E22" s="33" t="n"/>
      <c r="F22" s="35" t="n"/>
      <c r="G22" s="36" t="n"/>
      <c r="H22" s="37" t="n"/>
      <c r="I22" s="38" t="n"/>
      <c r="J22" s="39">
        <f>IF(G22="","",HYPERLINK("https://wa.me/"&amp;G22,"Открыть чат"))</f>
        <v/>
      </c>
    </row>
    <row r="23">
      <c r="A23" s="32" t="n"/>
      <c r="B23" s="33" t="n"/>
      <c r="C23" s="33" t="n"/>
      <c r="D23" s="34" t="n"/>
      <c r="E23" s="33" t="n"/>
      <c r="F23" s="35" t="n"/>
      <c r="G23" s="36" t="n"/>
      <c r="H23" s="37" t="n"/>
      <c r="I23" s="38" t="n"/>
      <c r="J23" s="39">
        <f>IF(G23="","",HYPERLINK("https://wa.me/"&amp;G23,"Открыть чат"))</f>
        <v/>
      </c>
    </row>
    <row r="24">
      <c r="A24" s="32" t="n"/>
      <c r="B24" s="33" t="n"/>
      <c r="C24" s="33" t="n"/>
      <c r="D24" s="34" t="n"/>
      <c r="E24" s="33" t="n"/>
      <c r="F24" s="35" t="n"/>
      <c r="G24" s="36" t="n"/>
      <c r="H24" s="37" t="n"/>
      <c r="I24" s="38" t="n"/>
      <c r="J24" s="39">
        <f>IF(G24="","",HYPERLINK("https://wa.me/"&amp;G24,"Открыть чат"))</f>
        <v/>
      </c>
    </row>
    <row r="25">
      <c r="A25" s="32" t="n"/>
      <c r="B25" s="33" t="n"/>
      <c r="C25" s="33" t="n"/>
      <c r="D25" s="34" t="n"/>
      <c r="E25" s="33" t="n"/>
      <c r="F25" s="35" t="n"/>
      <c r="G25" s="36" t="n"/>
      <c r="H25" s="37" t="n"/>
      <c r="I25" s="38" t="n"/>
      <c r="J25" s="39">
        <f>IF(G25="","",HYPERLINK("https://wa.me/"&amp;G25,"Открыть чат"))</f>
        <v/>
      </c>
    </row>
    <row r="26">
      <c r="A26" s="32" t="n"/>
      <c r="B26" s="33" t="n"/>
      <c r="C26" s="33" t="n"/>
      <c r="D26" s="34" t="n"/>
      <c r="E26" s="33" t="n"/>
      <c r="F26" s="35" t="n"/>
      <c r="G26" s="36" t="n"/>
      <c r="H26" s="37" t="n"/>
      <c r="I26" s="38" t="n"/>
      <c r="J26" s="39">
        <f>IF(G26="","",HYPERLINK("https://wa.me/"&amp;G26,"Открыть чат"))</f>
        <v/>
      </c>
    </row>
    <row r="27">
      <c r="A27" s="32" t="n"/>
      <c r="B27" s="33" t="n"/>
      <c r="C27" s="33" t="n"/>
      <c r="D27" s="34" t="n"/>
      <c r="E27" s="33" t="n"/>
      <c r="F27" s="35" t="n"/>
      <c r="G27" s="36" t="n"/>
      <c r="H27" s="37" t="n"/>
      <c r="I27" s="38" t="n"/>
      <c r="J27" s="39">
        <f>IF(G27="","",HYPERLINK("https://wa.me/"&amp;G27,"Открыть чат"))</f>
        <v/>
      </c>
    </row>
    <row r="28">
      <c r="A28" s="32" t="n"/>
      <c r="B28" s="33" t="n"/>
      <c r="C28" s="33" t="n"/>
      <c r="D28" s="34" t="n"/>
      <c r="E28" s="33" t="n"/>
      <c r="F28" s="35" t="n"/>
      <c r="G28" s="36" t="n"/>
      <c r="H28" s="37" t="n"/>
      <c r="I28" s="38" t="n"/>
      <c r="J28" s="39">
        <f>IF(G28="","",HYPERLINK("https://wa.me/"&amp;G28,"Открыть чат"))</f>
        <v/>
      </c>
    </row>
    <row r="29">
      <c r="A29" s="32" t="n"/>
      <c r="B29" s="33" t="n"/>
      <c r="C29" s="33" t="n"/>
      <c r="D29" s="34" t="n"/>
      <c r="E29" s="33" t="n"/>
      <c r="F29" s="35" t="n"/>
      <c r="G29" s="36" t="n"/>
      <c r="H29" s="37" t="n"/>
      <c r="I29" s="38" t="n"/>
      <c r="J29" s="39">
        <f>IF(G29="","",HYPERLINK("https://wa.me/"&amp;G29,"Открыть чат"))</f>
        <v/>
      </c>
    </row>
    <row r="30">
      <c r="A30" s="32" t="n"/>
      <c r="B30" s="33" t="n"/>
      <c r="C30" s="33" t="n"/>
      <c r="D30" s="34" t="n"/>
      <c r="E30" s="33" t="n"/>
      <c r="F30" s="35" t="n"/>
      <c r="G30" s="36" t="n"/>
      <c r="H30" s="37" t="n"/>
      <c r="I30" s="38" t="n"/>
      <c r="J30" s="39">
        <f>IF(G30="","",HYPERLINK("https://wa.me/"&amp;G30,"Открыть чат"))</f>
        <v/>
      </c>
    </row>
    <row r="31">
      <c r="A31" s="32" t="n"/>
      <c r="B31" s="33" t="n"/>
      <c r="C31" s="33" t="n"/>
      <c r="D31" s="34" t="n"/>
      <c r="E31" s="33" t="n"/>
      <c r="F31" s="35" t="n"/>
      <c r="G31" s="36" t="n"/>
      <c r="H31" s="37" t="n"/>
      <c r="I31" s="38" t="n"/>
      <c r="J31" s="39">
        <f>IF(G31="","",HYPERLINK("https://wa.me/"&amp;G31,"Открыть чат"))</f>
        <v/>
      </c>
    </row>
    <row r="32">
      <c r="A32" s="32" t="n"/>
      <c r="B32" s="33" t="n"/>
      <c r="C32" s="33" t="n"/>
      <c r="D32" s="34" t="n"/>
      <c r="E32" s="33" t="n"/>
      <c r="F32" s="35" t="n"/>
      <c r="G32" s="36" t="n"/>
      <c r="H32" s="37" t="n"/>
      <c r="I32" s="38" t="n"/>
      <c r="J32" s="39">
        <f>IF(G32="","",HYPERLINK("https://wa.me/"&amp;G32,"Открыть чат"))</f>
        <v/>
      </c>
    </row>
    <row r="33">
      <c r="A33" s="32" t="n"/>
      <c r="B33" s="33" t="n"/>
      <c r="C33" s="33" t="n"/>
      <c r="D33" s="34" t="n"/>
      <c r="E33" s="33" t="n"/>
      <c r="F33" s="35" t="n"/>
      <c r="G33" s="36" t="n"/>
      <c r="H33" s="37" t="n"/>
      <c r="I33" s="38" t="n"/>
      <c r="J33" s="39">
        <f>IF(G33="","",HYPERLINK("https://wa.me/"&amp;G33,"Открыть чат"))</f>
        <v/>
      </c>
    </row>
    <row r="35">
      <c r="A35" s="9" t="inlineStr">
        <is>
          <t>Все мои лиды по этапам</t>
        </is>
      </c>
    </row>
    <row r="36" ht="30" customHeight="1">
      <c r="A36" s="10" t="inlineStr">
        <is>
          <t>Компания</t>
        </is>
      </c>
      <c r="B36" s="10" t="inlineStr">
        <is>
          <t>Этап</t>
        </is>
      </c>
      <c r="C36" s="10" t="inlineStr">
        <is>
          <t>Менеджер</t>
        </is>
      </c>
      <c r="D36" s="10" t="inlineStr">
        <is>
          <t>Следующий контакт</t>
        </is>
      </c>
      <c r="E36" s="10" t="inlineStr">
        <is>
          <t>Срок</t>
        </is>
      </c>
      <c r="F36" s="10" t="inlineStr">
        <is>
          <t>Заметка</t>
        </is>
      </c>
      <c r="G36" s="10" t="inlineStr">
        <is>
          <t>Телефон</t>
        </is>
      </c>
      <c r="H36" s="10" t="inlineStr">
        <is>
          <t>Написали</t>
        </is>
      </c>
      <c r="I36" s="10" t="inlineStr">
        <is>
          <t>ранг</t>
        </is>
      </c>
      <c r="J36" s="10" t="inlineStr">
        <is>
          <t>Чат</t>
        </is>
      </c>
    </row>
    <row r="37">
      <c r="A37" s="32">
        <f>IFERROR(SORT(FILTER('Лиды'!$B$2:$J$2000,('Лиды'!$D$2:$D$2000=$A$1)*('Лиды'!$C$2:$C$2000&lt;&gt;"Очередь")),9,TRUE),"Пока никого: поставь себя в колонке «Менеджер» на листе «Лиды»")</f>
        <v/>
      </c>
      <c r="B37" s="33" t="n"/>
      <c r="C37" s="33" t="n"/>
      <c r="D37" s="34" t="n"/>
      <c r="E37" s="33" t="n"/>
      <c r="F37" s="35" t="n"/>
      <c r="G37" s="36" t="n"/>
      <c r="H37" s="37" t="n"/>
      <c r="I37" s="38" t="n"/>
      <c r="J37" s="39">
        <f>IF(G37="","",HYPERLINK("https://wa.me/"&amp;G37,"Открыть чат"))</f>
        <v/>
      </c>
    </row>
    <row r="38">
      <c r="A38" s="32" t="n"/>
      <c r="B38" s="33" t="n"/>
      <c r="C38" s="33" t="n"/>
      <c r="D38" s="34" t="n"/>
      <c r="E38" s="33" t="n"/>
      <c r="F38" s="35" t="n"/>
      <c r="G38" s="36" t="n"/>
      <c r="H38" s="37" t="n"/>
      <c r="I38" s="38" t="n"/>
      <c r="J38" s="39">
        <f>IF(G38="","",HYPERLINK("https://wa.me/"&amp;G38,"Открыть чат"))</f>
        <v/>
      </c>
    </row>
    <row r="39">
      <c r="A39" s="32" t="n"/>
      <c r="B39" s="33" t="n"/>
      <c r="C39" s="33" t="n"/>
      <c r="D39" s="34" t="n"/>
      <c r="E39" s="33" t="n"/>
      <c r="F39" s="35" t="n"/>
      <c r="G39" s="36" t="n"/>
      <c r="H39" s="37" t="n"/>
      <c r="I39" s="38" t="n"/>
      <c r="J39" s="39">
        <f>IF(G39="","",HYPERLINK("https://wa.me/"&amp;G39,"Открыть чат"))</f>
        <v/>
      </c>
    </row>
    <row r="40">
      <c r="A40" s="32" t="n"/>
      <c r="B40" s="33" t="n"/>
      <c r="C40" s="33" t="n"/>
      <c r="D40" s="34" t="n"/>
      <c r="E40" s="33" t="n"/>
      <c r="F40" s="35" t="n"/>
      <c r="G40" s="36" t="n"/>
      <c r="H40" s="37" t="n"/>
      <c r="I40" s="38" t="n"/>
      <c r="J40" s="39">
        <f>IF(G40="","",HYPERLINK("https://wa.me/"&amp;G40,"Открыть чат"))</f>
        <v/>
      </c>
    </row>
    <row r="41">
      <c r="A41" s="32" t="n"/>
      <c r="B41" s="33" t="n"/>
      <c r="C41" s="33" t="n"/>
      <c r="D41" s="34" t="n"/>
      <c r="E41" s="33" t="n"/>
      <c r="F41" s="35" t="n"/>
      <c r="G41" s="36" t="n"/>
      <c r="H41" s="37" t="n"/>
      <c r="I41" s="38" t="n"/>
      <c r="J41" s="39">
        <f>IF(G41="","",HYPERLINK("https://wa.me/"&amp;G41,"Открыть чат"))</f>
        <v/>
      </c>
    </row>
    <row r="42">
      <c r="A42" s="32" t="n"/>
      <c r="B42" s="33" t="n"/>
      <c r="C42" s="33" t="n"/>
      <c r="D42" s="34" t="n"/>
      <c r="E42" s="33" t="n"/>
      <c r="F42" s="35" t="n"/>
      <c r="G42" s="36" t="n"/>
      <c r="H42" s="37" t="n"/>
      <c r="I42" s="38" t="n"/>
      <c r="J42" s="39">
        <f>IF(G42="","",HYPERLINK("https://wa.me/"&amp;G42,"Открыть чат"))</f>
        <v/>
      </c>
    </row>
    <row r="43">
      <c r="A43" s="32" t="n"/>
      <c r="B43" s="33" t="n"/>
      <c r="C43" s="33" t="n"/>
      <c r="D43" s="34" t="n"/>
      <c r="E43" s="33" t="n"/>
      <c r="F43" s="35" t="n"/>
      <c r="G43" s="36" t="n"/>
      <c r="H43" s="37" t="n"/>
      <c r="I43" s="38" t="n"/>
      <c r="J43" s="39">
        <f>IF(G43="","",HYPERLINK("https://wa.me/"&amp;G43,"Открыть чат"))</f>
        <v/>
      </c>
    </row>
    <row r="44">
      <c r="A44" s="32" t="n"/>
      <c r="B44" s="33" t="n"/>
      <c r="C44" s="33" t="n"/>
      <c r="D44" s="34" t="n"/>
      <c r="E44" s="33" t="n"/>
      <c r="F44" s="35" t="n"/>
      <c r="G44" s="36" t="n"/>
      <c r="H44" s="37" t="n"/>
      <c r="I44" s="38" t="n"/>
      <c r="J44" s="39">
        <f>IF(G44="","",HYPERLINK("https://wa.me/"&amp;G44,"Открыть чат"))</f>
        <v/>
      </c>
    </row>
    <row r="45">
      <c r="A45" s="32" t="n"/>
      <c r="B45" s="33" t="n"/>
      <c r="C45" s="33" t="n"/>
      <c r="D45" s="34" t="n"/>
      <c r="E45" s="33" t="n"/>
      <c r="F45" s="35" t="n"/>
      <c r="G45" s="36" t="n"/>
      <c r="H45" s="37" t="n"/>
      <c r="I45" s="38" t="n"/>
      <c r="J45" s="39">
        <f>IF(G45="","",HYPERLINK("https://wa.me/"&amp;G45,"Открыть чат"))</f>
        <v/>
      </c>
    </row>
    <row r="46">
      <c r="A46" s="32" t="n"/>
      <c r="B46" s="33" t="n"/>
      <c r="C46" s="33" t="n"/>
      <c r="D46" s="34" t="n"/>
      <c r="E46" s="33" t="n"/>
      <c r="F46" s="35" t="n"/>
      <c r="G46" s="36" t="n"/>
      <c r="H46" s="37" t="n"/>
      <c r="I46" s="38" t="n"/>
      <c r="J46" s="39">
        <f>IF(G46="","",HYPERLINK("https://wa.me/"&amp;G46,"Открыть чат"))</f>
        <v/>
      </c>
    </row>
    <row r="47">
      <c r="A47" s="32" t="n"/>
      <c r="B47" s="33" t="n"/>
      <c r="C47" s="33" t="n"/>
      <c r="D47" s="34" t="n"/>
      <c r="E47" s="33" t="n"/>
      <c r="F47" s="35" t="n"/>
      <c r="G47" s="36" t="n"/>
      <c r="H47" s="37" t="n"/>
      <c r="I47" s="38" t="n"/>
      <c r="J47" s="39">
        <f>IF(G47="","",HYPERLINK("https://wa.me/"&amp;G47,"Открыть чат"))</f>
        <v/>
      </c>
    </row>
    <row r="48">
      <c r="A48" s="32" t="n"/>
      <c r="B48" s="33" t="n"/>
      <c r="C48" s="33" t="n"/>
      <c r="D48" s="34" t="n"/>
      <c r="E48" s="33" t="n"/>
      <c r="F48" s="35" t="n"/>
      <c r="G48" s="36" t="n"/>
      <c r="H48" s="37" t="n"/>
      <c r="I48" s="38" t="n"/>
      <c r="J48" s="39">
        <f>IF(G48="","",HYPERLINK("https://wa.me/"&amp;G48,"Открыть чат"))</f>
        <v/>
      </c>
    </row>
    <row r="49">
      <c r="A49" s="32" t="n"/>
      <c r="B49" s="33" t="n"/>
      <c r="C49" s="33" t="n"/>
      <c r="D49" s="34" t="n"/>
      <c r="E49" s="33" t="n"/>
      <c r="F49" s="35" t="n"/>
      <c r="G49" s="36" t="n"/>
      <c r="H49" s="37" t="n"/>
      <c r="I49" s="38" t="n"/>
      <c r="J49" s="39">
        <f>IF(G49="","",HYPERLINK("https://wa.me/"&amp;G49,"Открыть чат"))</f>
        <v/>
      </c>
    </row>
    <row r="50">
      <c r="A50" s="32" t="n"/>
      <c r="B50" s="33" t="n"/>
      <c r="C50" s="33" t="n"/>
      <c r="D50" s="34" t="n"/>
      <c r="E50" s="33" t="n"/>
      <c r="F50" s="35" t="n"/>
      <c r="G50" s="36" t="n"/>
      <c r="H50" s="37" t="n"/>
      <c r="I50" s="38" t="n"/>
      <c r="J50" s="39">
        <f>IF(G50="","",HYPERLINK("https://wa.me/"&amp;G50,"Открыть чат"))</f>
        <v/>
      </c>
    </row>
    <row r="51">
      <c r="A51" s="32" t="n"/>
      <c r="B51" s="33" t="n"/>
      <c r="C51" s="33" t="n"/>
      <c r="D51" s="34" t="n"/>
      <c r="E51" s="33" t="n"/>
      <c r="F51" s="35" t="n"/>
      <c r="G51" s="36" t="n"/>
      <c r="H51" s="37" t="n"/>
      <c r="I51" s="38" t="n"/>
      <c r="J51" s="39">
        <f>IF(G51="","",HYPERLINK("https://wa.me/"&amp;G51,"Открыть чат"))</f>
        <v/>
      </c>
    </row>
    <row r="52">
      <c r="A52" s="32" t="n"/>
      <c r="B52" s="33" t="n"/>
      <c r="C52" s="33" t="n"/>
      <c r="D52" s="34" t="n"/>
      <c r="E52" s="33" t="n"/>
      <c r="F52" s="35" t="n"/>
      <c r="G52" s="36" t="n"/>
      <c r="H52" s="37" t="n"/>
      <c r="I52" s="38" t="n"/>
      <c r="J52" s="39">
        <f>IF(G52="","",HYPERLINK("https://wa.me/"&amp;G52,"Открыть чат"))</f>
        <v/>
      </c>
    </row>
    <row r="53">
      <c r="A53" s="32" t="n"/>
      <c r="B53" s="33" t="n"/>
      <c r="C53" s="33" t="n"/>
      <c r="D53" s="34" t="n"/>
      <c r="E53" s="33" t="n"/>
      <c r="F53" s="35" t="n"/>
      <c r="G53" s="36" t="n"/>
      <c r="H53" s="37" t="n"/>
      <c r="I53" s="38" t="n"/>
      <c r="J53" s="39">
        <f>IF(G53="","",HYPERLINK("https://wa.me/"&amp;G53,"Открыть чат"))</f>
        <v/>
      </c>
    </row>
    <row r="54">
      <c r="A54" s="32" t="n"/>
      <c r="B54" s="33" t="n"/>
      <c r="C54" s="33" t="n"/>
      <c r="D54" s="34" t="n"/>
      <c r="E54" s="33" t="n"/>
      <c r="F54" s="35" t="n"/>
      <c r="G54" s="36" t="n"/>
      <c r="H54" s="37" t="n"/>
      <c r="I54" s="38" t="n"/>
      <c r="J54" s="39">
        <f>IF(G54="","",HYPERLINK("https://wa.me/"&amp;G54,"Открыть чат"))</f>
        <v/>
      </c>
    </row>
    <row r="55">
      <c r="A55" s="32" t="n"/>
      <c r="B55" s="33" t="n"/>
      <c r="C55" s="33" t="n"/>
      <c r="D55" s="34" t="n"/>
      <c r="E55" s="33" t="n"/>
      <c r="F55" s="35" t="n"/>
      <c r="G55" s="36" t="n"/>
      <c r="H55" s="37" t="n"/>
      <c r="I55" s="38" t="n"/>
      <c r="J55" s="39">
        <f>IF(G55="","",HYPERLINK("https://wa.me/"&amp;G55,"Открыть чат"))</f>
        <v/>
      </c>
    </row>
    <row r="56">
      <c r="A56" s="32" t="n"/>
      <c r="B56" s="33" t="n"/>
      <c r="C56" s="33" t="n"/>
      <c r="D56" s="34" t="n"/>
      <c r="E56" s="33" t="n"/>
      <c r="F56" s="35" t="n"/>
      <c r="G56" s="36" t="n"/>
      <c r="H56" s="37" t="n"/>
      <c r="I56" s="38" t="n"/>
      <c r="J56" s="39">
        <f>IF(G56="","",HYPERLINK("https://wa.me/"&amp;G56,"Открыть чат"))</f>
        <v/>
      </c>
    </row>
    <row r="57">
      <c r="A57" s="32" t="n"/>
      <c r="B57" s="33" t="n"/>
      <c r="C57" s="33" t="n"/>
      <c r="D57" s="34" t="n"/>
      <c r="E57" s="33" t="n"/>
      <c r="F57" s="35" t="n"/>
      <c r="G57" s="36" t="n"/>
      <c r="H57" s="37" t="n"/>
      <c r="I57" s="38" t="n"/>
      <c r="J57" s="39">
        <f>IF(G57="","",HYPERLINK("https://wa.me/"&amp;G57,"Открыть чат"))</f>
        <v/>
      </c>
    </row>
    <row r="58">
      <c r="A58" s="32" t="n"/>
      <c r="B58" s="33" t="n"/>
      <c r="C58" s="33" t="n"/>
      <c r="D58" s="34" t="n"/>
      <c r="E58" s="33" t="n"/>
      <c r="F58" s="35" t="n"/>
      <c r="G58" s="36" t="n"/>
      <c r="H58" s="37" t="n"/>
      <c r="I58" s="38" t="n"/>
      <c r="J58" s="39">
        <f>IF(G58="","",HYPERLINK("https://wa.me/"&amp;G58,"Открыть чат"))</f>
        <v/>
      </c>
    </row>
    <row r="59">
      <c r="A59" s="32" t="n"/>
      <c r="B59" s="33" t="n"/>
      <c r="C59" s="33" t="n"/>
      <c r="D59" s="34" t="n"/>
      <c r="E59" s="33" t="n"/>
      <c r="F59" s="35" t="n"/>
      <c r="G59" s="36" t="n"/>
      <c r="H59" s="37" t="n"/>
      <c r="I59" s="38" t="n"/>
      <c r="J59" s="39">
        <f>IF(G59="","",HYPERLINK("https://wa.me/"&amp;G59,"Открыть чат"))</f>
        <v/>
      </c>
    </row>
    <row r="60">
      <c r="A60" s="32" t="n"/>
      <c r="B60" s="33" t="n"/>
      <c r="C60" s="33" t="n"/>
      <c r="D60" s="34" t="n"/>
      <c r="E60" s="33" t="n"/>
      <c r="F60" s="35" t="n"/>
      <c r="G60" s="36" t="n"/>
      <c r="H60" s="37" t="n"/>
      <c r="I60" s="38" t="n"/>
      <c r="J60" s="39">
        <f>IF(G60="","",HYPERLINK("https://wa.me/"&amp;G60,"Открыть чат"))</f>
        <v/>
      </c>
    </row>
    <row r="61">
      <c r="A61" s="32" t="n"/>
      <c r="B61" s="33" t="n"/>
      <c r="C61" s="33" t="n"/>
      <c r="D61" s="34" t="n"/>
      <c r="E61" s="33" t="n"/>
      <c r="F61" s="35" t="n"/>
      <c r="G61" s="36" t="n"/>
      <c r="H61" s="37" t="n"/>
      <c r="I61" s="38" t="n"/>
      <c r="J61" s="39">
        <f>IF(G61="","",HYPERLINK("https://wa.me/"&amp;G61,"Открыть чат"))</f>
        <v/>
      </c>
    </row>
    <row r="62">
      <c r="A62" s="32" t="n"/>
      <c r="B62" s="33" t="n"/>
      <c r="C62" s="33" t="n"/>
      <c r="D62" s="34" t="n"/>
      <c r="E62" s="33" t="n"/>
      <c r="F62" s="35" t="n"/>
      <c r="G62" s="36" t="n"/>
      <c r="H62" s="37" t="n"/>
      <c r="I62" s="38" t="n"/>
      <c r="J62" s="39">
        <f>IF(G62="","",HYPERLINK("https://wa.me/"&amp;G62,"Открыть чат"))</f>
        <v/>
      </c>
    </row>
    <row r="63">
      <c r="A63" s="32" t="n"/>
      <c r="B63" s="33" t="n"/>
      <c r="C63" s="33" t="n"/>
      <c r="D63" s="34" t="n"/>
      <c r="E63" s="33" t="n"/>
      <c r="F63" s="35" t="n"/>
      <c r="G63" s="36" t="n"/>
      <c r="H63" s="37" t="n"/>
      <c r="I63" s="38" t="n"/>
      <c r="J63" s="39">
        <f>IF(G63="","",HYPERLINK("https://wa.me/"&amp;G63,"Открыть чат"))</f>
        <v/>
      </c>
    </row>
    <row r="64">
      <c r="A64" s="32" t="n"/>
      <c r="B64" s="33" t="n"/>
      <c r="C64" s="33" t="n"/>
      <c r="D64" s="34" t="n"/>
      <c r="E64" s="33" t="n"/>
      <c r="F64" s="35" t="n"/>
      <c r="G64" s="36" t="n"/>
      <c r="H64" s="37" t="n"/>
      <c r="I64" s="38" t="n"/>
      <c r="J64" s="39">
        <f>IF(G64="","",HYPERLINK("https://wa.me/"&amp;G64,"Открыть чат"))</f>
        <v/>
      </c>
    </row>
    <row r="65">
      <c r="A65" s="32" t="n"/>
      <c r="B65" s="33" t="n"/>
      <c r="C65" s="33" t="n"/>
      <c r="D65" s="34" t="n"/>
      <c r="E65" s="33" t="n"/>
      <c r="F65" s="35" t="n"/>
      <c r="G65" s="36" t="n"/>
      <c r="H65" s="37" t="n"/>
      <c r="I65" s="38" t="n"/>
      <c r="J65" s="39">
        <f>IF(G65="","",HYPERLINK("https://wa.me/"&amp;G65,"Открыть чат"))</f>
        <v/>
      </c>
    </row>
    <row r="66">
      <c r="A66" s="32" t="n"/>
      <c r="B66" s="33" t="n"/>
      <c r="C66" s="33" t="n"/>
      <c r="D66" s="34" t="n"/>
      <c r="E66" s="33" t="n"/>
      <c r="F66" s="35" t="n"/>
      <c r="G66" s="36" t="n"/>
      <c r="H66" s="37" t="n"/>
      <c r="I66" s="38" t="n"/>
      <c r="J66" s="39">
        <f>IF(G66="","",HYPERLINK("https://wa.me/"&amp;G66,"Открыть чат"))</f>
        <v/>
      </c>
    </row>
    <row r="67">
      <c r="A67" s="32" t="n"/>
      <c r="B67" s="33" t="n"/>
      <c r="C67" s="33" t="n"/>
      <c r="D67" s="34" t="n"/>
      <c r="E67" s="33" t="n"/>
      <c r="F67" s="35" t="n"/>
      <c r="G67" s="36" t="n"/>
      <c r="H67" s="37" t="n"/>
      <c r="I67" s="38" t="n"/>
      <c r="J67" s="39">
        <f>IF(G67="","",HYPERLINK("https://wa.me/"&amp;G67,"Открыть чат"))</f>
        <v/>
      </c>
    </row>
    <row r="68">
      <c r="A68" s="32" t="n"/>
      <c r="B68" s="33" t="n"/>
      <c r="C68" s="33" t="n"/>
      <c r="D68" s="34" t="n"/>
      <c r="E68" s="33" t="n"/>
      <c r="F68" s="35" t="n"/>
      <c r="G68" s="36" t="n"/>
      <c r="H68" s="37" t="n"/>
      <c r="I68" s="38" t="n"/>
      <c r="J68" s="39">
        <f>IF(G68="","",HYPERLINK("https://wa.me/"&amp;G68,"Открыть чат"))</f>
        <v/>
      </c>
    </row>
    <row r="69">
      <c r="A69" s="32" t="n"/>
      <c r="B69" s="33" t="n"/>
      <c r="C69" s="33" t="n"/>
      <c r="D69" s="34" t="n"/>
      <c r="E69" s="33" t="n"/>
      <c r="F69" s="35" t="n"/>
      <c r="G69" s="36" t="n"/>
      <c r="H69" s="37" t="n"/>
      <c r="I69" s="38" t="n"/>
      <c r="J69" s="39">
        <f>IF(G69="","",HYPERLINK("https://wa.me/"&amp;G69,"Открыть чат"))</f>
        <v/>
      </c>
    </row>
    <row r="70">
      <c r="A70" s="32" t="n"/>
      <c r="B70" s="33" t="n"/>
      <c r="C70" s="33" t="n"/>
      <c r="D70" s="34" t="n"/>
      <c r="E70" s="33" t="n"/>
      <c r="F70" s="35" t="n"/>
      <c r="G70" s="36" t="n"/>
      <c r="H70" s="37" t="n"/>
      <c r="I70" s="38" t="n"/>
      <c r="J70" s="39">
        <f>IF(G70="","",HYPERLINK("https://wa.me/"&amp;G70,"Открыть чат"))</f>
        <v/>
      </c>
    </row>
    <row r="71">
      <c r="A71" s="32" t="n"/>
      <c r="B71" s="33" t="n"/>
      <c r="C71" s="33" t="n"/>
      <c r="D71" s="34" t="n"/>
      <c r="E71" s="33" t="n"/>
      <c r="F71" s="35" t="n"/>
      <c r="G71" s="36" t="n"/>
      <c r="H71" s="37" t="n"/>
      <c r="I71" s="38" t="n"/>
      <c r="J71" s="39">
        <f>IF(G71="","",HYPERLINK("https://wa.me/"&amp;G71,"Открыть чат"))</f>
        <v/>
      </c>
    </row>
    <row r="72">
      <c r="A72" s="32" t="n"/>
      <c r="B72" s="33" t="n"/>
      <c r="C72" s="33" t="n"/>
      <c r="D72" s="34" t="n"/>
      <c r="E72" s="33" t="n"/>
      <c r="F72" s="35" t="n"/>
      <c r="G72" s="36" t="n"/>
      <c r="H72" s="37" t="n"/>
      <c r="I72" s="38" t="n"/>
      <c r="J72" s="39">
        <f>IF(G72="","",HYPERLINK("https://wa.me/"&amp;G72,"Открыть чат"))</f>
        <v/>
      </c>
    </row>
    <row r="73">
      <c r="A73" s="32" t="n"/>
      <c r="B73" s="33" t="n"/>
      <c r="C73" s="33" t="n"/>
      <c r="D73" s="34" t="n"/>
      <c r="E73" s="33" t="n"/>
      <c r="F73" s="35" t="n"/>
      <c r="G73" s="36" t="n"/>
      <c r="H73" s="37" t="n"/>
      <c r="I73" s="38" t="n"/>
      <c r="J73" s="39">
        <f>IF(G73="","",HYPERLINK("https://wa.me/"&amp;G73,"Открыть чат"))</f>
        <v/>
      </c>
    </row>
    <row r="74">
      <c r="A74" s="32" t="n"/>
      <c r="B74" s="33" t="n"/>
      <c r="C74" s="33" t="n"/>
      <c r="D74" s="34" t="n"/>
      <c r="E74" s="33" t="n"/>
      <c r="F74" s="35" t="n"/>
      <c r="G74" s="36" t="n"/>
      <c r="H74" s="37" t="n"/>
      <c r="I74" s="38" t="n"/>
      <c r="J74" s="39">
        <f>IF(G74="","",HYPERLINK("https://wa.me/"&amp;G74,"Открыть чат"))</f>
        <v/>
      </c>
    </row>
    <row r="75">
      <c r="A75" s="32" t="n"/>
      <c r="B75" s="33" t="n"/>
      <c r="C75" s="33" t="n"/>
      <c r="D75" s="34" t="n"/>
      <c r="E75" s="33" t="n"/>
      <c r="F75" s="35" t="n"/>
      <c r="G75" s="36" t="n"/>
      <c r="H75" s="37" t="n"/>
      <c r="I75" s="38" t="n"/>
      <c r="J75" s="39">
        <f>IF(G75="","",HYPERLINK("https://wa.me/"&amp;G75,"Открыть чат"))</f>
        <v/>
      </c>
    </row>
    <row r="76">
      <c r="A76" s="32" t="n"/>
      <c r="B76" s="33" t="n"/>
      <c r="C76" s="33" t="n"/>
      <c r="D76" s="34" t="n"/>
      <c r="E76" s="33" t="n"/>
      <c r="F76" s="35" t="n"/>
      <c r="G76" s="36" t="n"/>
      <c r="H76" s="37" t="n"/>
      <c r="I76" s="38" t="n"/>
      <c r="J76" s="39">
        <f>IF(G76="","",HYPERLINK("https://wa.me/"&amp;G76,"Открыть чат"))</f>
        <v/>
      </c>
    </row>
    <row r="77">
      <c r="A77" s="32" t="n"/>
      <c r="B77" s="33" t="n"/>
      <c r="C77" s="33" t="n"/>
      <c r="D77" s="34" t="n"/>
      <c r="E77" s="33" t="n"/>
      <c r="F77" s="35" t="n"/>
      <c r="G77" s="36" t="n"/>
      <c r="H77" s="37" t="n"/>
      <c r="I77" s="38" t="n"/>
      <c r="J77" s="39">
        <f>IF(G77="","",HYPERLINK("https://wa.me/"&amp;G77,"Открыть чат"))</f>
        <v/>
      </c>
    </row>
    <row r="78">
      <c r="A78" s="32" t="n"/>
      <c r="B78" s="33" t="n"/>
      <c r="C78" s="33" t="n"/>
      <c r="D78" s="34" t="n"/>
      <c r="E78" s="33" t="n"/>
      <c r="F78" s="35" t="n"/>
      <c r="G78" s="36" t="n"/>
      <c r="H78" s="37" t="n"/>
      <c r="I78" s="38" t="n"/>
      <c r="J78" s="39">
        <f>IF(G78="","",HYPERLINK("https://wa.me/"&amp;G78,"Открыть чат"))</f>
        <v/>
      </c>
    </row>
    <row r="79">
      <c r="A79" s="32" t="n"/>
      <c r="B79" s="33" t="n"/>
      <c r="C79" s="33" t="n"/>
      <c r="D79" s="34" t="n"/>
      <c r="E79" s="33" t="n"/>
      <c r="F79" s="35" t="n"/>
      <c r="G79" s="36" t="n"/>
      <c r="H79" s="37" t="n"/>
      <c r="I79" s="38" t="n"/>
      <c r="J79" s="39">
        <f>IF(G79="","",HYPERLINK("https://wa.me/"&amp;G79,"Открыть чат"))</f>
        <v/>
      </c>
    </row>
    <row r="80">
      <c r="A80" s="32" t="n"/>
      <c r="B80" s="33" t="n"/>
      <c r="C80" s="33" t="n"/>
      <c r="D80" s="34" t="n"/>
      <c r="E80" s="33" t="n"/>
      <c r="F80" s="35" t="n"/>
      <c r="G80" s="36" t="n"/>
      <c r="H80" s="37" t="n"/>
      <c r="I80" s="38" t="n"/>
      <c r="J80" s="39">
        <f>IF(G80="","",HYPERLINK("https://wa.me/"&amp;G80,"Открыть чат"))</f>
        <v/>
      </c>
    </row>
    <row r="81">
      <c r="A81" s="32" t="n"/>
      <c r="B81" s="33" t="n"/>
      <c r="C81" s="33" t="n"/>
      <c r="D81" s="34" t="n"/>
      <c r="E81" s="33" t="n"/>
      <c r="F81" s="35" t="n"/>
      <c r="G81" s="36" t="n"/>
      <c r="H81" s="37" t="n"/>
      <c r="I81" s="38" t="n"/>
      <c r="J81" s="39">
        <f>IF(G81="","",HYPERLINK("https://wa.me/"&amp;G81,"Открыть чат"))</f>
        <v/>
      </c>
    </row>
    <row r="82">
      <c r="A82" s="32" t="n"/>
      <c r="B82" s="33" t="n"/>
      <c r="C82" s="33" t="n"/>
      <c r="D82" s="34" t="n"/>
      <c r="E82" s="33" t="n"/>
      <c r="F82" s="35" t="n"/>
      <c r="G82" s="36" t="n"/>
      <c r="H82" s="37" t="n"/>
      <c r="I82" s="38" t="n"/>
      <c r="J82" s="39">
        <f>IF(G82="","",HYPERLINK("https://wa.me/"&amp;G82,"Открыть чат"))</f>
        <v/>
      </c>
    </row>
    <row r="83">
      <c r="A83" s="32" t="n"/>
      <c r="B83" s="33" t="n"/>
      <c r="C83" s="33" t="n"/>
      <c r="D83" s="34" t="n"/>
      <c r="E83" s="33" t="n"/>
      <c r="F83" s="35" t="n"/>
      <c r="G83" s="36" t="n"/>
      <c r="H83" s="37" t="n"/>
      <c r="I83" s="38" t="n"/>
      <c r="J83" s="39">
        <f>IF(G83="","",HYPERLINK("https://wa.me/"&amp;G83,"Открыть чат"))</f>
        <v/>
      </c>
    </row>
    <row r="84">
      <c r="A84" s="32" t="n"/>
      <c r="B84" s="33" t="n"/>
      <c r="C84" s="33" t="n"/>
      <c r="D84" s="34" t="n"/>
      <c r="E84" s="33" t="n"/>
      <c r="F84" s="35" t="n"/>
      <c r="G84" s="36" t="n"/>
      <c r="H84" s="37" t="n"/>
      <c r="I84" s="38" t="n"/>
      <c r="J84" s="39">
        <f>IF(G84="","",HYPERLINK("https://wa.me/"&amp;G84,"Открыть чат"))</f>
        <v/>
      </c>
    </row>
    <row r="85">
      <c r="A85" s="32" t="n"/>
      <c r="B85" s="33" t="n"/>
      <c r="C85" s="33" t="n"/>
      <c r="D85" s="34" t="n"/>
      <c r="E85" s="33" t="n"/>
      <c r="F85" s="35" t="n"/>
      <c r="G85" s="36" t="n"/>
      <c r="H85" s="37" t="n"/>
      <c r="I85" s="38" t="n"/>
      <c r="J85" s="39">
        <f>IF(G85="","",HYPERLINK("https://wa.me/"&amp;G85,"Открыть чат"))</f>
        <v/>
      </c>
    </row>
    <row r="86">
      <c r="A86" s="32" t="n"/>
      <c r="B86" s="33" t="n"/>
      <c r="C86" s="33" t="n"/>
      <c r="D86" s="34" t="n"/>
      <c r="E86" s="33" t="n"/>
      <c r="F86" s="35" t="n"/>
      <c r="G86" s="36" t="n"/>
      <c r="H86" s="37" t="n"/>
      <c r="I86" s="38" t="n"/>
      <c r="J86" s="39">
        <f>IF(G86="","",HYPERLINK("https://wa.me/"&amp;G86,"Открыть чат"))</f>
        <v/>
      </c>
    </row>
    <row r="87">
      <c r="A87" s="32" t="n"/>
      <c r="B87" s="33" t="n"/>
      <c r="C87" s="33" t="n"/>
      <c r="D87" s="34" t="n"/>
      <c r="E87" s="33" t="n"/>
      <c r="F87" s="35" t="n"/>
      <c r="G87" s="36" t="n"/>
      <c r="H87" s="37" t="n"/>
      <c r="I87" s="38" t="n"/>
      <c r="J87" s="39">
        <f>IF(G87="","",HYPERLINK("https://wa.me/"&amp;G87,"Открыть чат"))</f>
        <v/>
      </c>
    </row>
    <row r="88">
      <c r="A88" s="32" t="n"/>
      <c r="B88" s="33" t="n"/>
      <c r="C88" s="33" t="n"/>
      <c r="D88" s="34" t="n"/>
      <c r="E88" s="33" t="n"/>
      <c r="F88" s="35" t="n"/>
      <c r="G88" s="36" t="n"/>
      <c r="H88" s="37" t="n"/>
      <c r="I88" s="38" t="n"/>
      <c r="J88" s="39">
        <f>IF(G88="","",HYPERLINK("https://wa.me/"&amp;G88,"Открыть чат"))</f>
        <v/>
      </c>
    </row>
    <row r="89">
      <c r="A89" s="32" t="n"/>
      <c r="B89" s="33" t="n"/>
      <c r="C89" s="33" t="n"/>
      <c r="D89" s="34" t="n"/>
      <c r="E89" s="33" t="n"/>
      <c r="F89" s="35" t="n"/>
      <c r="G89" s="36" t="n"/>
      <c r="H89" s="37" t="n"/>
      <c r="I89" s="38" t="n"/>
      <c r="J89" s="39">
        <f>IF(G89="","",HYPERLINK("https://wa.me/"&amp;G89,"Открыть чат"))</f>
        <v/>
      </c>
    </row>
    <row r="90">
      <c r="A90" s="32" t="n"/>
      <c r="B90" s="33" t="n"/>
      <c r="C90" s="33" t="n"/>
      <c r="D90" s="34" t="n"/>
      <c r="E90" s="33" t="n"/>
      <c r="F90" s="35" t="n"/>
      <c r="G90" s="36" t="n"/>
      <c r="H90" s="37" t="n"/>
      <c r="I90" s="38" t="n"/>
      <c r="J90" s="39">
        <f>IF(G90="","",HYPERLINK("https://wa.me/"&amp;G90,"Открыть чат"))</f>
        <v/>
      </c>
    </row>
    <row r="91">
      <c r="A91" s="32" t="n"/>
      <c r="B91" s="33" t="n"/>
      <c r="C91" s="33" t="n"/>
      <c r="D91" s="34" t="n"/>
      <c r="E91" s="33" t="n"/>
      <c r="F91" s="35" t="n"/>
      <c r="G91" s="36" t="n"/>
      <c r="H91" s="37" t="n"/>
      <c r="I91" s="38" t="n"/>
      <c r="J91" s="39">
        <f>IF(G91="","",HYPERLINK("https://wa.me/"&amp;G91,"Открыть чат"))</f>
        <v/>
      </c>
    </row>
    <row r="92">
      <c r="A92" s="32" t="n"/>
      <c r="B92" s="33" t="n"/>
      <c r="C92" s="33" t="n"/>
      <c r="D92" s="34" t="n"/>
      <c r="E92" s="33" t="n"/>
      <c r="F92" s="35" t="n"/>
      <c r="G92" s="36" t="n"/>
      <c r="H92" s="37" t="n"/>
      <c r="I92" s="38" t="n"/>
      <c r="J92" s="39">
        <f>IF(G92="","",HYPERLINK("https://wa.me/"&amp;G92,"Открыть чат"))</f>
        <v/>
      </c>
    </row>
    <row r="93">
      <c r="A93" s="32" t="n"/>
      <c r="B93" s="33" t="n"/>
      <c r="C93" s="33" t="n"/>
      <c r="D93" s="34" t="n"/>
      <c r="E93" s="33" t="n"/>
      <c r="F93" s="35" t="n"/>
      <c r="G93" s="36" t="n"/>
      <c r="H93" s="37" t="n"/>
      <c r="I93" s="38" t="n"/>
      <c r="J93" s="39">
        <f>IF(G93="","",HYPERLINK("https://wa.me/"&amp;G93,"Открыть чат"))</f>
        <v/>
      </c>
    </row>
    <row r="94">
      <c r="A94" s="32" t="n"/>
      <c r="B94" s="33" t="n"/>
      <c r="C94" s="33" t="n"/>
      <c r="D94" s="34" t="n"/>
      <c r="E94" s="33" t="n"/>
      <c r="F94" s="35" t="n"/>
      <c r="G94" s="36" t="n"/>
      <c r="H94" s="37" t="n"/>
      <c r="I94" s="38" t="n"/>
      <c r="J94" s="39">
        <f>IF(G94="","",HYPERLINK("https://wa.me/"&amp;G94,"Открыть чат"))</f>
        <v/>
      </c>
    </row>
    <row r="95">
      <c r="A95" s="32" t="n"/>
      <c r="B95" s="33" t="n"/>
      <c r="C95" s="33" t="n"/>
      <c r="D95" s="34" t="n"/>
      <c r="E95" s="33" t="n"/>
      <c r="F95" s="35" t="n"/>
      <c r="G95" s="36" t="n"/>
      <c r="H95" s="37" t="n"/>
      <c r="I95" s="38" t="n"/>
      <c r="J95" s="39">
        <f>IF(G95="","",HYPERLINK("https://wa.me/"&amp;G95,"Открыть чат"))</f>
        <v/>
      </c>
    </row>
    <row r="96">
      <c r="A96" s="32" t="n"/>
      <c r="B96" s="33" t="n"/>
      <c r="C96" s="33" t="n"/>
      <c r="D96" s="34" t="n"/>
      <c r="E96" s="33" t="n"/>
      <c r="F96" s="35" t="n"/>
      <c r="G96" s="36" t="n"/>
      <c r="H96" s="37" t="n"/>
      <c r="I96" s="38" t="n"/>
      <c r="J96" s="39">
        <f>IF(G96="","",HYPERLINK("https://wa.me/"&amp;G96,"Открыть чат"))</f>
        <v/>
      </c>
    </row>
    <row r="97">
      <c r="A97" s="32" t="n"/>
      <c r="B97" s="33" t="n"/>
      <c r="C97" s="33" t="n"/>
      <c r="D97" s="34" t="n"/>
      <c r="E97" s="33" t="n"/>
      <c r="F97" s="35" t="n"/>
      <c r="G97" s="36" t="n"/>
      <c r="H97" s="37" t="n"/>
      <c r="I97" s="38" t="n"/>
      <c r="J97" s="39">
        <f>IF(G97="","",HYPERLINK("https://wa.me/"&amp;G97,"Открыть чат"))</f>
        <v/>
      </c>
    </row>
    <row r="98">
      <c r="A98" s="32" t="n"/>
      <c r="B98" s="33" t="n"/>
      <c r="C98" s="33" t="n"/>
      <c r="D98" s="34" t="n"/>
      <c r="E98" s="33" t="n"/>
      <c r="F98" s="35" t="n"/>
      <c r="G98" s="36" t="n"/>
      <c r="H98" s="37" t="n"/>
      <c r="I98" s="38" t="n"/>
      <c r="J98" s="39">
        <f>IF(G98="","",HYPERLINK("https://wa.me/"&amp;G98,"Открыть чат"))</f>
        <v/>
      </c>
    </row>
    <row r="99">
      <c r="A99" s="32" t="n"/>
      <c r="B99" s="33" t="n"/>
      <c r="C99" s="33" t="n"/>
      <c r="D99" s="34" t="n"/>
      <c r="E99" s="33" t="n"/>
      <c r="F99" s="35" t="n"/>
      <c r="G99" s="36" t="n"/>
      <c r="H99" s="37" t="n"/>
      <c r="I99" s="38" t="n"/>
      <c r="J99" s="39">
        <f>IF(G99="","",HYPERLINK("https://wa.me/"&amp;G99,"Открыть чат"))</f>
        <v/>
      </c>
    </row>
    <row r="100">
      <c r="A100" s="32" t="n"/>
      <c r="B100" s="33" t="n"/>
      <c r="C100" s="33" t="n"/>
      <c r="D100" s="34" t="n"/>
      <c r="E100" s="33" t="n"/>
      <c r="F100" s="35" t="n"/>
      <c r="G100" s="36" t="n"/>
      <c r="H100" s="37" t="n"/>
      <c r="I100" s="38" t="n"/>
      <c r="J100" s="39">
        <f>IF(G100="","",HYPERLINK("https://wa.me/"&amp;G100,"Открыть чат"))</f>
        <v/>
      </c>
    </row>
    <row r="101">
      <c r="A101" s="32" t="n"/>
      <c r="B101" s="33" t="n"/>
      <c r="C101" s="33" t="n"/>
      <c r="D101" s="34" t="n"/>
      <c r="E101" s="33" t="n"/>
      <c r="F101" s="35" t="n"/>
      <c r="G101" s="36" t="n"/>
      <c r="H101" s="37" t="n"/>
      <c r="I101" s="38" t="n"/>
      <c r="J101" s="39">
        <f>IF(G101="","",HYPERLINK("https://wa.me/"&amp;G101,"Открыть чат"))</f>
        <v/>
      </c>
    </row>
    <row r="102">
      <c r="A102" s="32" t="n"/>
      <c r="B102" s="33" t="n"/>
      <c r="C102" s="33" t="n"/>
      <c r="D102" s="34" t="n"/>
      <c r="E102" s="33" t="n"/>
      <c r="F102" s="35" t="n"/>
      <c r="G102" s="36" t="n"/>
      <c r="H102" s="37" t="n"/>
      <c r="I102" s="38" t="n"/>
      <c r="J102" s="39">
        <f>IF(G102="","",HYPERLINK("https://wa.me/"&amp;G102,"Открыть чат"))</f>
        <v/>
      </c>
    </row>
    <row r="103">
      <c r="A103" s="32" t="n"/>
      <c r="B103" s="33" t="n"/>
      <c r="C103" s="33" t="n"/>
      <c r="D103" s="34" t="n"/>
      <c r="E103" s="33" t="n"/>
      <c r="F103" s="35" t="n"/>
      <c r="G103" s="36" t="n"/>
      <c r="H103" s="37" t="n"/>
      <c r="I103" s="38" t="n"/>
      <c r="J103" s="39">
        <f>IF(G103="","",HYPERLINK("https://wa.me/"&amp;G103,"Открыть чат"))</f>
        <v/>
      </c>
    </row>
    <row r="104">
      <c r="A104" s="32" t="n"/>
      <c r="B104" s="33" t="n"/>
      <c r="C104" s="33" t="n"/>
      <c r="D104" s="34" t="n"/>
      <c r="E104" s="33" t="n"/>
      <c r="F104" s="35" t="n"/>
      <c r="G104" s="36" t="n"/>
      <c r="H104" s="37" t="n"/>
      <c r="I104" s="38" t="n"/>
      <c r="J104" s="39">
        <f>IF(G104="","",HYPERLINK("https://wa.me/"&amp;G104,"Открыть чат"))</f>
        <v/>
      </c>
    </row>
    <row r="105">
      <c r="A105" s="32" t="n"/>
      <c r="B105" s="33" t="n"/>
      <c r="C105" s="33" t="n"/>
      <c r="D105" s="34" t="n"/>
      <c r="E105" s="33" t="n"/>
      <c r="F105" s="35" t="n"/>
      <c r="G105" s="36" t="n"/>
      <c r="H105" s="37" t="n"/>
      <c r="I105" s="38" t="n"/>
      <c r="J105" s="39">
        <f>IF(G105="","",HYPERLINK("https://wa.me/"&amp;G105,"Открыть чат"))</f>
        <v/>
      </c>
    </row>
    <row r="106">
      <c r="A106" s="32" t="n"/>
      <c r="B106" s="33" t="n"/>
      <c r="C106" s="33" t="n"/>
      <c r="D106" s="34" t="n"/>
      <c r="E106" s="33" t="n"/>
      <c r="F106" s="35" t="n"/>
      <c r="G106" s="36" t="n"/>
      <c r="H106" s="37" t="n"/>
      <c r="I106" s="38" t="n"/>
      <c r="J106" s="39">
        <f>IF(G106="","",HYPERLINK("https://wa.me/"&amp;G106,"Открыть чат"))</f>
        <v/>
      </c>
    </row>
    <row r="107">
      <c r="A107" s="32" t="n"/>
      <c r="B107" s="33" t="n"/>
      <c r="C107" s="33" t="n"/>
      <c r="D107" s="34" t="n"/>
      <c r="E107" s="33" t="n"/>
      <c r="F107" s="35" t="n"/>
      <c r="G107" s="36" t="n"/>
      <c r="H107" s="37" t="n"/>
      <c r="I107" s="38" t="n"/>
      <c r="J107" s="39">
        <f>IF(G107="","",HYPERLINK("https://wa.me/"&amp;G107,"Открыть чат"))</f>
        <v/>
      </c>
    </row>
    <row r="108">
      <c r="A108" s="32" t="n"/>
      <c r="B108" s="33" t="n"/>
      <c r="C108" s="33" t="n"/>
      <c r="D108" s="34" t="n"/>
      <c r="E108" s="33" t="n"/>
      <c r="F108" s="35" t="n"/>
      <c r="G108" s="36" t="n"/>
      <c r="H108" s="37" t="n"/>
      <c r="I108" s="38" t="n"/>
      <c r="J108" s="39">
        <f>IF(G108="","",HYPERLINK("https://wa.me/"&amp;G108,"Открыть чат"))</f>
        <v/>
      </c>
    </row>
    <row r="109">
      <c r="A109" s="32" t="n"/>
      <c r="B109" s="33" t="n"/>
      <c r="C109" s="33" t="n"/>
      <c r="D109" s="34" t="n"/>
      <c r="E109" s="33" t="n"/>
      <c r="F109" s="35" t="n"/>
      <c r="G109" s="36" t="n"/>
      <c r="H109" s="37" t="n"/>
      <c r="I109" s="38" t="n"/>
      <c r="J109" s="39">
        <f>IF(G109="","",HYPERLINK("https://wa.me/"&amp;G109,"Открыть чат"))</f>
        <v/>
      </c>
    </row>
    <row r="110">
      <c r="A110" s="32" t="n"/>
      <c r="B110" s="33" t="n"/>
      <c r="C110" s="33" t="n"/>
      <c r="D110" s="34" t="n"/>
      <c r="E110" s="33" t="n"/>
      <c r="F110" s="35" t="n"/>
      <c r="G110" s="36" t="n"/>
      <c r="H110" s="37" t="n"/>
      <c r="I110" s="38" t="n"/>
      <c r="J110" s="39">
        <f>IF(G110="","",HYPERLINK("https://wa.me/"&amp;G110,"Открыть чат"))</f>
        <v/>
      </c>
    </row>
    <row r="111">
      <c r="A111" s="32" t="n"/>
      <c r="B111" s="33" t="n"/>
      <c r="C111" s="33" t="n"/>
      <c r="D111" s="34" t="n"/>
      <c r="E111" s="33" t="n"/>
      <c r="F111" s="35" t="n"/>
      <c r="G111" s="36" t="n"/>
      <c r="H111" s="37" t="n"/>
      <c r="I111" s="38" t="n"/>
      <c r="J111" s="39">
        <f>IF(G111="","",HYPERLINK("https://wa.me/"&amp;G111,"Открыть чат"))</f>
        <v/>
      </c>
    </row>
    <row r="112">
      <c r="A112" s="32" t="n"/>
      <c r="B112" s="33" t="n"/>
      <c r="C112" s="33" t="n"/>
      <c r="D112" s="34" t="n"/>
      <c r="E112" s="33" t="n"/>
      <c r="F112" s="35" t="n"/>
      <c r="G112" s="36" t="n"/>
      <c r="H112" s="37" t="n"/>
      <c r="I112" s="38" t="n"/>
      <c r="J112" s="39">
        <f>IF(G112="","",HYPERLINK("https://wa.me/"&amp;G112,"Открыть чат"))</f>
        <v/>
      </c>
    </row>
    <row r="113">
      <c r="A113" s="32" t="n"/>
      <c r="B113" s="33" t="n"/>
      <c r="C113" s="33" t="n"/>
      <c r="D113" s="34" t="n"/>
      <c r="E113" s="33" t="n"/>
      <c r="F113" s="35" t="n"/>
      <c r="G113" s="36" t="n"/>
      <c r="H113" s="37" t="n"/>
      <c r="I113" s="38" t="n"/>
      <c r="J113" s="39">
        <f>IF(G113="","",HYPERLINK("https://wa.me/"&amp;G113,"Открыть чат"))</f>
        <v/>
      </c>
    </row>
    <row r="114">
      <c r="A114" s="32" t="n"/>
      <c r="B114" s="33" t="n"/>
      <c r="C114" s="33" t="n"/>
      <c r="D114" s="34" t="n"/>
      <c r="E114" s="33" t="n"/>
      <c r="F114" s="35" t="n"/>
      <c r="G114" s="36" t="n"/>
      <c r="H114" s="37" t="n"/>
      <c r="I114" s="38" t="n"/>
      <c r="J114" s="39">
        <f>IF(G114="","",HYPERLINK("https://wa.me/"&amp;G114,"Открыть чат"))</f>
        <v/>
      </c>
    </row>
    <row r="115">
      <c r="A115" s="32" t="n"/>
      <c r="B115" s="33" t="n"/>
      <c r="C115" s="33" t="n"/>
      <c r="D115" s="34" t="n"/>
      <c r="E115" s="33" t="n"/>
      <c r="F115" s="35" t="n"/>
      <c r="G115" s="36" t="n"/>
      <c r="H115" s="37" t="n"/>
      <c r="I115" s="38" t="n"/>
      <c r="J115" s="39">
        <f>IF(G115="","",HYPERLINK("https://wa.me/"&amp;G115,"Открыть чат"))</f>
        <v/>
      </c>
    </row>
    <row r="116">
      <c r="A116" s="32" t="n"/>
      <c r="B116" s="33" t="n"/>
      <c r="C116" s="33" t="n"/>
      <c r="D116" s="34" t="n"/>
      <c r="E116" s="33" t="n"/>
      <c r="F116" s="35" t="n"/>
      <c r="G116" s="36" t="n"/>
      <c r="H116" s="37" t="n"/>
      <c r="I116" s="38" t="n"/>
      <c r="J116" s="39">
        <f>IF(G116="","",HYPERLINK("https://wa.me/"&amp;G116,"Открыть чат"))</f>
        <v/>
      </c>
    </row>
    <row r="117">
      <c r="A117" s="32" t="n"/>
      <c r="B117" s="33" t="n"/>
      <c r="C117" s="33" t="n"/>
      <c r="D117" s="34" t="n"/>
      <c r="E117" s="33" t="n"/>
      <c r="F117" s="35" t="n"/>
      <c r="G117" s="36" t="n"/>
      <c r="H117" s="37" t="n"/>
      <c r="I117" s="38" t="n"/>
      <c r="J117" s="39">
        <f>IF(G117="","",HYPERLINK("https://wa.me/"&amp;G117,"Открыть чат"))</f>
        <v/>
      </c>
    </row>
    <row r="118">
      <c r="A118" s="32" t="n"/>
      <c r="B118" s="33" t="n"/>
      <c r="C118" s="33" t="n"/>
      <c r="D118" s="34" t="n"/>
      <c r="E118" s="33" t="n"/>
      <c r="F118" s="35" t="n"/>
      <c r="G118" s="36" t="n"/>
      <c r="H118" s="37" t="n"/>
      <c r="I118" s="38" t="n"/>
      <c r="J118" s="39">
        <f>IF(G118="","",HYPERLINK("https://wa.me/"&amp;G118,"Открыть чат"))</f>
        <v/>
      </c>
    </row>
    <row r="119">
      <c r="A119" s="32" t="n"/>
      <c r="B119" s="33" t="n"/>
      <c r="C119" s="33" t="n"/>
      <c r="D119" s="34" t="n"/>
      <c r="E119" s="33" t="n"/>
      <c r="F119" s="35" t="n"/>
      <c r="G119" s="36" t="n"/>
      <c r="H119" s="37" t="n"/>
      <c r="I119" s="38" t="n"/>
      <c r="J119" s="39">
        <f>IF(G119="","",HYPERLINK("https://wa.me/"&amp;G119,"Открыть чат"))</f>
        <v/>
      </c>
    </row>
    <row r="120">
      <c r="A120" s="32" t="n"/>
      <c r="B120" s="33" t="n"/>
      <c r="C120" s="33" t="n"/>
      <c r="D120" s="34" t="n"/>
      <c r="E120" s="33" t="n"/>
      <c r="F120" s="35" t="n"/>
      <c r="G120" s="36" t="n"/>
      <c r="H120" s="37" t="n"/>
      <c r="I120" s="38" t="n"/>
      <c r="J120" s="39">
        <f>IF(G120="","",HYPERLINK("https://wa.me/"&amp;G120,"Открыть чат"))</f>
        <v/>
      </c>
    </row>
    <row r="121">
      <c r="A121" s="32" t="n"/>
      <c r="B121" s="33" t="n"/>
      <c r="C121" s="33" t="n"/>
      <c r="D121" s="34" t="n"/>
      <c r="E121" s="33" t="n"/>
      <c r="F121" s="35" t="n"/>
      <c r="G121" s="36" t="n"/>
      <c r="H121" s="37" t="n"/>
      <c r="I121" s="38" t="n"/>
      <c r="J121" s="39">
        <f>IF(G121="","",HYPERLINK("https://wa.me/"&amp;G121,"Открыть чат"))</f>
        <v/>
      </c>
    </row>
    <row r="122">
      <c r="A122" s="32" t="n"/>
      <c r="B122" s="33" t="n"/>
      <c r="C122" s="33" t="n"/>
      <c r="D122" s="34" t="n"/>
      <c r="E122" s="33" t="n"/>
      <c r="F122" s="35" t="n"/>
      <c r="G122" s="36" t="n"/>
      <c r="H122" s="37" t="n"/>
      <c r="I122" s="38" t="n"/>
      <c r="J122" s="39">
        <f>IF(G122="","",HYPERLINK("https://wa.me/"&amp;G122,"Открыть чат"))</f>
        <v/>
      </c>
    </row>
    <row r="123">
      <c r="A123" s="32" t="n"/>
      <c r="B123" s="33" t="n"/>
      <c r="C123" s="33" t="n"/>
      <c r="D123" s="34" t="n"/>
      <c r="E123" s="33" t="n"/>
      <c r="F123" s="35" t="n"/>
      <c r="G123" s="36" t="n"/>
      <c r="H123" s="37" t="n"/>
      <c r="I123" s="38" t="n"/>
      <c r="J123" s="39">
        <f>IF(G123="","",HYPERLINK("https://wa.me/"&amp;G123,"Открыть чат"))</f>
        <v/>
      </c>
    </row>
    <row r="124">
      <c r="A124" s="32" t="n"/>
      <c r="B124" s="33" t="n"/>
      <c r="C124" s="33" t="n"/>
      <c r="D124" s="34" t="n"/>
      <c r="E124" s="33" t="n"/>
      <c r="F124" s="35" t="n"/>
      <c r="G124" s="36" t="n"/>
      <c r="H124" s="37" t="n"/>
      <c r="I124" s="38" t="n"/>
      <c r="J124" s="39">
        <f>IF(G124="","",HYPERLINK("https://wa.me/"&amp;G124,"Открыть чат"))</f>
        <v/>
      </c>
    </row>
    <row r="125">
      <c r="A125" s="32" t="n"/>
      <c r="B125" s="33" t="n"/>
      <c r="C125" s="33" t="n"/>
      <c r="D125" s="34" t="n"/>
      <c r="E125" s="33" t="n"/>
      <c r="F125" s="35" t="n"/>
      <c r="G125" s="36" t="n"/>
      <c r="H125" s="37" t="n"/>
      <c r="I125" s="38" t="n"/>
      <c r="J125" s="39">
        <f>IF(G125="","",HYPERLINK("https://wa.me/"&amp;G125,"Открыть чат"))</f>
        <v/>
      </c>
    </row>
    <row r="126">
      <c r="A126" s="32" t="n"/>
      <c r="B126" s="33" t="n"/>
      <c r="C126" s="33" t="n"/>
      <c r="D126" s="34" t="n"/>
      <c r="E126" s="33" t="n"/>
      <c r="F126" s="35" t="n"/>
      <c r="G126" s="36" t="n"/>
      <c r="H126" s="37" t="n"/>
      <c r="I126" s="38" t="n"/>
      <c r="J126" s="39">
        <f>IF(G126="","",HYPERLINK("https://wa.me/"&amp;G126,"Открыть чат"))</f>
        <v/>
      </c>
    </row>
    <row r="127">
      <c r="A127" s="32" t="n"/>
      <c r="B127" s="33" t="n"/>
      <c r="C127" s="33" t="n"/>
      <c r="D127" s="34" t="n"/>
      <c r="E127" s="33" t="n"/>
      <c r="F127" s="35" t="n"/>
      <c r="G127" s="36" t="n"/>
      <c r="H127" s="37" t="n"/>
      <c r="I127" s="38" t="n"/>
      <c r="J127" s="39">
        <f>IF(G127="","",HYPERLINK("https://wa.me/"&amp;G127,"Открыть чат"))</f>
        <v/>
      </c>
    </row>
    <row r="128">
      <c r="A128" s="32" t="n"/>
      <c r="B128" s="33" t="n"/>
      <c r="C128" s="33" t="n"/>
      <c r="D128" s="34" t="n"/>
      <c r="E128" s="33" t="n"/>
      <c r="F128" s="35" t="n"/>
      <c r="G128" s="36" t="n"/>
      <c r="H128" s="37" t="n"/>
      <c r="I128" s="38" t="n"/>
      <c r="J128" s="39">
        <f>IF(G128="","",HYPERLINK("https://wa.me/"&amp;G128,"Открыть чат"))</f>
        <v/>
      </c>
    </row>
    <row r="129">
      <c r="A129" s="32" t="n"/>
      <c r="B129" s="33" t="n"/>
      <c r="C129" s="33" t="n"/>
      <c r="D129" s="34" t="n"/>
      <c r="E129" s="33" t="n"/>
      <c r="F129" s="35" t="n"/>
      <c r="G129" s="36" t="n"/>
      <c r="H129" s="37" t="n"/>
      <c r="I129" s="38" t="n"/>
      <c r="J129" s="39">
        <f>IF(G129="","",HYPERLINK("https://wa.me/"&amp;G129,"Открыть чат"))</f>
        <v/>
      </c>
    </row>
    <row r="130">
      <c r="A130" s="32" t="n"/>
      <c r="B130" s="33" t="n"/>
      <c r="C130" s="33" t="n"/>
      <c r="D130" s="34" t="n"/>
      <c r="E130" s="33" t="n"/>
      <c r="F130" s="35" t="n"/>
      <c r="G130" s="36" t="n"/>
      <c r="H130" s="37" t="n"/>
      <c r="I130" s="38" t="n"/>
      <c r="J130" s="39">
        <f>IF(G130="","",HYPERLINK("https://wa.me/"&amp;G130,"Открыть чат"))</f>
        <v/>
      </c>
    </row>
    <row r="131">
      <c r="A131" s="32" t="n"/>
      <c r="B131" s="33" t="n"/>
      <c r="C131" s="33" t="n"/>
      <c r="D131" s="34" t="n"/>
      <c r="E131" s="33" t="n"/>
      <c r="F131" s="35" t="n"/>
      <c r="G131" s="36" t="n"/>
      <c r="H131" s="37" t="n"/>
      <c r="I131" s="38" t="n"/>
      <c r="J131" s="39">
        <f>IF(G131="","",HYPERLINK("https://wa.me/"&amp;G131,"Открыть чат"))</f>
        <v/>
      </c>
    </row>
    <row r="132">
      <c r="A132" s="32" t="n"/>
      <c r="B132" s="33" t="n"/>
      <c r="C132" s="33" t="n"/>
      <c r="D132" s="34" t="n"/>
      <c r="E132" s="33" t="n"/>
      <c r="F132" s="35" t="n"/>
      <c r="G132" s="36" t="n"/>
      <c r="H132" s="37" t="n"/>
      <c r="I132" s="38" t="n"/>
      <c r="J132" s="39">
        <f>IF(G132="","",HYPERLINK("https://wa.me/"&amp;G132,"Открыть чат"))</f>
        <v/>
      </c>
    </row>
    <row r="133">
      <c r="A133" s="32" t="n"/>
      <c r="B133" s="33" t="n"/>
      <c r="C133" s="33" t="n"/>
      <c r="D133" s="34" t="n"/>
      <c r="E133" s="33" t="n"/>
      <c r="F133" s="35" t="n"/>
      <c r="G133" s="36" t="n"/>
      <c r="H133" s="37" t="n"/>
      <c r="I133" s="38" t="n"/>
      <c r="J133" s="39">
        <f>IF(G133="","",HYPERLINK("https://wa.me/"&amp;G133,"Открыть чат"))</f>
        <v/>
      </c>
    </row>
    <row r="134">
      <c r="A134" s="32" t="n"/>
      <c r="B134" s="33" t="n"/>
      <c r="C134" s="33" t="n"/>
      <c r="D134" s="34" t="n"/>
      <c r="E134" s="33" t="n"/>
      <c r="F134" s="35" t="n"/>
      <c r="G134" s="36" t="n"/>
      <c r="H134" s="37" t="n"/>
      <c r="I134" s="38" t="n"/>
      <c r="J134" s="39">
        <f>IF(G134="","",HYPERLINK("https://wa.me/"&amp;G134,"Открыть чат"))</f>
        <v/>
      </c>
    </row>
    <row r="135">
      <c r="A135" s="32" t="n"/>
      <c r="B135" s="33" t="n"/>
      <c r="C135" s="33" t="n"/>
      <c r="D135" s="34" t="n"/>
      <c r="E135" s="33" t="n"/>
      <c r="F135" s="35" t="n"/>
      <c r="G135" s="36" t="n"/>
      <c r="H135" s="37" t="n"/>
      <c r="I135" s="38" t="n"/>
      <c r="J135" s="39">
        <f>IF(G135="","",HYPERLINK("https://wa.me/"&amp;G135,"Открыть чат"))</f>
        <v/>
      </c>
    </row>
    <row r="136">
      <c r="A136" s="32" t="n"/>
      <c r="B136" s="33" t="n"/>
      <c r="C136" s="33" t="n"/>
      <c r="D136" s="34" t="n"/>
      <c r="E136" s="33" t="n"/>
      <c r="F136" s="35" t="n"/>
      <c r="G136" s="36" t="n"/>
      <c r="H136" s="37" t="n"/>
      <c r="I136" s="38" t="n"/>
      <c r="J136" s="39">
        <f>IF(G136="","",HYPERLINK("https://wa.me/"&amp;G136,"Открыть чат"))</f>
        <v/>
      </c>
    </row>
    <row r="137">
      <c r="A137" s="32" t="n"/>
      <c r="B137" s="33" t="n"/>
      <c r="C137" s="33" t="n"/>
      <c r="D137" s="34" t="n"/>
      <c r="E137" s="33" t="n"/>
      <c r="F137" s="35" t="n"/>
      <c r="G137" s="36" t="n"/>
      <c r="H137" s="37" t="n"/>
      <c r="I137" s="38" t="n"/>
      <c r="J137" s="39">
        <f>IF(G137="","",HYPERLINK("https://wa.me/"&amp;G137,"Открыть чат"))</f>
        <v/>
      </c>
    </row>
    <row r="138">
      <c r="A138" s="32" t="n"/>
      <c r="B138" s="33" t="n"/>
      <c r="C138" s="33" t="n"/>
      <c r="D138" s="34" t="n"/>
      <c r="E138" s="33" t="n"/>
      <c r="F138" s="35" t="n"/>
      <c r="G138" s="36" t="n"/>
      <c r="H138" s="37" t="n"/>
      <c r="I138" s="38" t="n"/>
      <c r="J138" s="39">
        <f>IF(G138="","",HYPERLINK("https://wa.me/"&amp;G138,"Открыть чат"))</f>
        <v/>
      </c>
    </row>
    <row r="139">
      <c r="A139" s="32" t="n"/>
      <c r="B139" s="33" t="n"/>
      <c r="C139" s="33" t="n"/>
      <c r="D139" s="34" t="n"/>
      <c r="E139" s="33" t="n"/>
      <c r="F139" s="35" t="n"/>
      <c r="G139" s="36" t="n"/>
      <c r="H139" s="37" t="n"/>
      <c r="I139" s="38" t="n"/>
      <c r="J139" s="39">
        <f>IF(G139="","",HYPERLINK("https://wa.me/"&amp;G139,"Открыть чат"))</f>
        <v/>
      </c>
    </row>
    <row r="140">
      <c r="A140" s="32" t="n"/>
      <c r="B140" s="33" t="n"/>
      <c r="C140" s="33" t="n"/>
      <c r="D140" s="34" t="n"/>
      <c r="E140" s="33" t="n"/>
      <c r="F140" s="35" t="n"/>
      <c r="G140" s="36" t="n"/>
      <c r="H140" s="37" t="n"/>
      <c r="I140" s="38" t="n"/>
      <c r="J140" s="39">
        <f>IF(G140="","",HYPERLINK("https://wa.me/"&amp;G140,"Открыть чат"))</f>
        <v/>
      </c>
    </row>
    <row r="141">
      <c r="A141" s="32" t="n"/>
      <c r="B141" s="33" t="n"/>
      <c r="C141" s="33" t="n"/>
      <c r="D141" s="34" t="n"/>
      <c r="E141" s="33" t="n"/>
      <c r="F141" s="35" t="n"/>
      <c r="G141" s="36" t="n"/>
      <c r="H141" s="37" t="n"/>
      <c r="I141" s="38" t="n"/>
      <c r="J141" s="39">
        <f>IF(G141="","",HYPERLINK("https://wa.me/"&amp;G141,"Открыть чат"))</f>
        <v/>
      </c>
    </row>
    <row r="142">
      <c r="A142" s="32" t="n"/>
      <c r="B142" s="33" t="n"/>
      <c r="C142" s="33" t="n"/>
      <c r="D142" s="34" t="n"/>
      <c r="E142" s="33" t="n"/>
      <c r="F142" s="35" t="n"/>
      <c r="G142" s="36" t="n"/>
      <c r="H142" s="37" t="n"/>
      <c r="I142" s="38" t="n"/>
      <c r="J142" s="39">
        <f>IF(G142="","",HYPERLINK("https://wa.me/"&amp;G142,"Открыть чат"))</f>
        <v/>
      </c>
    </row>
    <row r="143">
      <c r="A143" s="32" t="n"/>
      <c r="B143" s="33" t="n"/>
      <c r="C143" s="33" t="n"/>
      <c r="D143" s="34" t="n"/>
      <c r="E143" s="33" t="n"/>
      <c r="F143" s="35" t="n"/>
      <c r="G143" s="36" t="n"/>
      <c r="H143" s="37" t="n"/>
      <c r="I143" s="38" t="n"/>
      <c r="J143" s="39">
        <f>IF(G143="","",HYPERLINK("https://wa.me/"&amp;G143,"Открыть чат"))</f>
        <v/>
      </c>
    </row>
    <row r="144">
      <c r="A144" s="32" t="n"/>
      <c r="B144" s="33" t="n"/>
      <c r="C144" s="33" t="n"/>
      <c r="D144" s="34" t="n"/>
      <c r="E144" s="33" t="n"/>
      <c r="F144" s="35" t="n"/>
      <c r="G144" s="36" t="n"/>
      <c r="H144" s="37" t="n"/>
      <c r="I144" s="38" t="n"/>
      <c r="J144" s="39">
        <f>IF(G144="","",HYPERLINK("https://wa.me/"&amp;G144,"Открыть чат"))</f>
        <v/>
      </c>
    </row>
    <row r="145">
      <c r="A145" s="32" t="n"/>
      <c r="B145" s="33" t="n"/>
      <c r="C145" s="33" t="n"/>
      <c r="D145" s="34" t="n"/>
      <c r="E145" s="33" t="n"/>
      <c r="F145" s="35" t="n"/>
      <c r="G145" s="36" t="n"/>
      <c r="H145" s="37" t="n"/>
      <c r="I145" s="38" t="n"/>
      <c r="J145" s="39">
        <f>IF(G145="","",HYPERLINK("https://wa.me/"&amp;G145,"Открыть чат"))</f>
        <v/>
      </c>
    </row>
    <row r="146">
      <c r="A146" s="32" t="n"/>
      <c r="B146" s="33" t="n"/>
      <c r="C146" s="33" t="n"/>
      <c r="D146" s="34" t="n"/>
      <c r="E146" s="33" t="n"/>
      <c r="F146" s="35" t="n"/>
      <c r="G146" s="36" t="n"/>
      <c r="H146" s="37" t="n"/>
      <c r="I146" s="38" t="n"/>
      <c r="J146" s="39">
        <f>IF(G146="","",HYPERLINK("https://wa.me/"&amp;G146,"Открыть чат"))</f>
        <v/>
      </c>
    </row>
    <row r="147">
      <c r="A147" s="32" t="n"/>
      <c r="B147" s="33" t="n"/>
      <c r="C147" s="33" t="n"/>
      <c r="D147" s="34" t="n"/>
      <c r="E147" s="33" t="n"/>
      <c r="F147" s="35" t="n"/>
      <c r="G147" s="36" t="n"/>
      <c r="H147" s="37" t="n"/>
      <c r="I147" s="38" t="n"/>
      <c r="J147" s="39">
        <f>IF(G147="","",HYPERLINK("https://wa.me/"&amp;G147,"Открыть чат"))</f>
        <v/>
      </c>
    </row>
    <row r="148">
      <c r="A148" s="32" t="n"/>
      <c r="B148" s="33" t="n"/>
      <c r="C148" s="33" t="n"/>
      <c r="D148" s="34" t="n"/>
      <c r="E148" s="33" t="n"/>
      <c r="F148" s="35" t="n"/>
      <c r="G148" s="36" t="n"/>
      <c r="H148" s="37" t="n"/>
      <c r="I148" s="38" t="n"/>
      <c r="J148" s="39">
        <f>IF(G148="","",HYPERLINK("https://wa.me/"&amp;G148,"Открыть чат"))</f>
        <v/>
      </c>
    </row>
    <row r="149">
      <c r="A149" s="32" t="n"/>
      <c r="B149" s="33" t="n"/>
      <c r="C149" s="33" t="n"/>
      <c r="D149" s="34" t="n"/>
      <c r="E149" s="33" t="n"/>
      <c r="F149" s="35" t="n"/>
      <c r="G149" s="36" t="n"/>
      <c r="H149" s="37" t="n"/>
      <c r="I149" s="38" t="n"/>
      <c r="J149" s="39">
        <f>IF(G149="","",HYPERLINK("https://wa.me/"&amp;G149,"Открыть чат"))</f>
        <v/>
      </c>
    </row>
    <row r="150">
      <c r="A150" s="32" t="n"/>
      <c r="B150" s="33" t="n"/>
      <c r="C150" s="33" t="n"/>
      <c r="D150" s="34" t="n"/>
      <c r="E150" s="33" t="n"/>
      <c r="F150" s="35" t="n"/>
      <c r="G150" s="36" t="n"/>
      <c r="H150" s="37" t="n"/>
      <c r="I150" s="38" t="n"/>
      <c r="J150" s="39">
        <f>IF(G150="","",HYPERLINK("https://wa.me/"&amp;G150,"Открыть чат"))</f>
        <v/>
      </c>
    </row>
    <row r="151">
      <c r="A151" s="32" t="n"/>
      <c r="B151" s="33" t="n"/>
      <c r="C151" s="33" t="n"/>
      <c r="D151" s="34" t="n"/>
      <c r="E151" s="33" t="n"/>
      <c r="F151" s="35" t="n"/>
      <c r="G151" s="36" t="n"/>
      <c r="H151" s="37" t="n"/>
      <c r="I151" s="38" t="n"/>
      <c r="J151" s="39">
        <f>IF(G151="","",HYPERLINK("https://wa.me/"&amp;G151,"Открыть чат"))</f>
        <v/>
      </c>
    </row>
    <row r="152">
      <c r="A152" s="32" t="n"/>
      <c r="B152" s="33" t="n"/>
      <c r="C152" s="33" t="n"/>
      <c r="D152" s="34" t="n"/>
      <c r="E152" s="33" t="n"/>
      <c r="F152" s="35" t="n"/>
      <c r="G152" s="36" t="n"/>
      <c r="H152" s="37" t="n"/>
      <c r="I152" s="38" t="n"/>
      <c r="J152" s="39">
        <f>IF(G152="","",HYPERLINK("https://wa.me/"&amp;G152,"Открыть чат"))</f>
        <v/>
      </c>
    </row>
    <row r="153">
      <c r="A153" s="32" t="n"/>
      <c r="B153" s="33" t="n"/>
      <c r="C153" s="33" t="n"/>
      <c r="D153" s="34" t="n"/>
      <c r="E153" s="33" t="n"/>
      <c r="F153" s="35" t="n"/>
      <c r="G153" s="36" t="n"/>
      <c r="H153" s="37" t="n"/>
      <c r="I153" s="38" t="n"/>
      <c r="J153" s="39">
        <f>IF(G153="","",HYPERLINK("https://wa.me/"&amp;G153,"Открыть чат"))</f>
        <v/>
      </c>
    </row>
    <row r="154">
      <c r="A154" s="32" t="n"/>
      <c r="B154" s="33" t="n"/>
      <c r="C154" s="33" t="n"/>
      <c r="D154" s="34" t="n"/>
      <c r="E154" s="33" t="n"/>
      <c r="F154" s="35" t="n"/>
      <c r="G154" s="36" t="n"/>
      <c r="H154" s="37" t="n"/>
      <c r="I154" s="38" t="n"/>
      <c r="J154" s="39">
        <f>IF(G154="","",HYPERLINK("https://wa.me/"&amp;G154,"Открыть чат"))</f>
        <v/>
      </c>
    </row>
    <row r="155">
      <c r="A155" s="32" t="n"/>
      <c r="B155" s="33" t="n"/>
      <c r="C155" s="33" t="n"/>
      <c r="D155" s="34" t="n"/>
      <c r="E155" s="33" t="n"/>
      <c r="F155" s="35" t="n"/>
      <c r="G155" s="36" t="n"/>
      <c r="H155" s="37" t="n"/>
      <c r="I155" s="38" t="n"/>
      <c r="J155" s="39">
        <f>IF(G155="","",HYPERLINK("https://wa.me/"&amp;G155,"Открыть чат"))</f>
        <v/>
      </c>
    </row>
    <row r="156">
      <c r="A156" s="32" t="n"/>
      <c r="B156" s="33" t="n"/>
      <c r="C156" s="33" t="n"/>
      <c r="D156" s="34" t="n"/>
      <c r="E156" s="33" t="n"/>
      <c r="F156" s="35" t="n"/>
      <c r="G156" s="36" t="n"/>
      <c r="H156" s="37" t="n"/>
      <c r="I156" s="38" t="n"/>
      <c r="J156" s="39">
        <f>IF(G156="","",HYPERLINK("https://wa.me/"&amp;G156,"Открыть чат"))</f>
        <v/>
      </c>
    </row>
    <row r="157">
      <c r="A157" s="32" t="n"/>
      <c r="B157" s="33" t="n"/>
      <c r="C157" s="33" t="n"/>
      <c r="D157" s="34" t="n"/>
      <c r="E157" s="33" t="n"/>
      <c r="F157" s="35" t="n"/>
      <c r="G157" s="36" t="n"/>
      <c r="H157" s="37" t="n"/>
      <c r="I157" s="38" t="n"/>
      <c r="J157" s="39">
        <f>IF(G157="","",HYPERLINK("https://wa.me/"&amp;G157,"Открыть чат"))</f>
        <v/>
      </c>
    </row>
    <row r="158">
      <c r="A158" s="32" t="n"/>
      <c r="B158" s="33" t="n"/>
      <c r="C158" s="33" t="n"/>
      <c r="D158" s="34" t="n"/>
      <c r="E158" s="33" t="n"/>
      <c r="F158" s="35" t="n"/>
      <c r="G158" s="36" t="n"/>
      <c r="H158" s="37" t="n"/>
      <c r="I158" s="38" t="n"/>
      <c r="J158" s="39">
        <f>IF(G158="","",HYPERLINK("https://wa.me/"&amp;G158,"Открыть чат"))</f>
        <v/>
      </c>
    </row>
    <row r="159">
      <c r="A159" s="32" t="n"/>
      <c r="B159" s="33" t="n"/>
      <c r="C159" s="33" t="n"/>
      <c r="D159" s="34" t="n"/>
      <c r="E159" s="33" t="n"/>
      <c r="F159" s="35" t="n"/>
      <c r="G159" s="36" t="n"/>
      <c r="H159" s="37" t="n"/>
      <c r="I159" s="38" t="n"/>
      <c r="J159" s="39">
        <f>IF(G159="","",HYPERLINK("https://wa.me/"&amp;G159,"Открыть чат"))</f>
        <v/>
      </c>
    </row>
    <row r="160">
      <c r="A160" s="32" t="n"/>
      <c r="B160" s="33" t="n"/>
      <c r="C160" s="33" t="n"/>
      <c r="D160" s="34" t="n"/>
      <c r="E160" s="33" t="n"/>
      <c r="F160" s="35" t="n"/>
      <c r="G160" s="36" t="n"/>
      <c r="H160" s="37" t="n"/>
      <c r="I160" s="38" t="n"/>
      <c r="J160" s="39">
        <f>IF(G160="","",HYPERLINK("https://wa.me/"&amp;G160,"Открыть чат"))</f>
        <v/>
      </c>
    </row>
    <row r="161">
      <c r="A161" s="32" t="n"/>
      <c r="B161" s="33" t="n"/>
      <c r="C161" s="33" t="n"/>
      <c r="D161" s="34" t="n"/>
      <c r="E161" s="33" t="n"/>
      <c r="F161" s="35" t="n"/>
      <c r="G161" s="36" t="n"/>
      <c r="H161" s="37" t="n"/>
      <c r="I161" s="38" t="n"/>
      <c r="J161" s="39">
        <f>IF(G161="","",HYPERLINK("https://wa.me/"&amp;G161,"Открыть чат"))</f>
        <v/>
      </c>
    </row>
    <row r="162">
      <c r="A162" s="32" t="n"/>
      <c r="B162" s="33" t="n"/>
      <c r="C162" s="33" t="n"/>
      <c r="D162" s="34" t="n"/>
      <c r="E162" s="33" t="n"/>
      <c r="F162" s="35" t="n"/>
      <c r="G162" s="36" t="n"/>
      <c r="H162" s="37" t="n"/>
      <c r="I162" s="38" t="n"/>
      <c r="J162" s="39">
        <f>IF(G162="","",HYPERLINK("https://wa.me/"&amp;G162,"Открыть чат"))</f>
        <v/>
      </c>
    </row>
    <row r="163">
      <c r="A163" s="32" t="n"/>
      <c r="B163" s="33" t="n"/>
      <c r="C163" s="33" t="n"/>
      <c r="D163" s="34" t="n"/>
      <c r="E163" s="33" t="n"/>
      <c r="F163" s="35" t="n"/>
      <c r="G163" s="36" t="n"/>
      <c r="H163" s="37" t="n"/>
      <c r="I163" s="38" t="n"/>
      <c r="J163" s="39">
        <f>IF(G163="","",HYPERLINK("https://wa.me/"&amp;G163,"Открыть чат"))</f>
        <v/>
      </c>
    </row>
    <row r="164">
      <c r="A164" s="32" t="n"/>
      <c r="B164" s="33" t="n"/>
      <c r="C164" s="33" t="n"/>
      <c r="D164" s="34" t="n"/>
      <c r="E164" s="33" t="n"/>
      <c r="F164" s="35" t="n"/>
      <c r="G164" s="36" t="n"/>
      <c r="H164" s="37" t="n"/>
      <c r="I164" s="38" t="n"/>
      <c r="J164" s="39">
        <f>IF(G164="","",HYPERLINK("https://wa.me/"&amp;G164,"Открыть чат"))</f>
        <v/>
      </c>
    </row>
    <row r="165">
      <c r="A165" s="32" t="n"/>
      <c r="B165" s="33" t="n"/>
      <c r="C165" s="33" t="n"/>
      <c r="D165" s="34" t="n"/>
      <c r="E165" s="33" t="n"/>
      <c r="F165" s="35" t="n"/>
      <c r="G165" s="36" t="n"/>
      <c r="H165" s="37" t="n"/>
      <c r="I165" s="38" t="n"/>
      <c r="J165" s="39">
        <f>IF(G165="","",HYPERLINK("https://wa.me/"&amp;G165,"Открыть чат"))</f>
        <v/>
      </c>
    </row>
    <row r="166">
      <c r="A166" s="32" t="n"/>
      <c r="B166" s="33" t="n"/>
      <c r="C166" s="33" t="n"/>
      <c r="D166" s="34" t="n"/>
      <c r="E166" s="33" t="n"/>
      <c r="F166" s="35" t="n"/>
      <c r="G166" s="36" t="n"/>
      <c r="H166" s="37" t="n"/>
      <c r="I166" s="38" t="n"/>
      <c r="J166" s="39">
        <f>IF(G166="","",HYPERLINK("https://wa.me/"&amp;G166,"Открыть чат"))</f>
        <v/>
      </c>
    </row>
    <row r="167">
      <c r="A167" s="32" t="n"/>
      <c r="B167" s="33" t="n"/>
      <c r="C167" s="33" t="n"/>
      <c r="D167" s="34" t="n"/>
      <c r="E167" s="33" t="n"/>
      <c r="F167" s="35" t="n"/>
      <c r="G167" s="36" t="n"/>
      <c r="H167" s="37" t="n"/>
      <c r="I167" s="38" t="n"/>
      <c r="J167" s="39">
        <f>IF(G167="","",HYPERLINK("https://wa.me/"&amp;G167,"Открыть чат"))</f>
        <v/>
      </c>
    </row>
    <row r="168">
      <c r="A168" s="32" t="n"/>
      <c r="B168" s="33" t="n"/>
      <c r="C168" s="33" t="n"/>
      <c r="D168" s="34" t="n"/>
      <c r="E168" s="33" t="n"/>
      <c r="F168" s="35" t="n"/>
      <c r="G168" s="36" t="n"/>
      <c r="H168" s="37" t="n"/>
      <c r="I168" s="38" t="n"/>
      <c r="J168" s="39">
        <f>IF(G168="","",HYPERLINK("https://wa.me/"&amp;G168,"Открыть чат"))</f>
        <v/>
      </c>
    </row>
    <row r="169">
      <c r="A169" s="32" t="n"/>
      <c r="B169" s="33" t="n"/>
      <c r="C169" s="33" t="n"/>
      <c r="D169" s="34" t="n"/>
      <c r="E169" s="33" t="n"/>
      <c r="F169" s="35" t="n"/>
      <c r="G169" s="36" t="n"/>
      <c r="H169" s="37" t="n"/>
      <c r="I169" s="38" t="n"/>
      <c r="J169" s="39">
        <f>IF(G169="","",HYPERLINK("https://wa.me/"&amp;G169,"Открыть чат"))</f>
        <v/>
      </c>
    </row>
    <row r="170">
      <c r="A170" s="32" t="n"/>
      <c r="B170" s="33" t="n"/>
      <c r="C170" s="33" t="n"/>
      <c r="D170" s="34" t="n"/>
      <c r="E170" s="33" t="n"/>
      <c r="F170" s="35" t="n"/>
      <c r="G170" s="36" t="n"/>
      <c r="H170" s="37" t="n"/>
      <c r="I170" s="38" t="n"/>
      <c r="J170" s="39">
        <f>IF(G170="","",HYPERLINK("https://wa.me/"&amp;G170,"Открыть чат"))</f>
        <v/>
      </c>
    </row>
    <row r="171">
      <c r="A171" s="32" t="n"/>
      <c r="B171" s="33" t="n"/>
      <c r="C171" s="33" t="n"/>
      <c r="D171" s="34" t="n"/>
      <c r="E171" s="33" t="n"/>
      <c r="F171" s="35" t="n"/>
      <c r="G171" s="36" t="n"/>
      <c r="H171" s="37" t="n"/>
      <c r="I171" s="38" t="n"/>
      <c r="J171" s="39">
        <f>IF(G171="","",HYPERLINK("https://wa.me/"&amp;G171,"Открыть чат"))</f>
        <v/>
      </c>
    </row>
    <row r="172">
      <c r="A172" s="32" t="n"/>
      <c r="B172" s="33" t="n"/>
      <c r="C172" s="33" t="n"/>
      <c r="D172" s="34" t="n"/>
      <c r="E172" s="33" t="n"/>
      <c r="F172" s="35" t="n"/>
      <c r="G172" s="36" t="n"/>
      <c r="H172" s="37" t="n"/>
      <c r="I172" s="38" t="n"/>
      <c r="J172" s="39">
        <f>IF(G172="","",HYPERLINK("https://wa.me/"&amp;G172,"Открыть чат"))</f>
        <v/>
      </c>
    </row>
    <row r="173">
      <c r="A173" s="32" t="n"/>
      <c r="B173" s="33" t="n"/>
      <c r="C173" s="33" t="n"/>
      <c r="D173" s="34" t="n"/>
      <c r="E173" s="33" t="n"/>
      <c r="F173" s="35" t="n"/>
      <c r="G173" s="36" t="n"/>
      <c r="H173" s="37" t="n"/>
      <c r="I173" s="38" t="n"/>
      <c r="J173" s="39">
        <f>IF(G173="","",HYPERLINK("https://wa.me/"&amp;G173,"Открыть чат"))</f>
        <v/>
      </c>
    </row>
    <row r="174">
      <c r="A174" s="32" t="n"/>
      <c r="B174" s="33" t="n"/>
      <c r="C174" s="33" t="n"/>
      <c r="D174" s="34" t="n"/>
      <c r="E174" s="33" t="n"/>
      <c r="F174" s="35" t="n"/>
      <c r="G174" s="36" t="n"/>
      <c r="H174" s="37" t="n"/>
      <c r="I174" s="38" t="n"/>
      <c r="J174" s="39">
        <f>IF(G174="","",HYPERLINK("https://wa.me/"&amp;G174,"Открыть чат"))</f>
        <v/>
      </c>
    </row>
    <row r="175">
      <c r="A175" s="32" t="n"/>
      <c r="B175" s="33" t="n"/>
      <c r="C175" s="33" t="n"/>
      <c r="D175" s="34" t="n"/>
      <c r="E175" s="33" t="n"/>
      <c r="F175" s="35" t="n"/>
      <c r="G175" s="36" t="n"/>
      <c r="H175" s="37" t="n"/>
      <c r="I175" s="38" t="n"/>
      <c r="J175" s="39">
        <f>IF(G175="","",HYPERLINK("https://wa.me/"&amp;G175,"Открыть чат"))</f>
        <v/>
      </c>
    </row>
    <row r="176">
      <c r="A176" s="32" t="n"/>
      <c r="B176" s="33" t="n"/>
      <c r="C176" s="33" t="n"/>
      <c r="D176" s="34" t="n"/>
      <c r="E176" s="33" t="n"/>
      <c r="F176" s="35" t="n"/>
      <c r="G176" s="36" t="n"/>
      <c r="H176" s="37" t="n"/>
      <c r="I176" s="38" t="n"/>
      <c r="J176" s="39">
        <f>IF(G176="","",HYPERLINK("https://wa.me/"&amp;G176,"Открыть чат"))</f>
        <v/>
      </c>
    </row>
    <row r="177">
      <c r="A177" s="32" t="n"/>
      <c r="B177" s="33" t="n"/>
      <c r="C177" s="33" t="n"/>
      <c r="D177" s="34" t="n"/>
      <c r="E177" s="33" t="n"/>
      <c r="F177" s="35" t="n"/>
      <c r="G177" s="36" t="n"/>
      <c r="H177" s="37" t="n"/>
      <c r="I177" s="38" t="n"/>
      <c r="J177" s="39">
        <f>IF(G177="","",HYPERLINK("https://wa.me/"&amp;G177,"Открыть чат"))</f>
        <v/>
      </c>
    </row>
    <row r="178">
      <c r="A178" s="32" t="n"/>
      <c r="B178" s="33" t="n"/>
      <c r="C178" s="33" t="n"/>
      <c r="D178" s="34" t="n"/>
      <c r="E178" s="33" t="n"/>
      <c r="F178" s="35" t="n"/>
      <c r="G178" s="36" t="n"/>
      <c r="H178" s="37" t="n"/>
      <c r="I178" s="38" t="n"/>
      <c r="J178" s="39">
        <f>IF(G178="","",HYPERLINK("https://wa.me/"&amp;G178,"Открыть чат"))</f>
        <v/>
      </c>
    </row>
    <row r="179">
      <c r="A179" s="32" t="n"/>
      <c r="B179" s="33" t="n"/>
      <c r="C179" s="33" t="n"/>
      <c r="D179" s="34" t="n"/>
      <c r="E179" s="33" t="n"/>
      <c r="F179" s="35" t="n"/>
      <c r="G179" s="36" t="n"/>
      <c r="H179" s="37" t="n"/>
      <c r="I179" s="38" t="n"/>
      <c r="J179" s="39">
        <f>IF(G179="","",HYPERLINK("https://wa.me/"&amp;G179,"Открыть чат"))</f>
        <v/>
      </c>
    </row>
    <row r="180">
      <c r="A180" s="32" t="n"/>
      <c r="B180" s="33" t="n"/>
      <c r="C180" s="33" t="n"/>
      <c r="D180" s="34" t="n"/>
      <c r="E180" s="33" t="n"/>
      <c r="F180" s="35" t="n"/>
      <c r="G180" s="36" t="n"/>
      <c r="H180" s="37" t="n"/>
      <c r="I180" s="38" t="n"/>
      <c r="J180" s="39">
        <f>IF(G180="","",HYPERLINK("https://wa.me/"&amp;G180,"Открыть чат"))</f>
        <v/>
      </c>
    </row>
    <row r="181">
      <c r="A181" s="32" t="n"/>
      <c r="B181" s="33" t="n"/>
      <c r="C181" s="33" t="n"/>
      <c r="D181" s="34" t="n"/>
      <c r="E181" s="33" t="n"/>
      <c r="F181" s="35" t="n"/>
      <c r="G181" s="36" t="n"/>
      <c r="H181" s="37" t="n"/>
      <c r="I181" s="38" t="n"/>
      <c r="J181" s="39">
        <f>IF(G181="","",HYPERLINK("https://wa.me/"&amp;G181,"Открыть чат"))</f>
        <v/>
      </c>
    </row>
    <row r="182">
      <c r="A182" s="32" t="n"/>
      <c r="B182" s="33" t="n"/>
      <c r="C182" s="33" t="n"/>
      <c r="D182" s="34" t="n"/>
      <c r="E182" s="33" t="n"/>
      <c r="F182" s="35" t="n"/>
      <c r="G182" s="36" t="n"/>
      <c r="H182" s="37" t="n"/>
      <c r="I182" s="38" t="n"/>
      <c r="J182" s="39">
        <f>IF(G182="","",HYPERLINK("https://wa.me/"&amp;G182,"Открыть чат"))</f>
        <v/>
      </c>
    </row>
    <row r="183">
      <c r="A183" s="32" t="n"/>
      <c r="B183" s="33" t="n"/>
      <c r="C183" s="33" t="n"/>
      <c r="D183" s="34" t="n"/>
      <c r="E183" s="33" t="n"/>
      <c r="F183" s="35" t="n"/>
      <c r="G183" s="36" t="n"/>
      <c r="H183" s="37" t="n"/>
      <c r="I183" s="38" t="n"/>
      <c r="J183" s="39">
        <f>IF(G183="","",HYPERLINK("https://wa.me/"&amp;G183,"Открыть чат"))</f>
        <v/>
      </c>
    </row>
    <row r="184">
      <c r="A184" s="32" t="n"/>
      <c r="B184" s="33" t="n"/>
      <c r="C184" s="33" t="n"/>
      <c r="D184" s="34" t="n"/>
      <c r="E184" s="33" t="n"/>
      <c r="F184" s="35" t="n"/>
      <c r="G184" s="36" t="n"/>
      <c r="H184" s="37" t="n"/>
      <c r="I184" s="38" t="n"/>
      <c r="J184" s="39">
        <f>IF(G184="","",HYPERLINK("https://wa.me/"&amp;G184,"Открыть чат"))</f>
        <v/>
      </c>
    </row>
    <row r="185">
      <c r="A185" s="32" t="n"/>
      <c r="B185" s="33" t="n"/>
      <c r="C185" s="33" t="n"/>
      <c r="D185" s="34" t="n"/>
      <c r="E185" s="33" t="n"/>
      <c r="F185" s="35" t="n"/>
      <c r="G185" s="36" t="n"/>
      <c r="H185" s="37" t="n"/>
      <c r="I185" s="38" t="n"/>
      <c r="J185" s="39">
        <f>IF(G185="","",HYPERLINK("https://wa.me/"&amp;G185,"Открыть чат"))</f>
        <v/>
      </c>
    </row>
    <row r="186">
      <c r="A186" s="32" t="n"/>
      <c r="B186" s="33" t="n"/>
      <c r="C186" s="33" t="n"/>
      <c r="D186" s="34" t="n"/>
      <c r="E186" s="33" t="n"/>
      <c r="F186" s="35" t="n"/>
      <c r="G186" s="36" t="n"/>
      <c r="H186" s="37" t="n"/>
      <c r="I186" s="38" t="n"/>
      <c r="J186" s="39">
        <f>IF(G186="","",HYPERLINK("https://wa.me/"&amp;G186,"Открыть чат"))</f>
        <v/>
      </c>
    </row>
    <row r="187">
      <c r="A187" s="32" t="n"/>
      <c r="B187" s="33" t="n"/>
      <c r="C187" s="33" t="n"/>
      <c r="D187" s="34" t="n"/>
      <c r="E187" s="33" t="n"/>
      <c r="F187" s="35" t="n"/>
      <c r="G187" s="36" t="n"/>
      <c r="H187" s="37" t="n"/>
      <c r="I187" s="38" t="n"/>
      <c r="J187" s="39">
        <f>IF(G187="","",HYPERLINK("https://wa.me/"&amp;G187,"Открыть чат"))</f>
        <v/>
      </c>
    </row>
    <row r="188">
      <c r="A188" s="32" t="n"/>
      <c r="B188" s="33" t="n"/>
      <c r="C188" s="33" t="n"/>
      <c r="D188" s="34" t="n"/>
      <c r="E188" s="33" t="n"/>
      <c r="F188" s="35" t="n"/>
      <c r="G188" s="36" t="n"/>
      <c r="H188" s="37" t="n"/>
      <c r="I188" s="38" t="n"/>
      <c r="J188" s="39">
        <f>IF(G188="","",HYPERLINK("https://wa.me/"&amp;G188,"Открыть чат"))</f>
        <v/>
      </c>
    </row>
    <row r="189">
      <c r="A189" s="32" t="n"/>
      <c r="B189" s="33" t="n"/>
      <c r="C189" s="33" t="n"/>
      <c r="D189" s="34" t="n"/>
      <c r="E189" s="33" t="n"/>
      <c r="F189" s="35" t="n"/>
      <c r="G189" s="36" t="n"/>
      <c r="H189" s="37" t="n"/>
      <c r="I189" s="38" t="n"/>
      <c r="J189" s="39">
        <f>IF(G189="","",HYPERLINK("https://wa.me/"&amp;G189,"Открыть чат"))</f>
        <v/>
      </c>
    </row>
    <row r="190">
      <c r="A190" s="32" t="n"/>
      <c r="B190" s="33" t="n"/>
      <c r="C190" s="33" t="n"/>
      <c r="D190" s="34" t="n"/>
      <c r="E190" s="33" t="n"/>
      <c r="F190" s="35" t="n"/>
      <c r="G190" s="36" t="n"/>
      <c r="H190" s="37" t="n"/>
      <c r="I190" s="38" t="n"/>
      <c r="J190" s="39">
        <f>IF(G190="","",HYPERLINK("https://wa.me/"&amp;G190,"Открыть чат"))</f>
        <v/>
      </c>
    </row>
    <row r="191">
      <c r="A191" s="32" t="n"/>
      <c r="B191" s="33" t="n"/>
      <c r="C191" s="33" t="n"/>
      <c r="D191" s="34" t="n"/>
      <c r="E191" s="33" t="n"/>
      <c r="F191" s="35" t="n"/>
      <c r="G191" s="36" t="n"/>
      <c r="H191" s="37" t="n"/>
      <c r="I191" s="38" t="n"/>
      <c r="J191" s="39">
        <f>IF(G191="","",HYPERLINK("https://wa.me/"&amp;G191,"Открыть чат"))</f>
        <v/>
      </c>
    </row>
    <row r="192">
      <c r="A192" s="32" t="n"/>
      <c r="B192" s="33" t="n"/>
      <c r="C192" s="33" t="n"/>
      <c r="D192" s="34" t="n"/>
      <c r="E192" s="33" t="n"/>
      <c r="F192" s="35" t="n"/>
      <c r="G192" s="36" t="n"/>
      <c r="H192" s="37" t="n"/>
      <c r="I192" s="38" t="n"/>
      <c r="J192" s="39">
        <f>IF(G192="","",HYPERLINK("https://wa.me/"&amp;G192,"Открыть чат"))</f>
        <v/>
      </c>
    </row>
    <row r="193">
      <c r="A193" s="32" t="n"/>
      <c r="B193" s="33" t="n"/>
      <c r="C193" s="33" t="n"/>
      <c r="D193" s="34" t="n"/>
      <c r="E193" s="33" t="n"/>
      <c r="F193" s="35" t="n"/>
      <c r="G193" s="36" t="n"/>
      <c r="H193" s="37" t="n"/>
      <c r="I193" s="38" t="n"/>
      <c r="J193" s="39">
        <f>IF(G193="","",HYPERLINK("https://wa.me/"&amp;G193,"Открыть чат"))</f>
        <v/>
      </c>
    </row>
    <row r="194">
      <c r="A194" s="32" t="n"/>
      <c r="B194" s="33" t="n"/>
      <c r="C194" s="33" t="n"/>
      <c r="D194" s="34" t="n"/>
      <c r="E194" s="33" t="n"/>
      <c r="F194" s="35" t="n"/>
      <c r="G194" s="36" t="n"/>
      <c r="H194" s="37" t="n"/>
      <c r="I194" s="38" t="n"/>
      <c r="J194" s="39">
        <f>IF(G194="","",HYPERLINK("https://wa.me/"&amp;G194,"Открыть чат"))</f>
        <v/>
      </c>
    </row>
    <row r="195">
      <c r="A195" s="32" t="n"/>
      <c r="B195" s="33" t="n"/>
      <c r="C195" s="33" t="n"/>
      <c r="D195" s="34" t="n"/>
      <c r="E195" s="33" t="n"/>
      <c r="F195" s="35" t="n"/>
      <c r="G195" s="36" t="n"/>
      <c r="H195" s="37" t="n"/>
      <c r="I195" s="38" t="n"/>
      <c r="J195" s="39">
        <f>IF(G195="","",HYPERLINK("https://wa.me/"&amp;G195,"Открыть чат"))</f>
        <v/>
      </c>
    </row>
    <row r="196">
      <c r="A196" s="32" t="n"/>
      <c r="B196" s="33" t="n"/>
      <c r="C196" s="33" t="n"/>
      <c r="D196" s="34" t="n"/>
      <c r="E196" s="33" t="n"/>
      <c r="F196" s="35" t="n"/>
      <c r="G196" s="36" t="n"/>
      <c r="H196" s="37" t="n"/>
      <c r="I196" s="38" t="n"/>
      <c r="J196" s="39">
        <f>IF(G196="","",HYPERLINK("https://wa.me/"&amp;G196,"Открыть чат"))</f>
        <v/>
      </c>
    </row>
    <row r="197">
      <c r="A197" s="32" t="n"/>
      <c r="B197" s="33" t="n"/>
      <c r="C197" s="33" t="n"/>
      <c r="D197" s="34" t="n"/>
      <c r="E197" s="33" t="n"/>
      <c r="F197" s="35" t="n"/>
      <c r="G197" s="36" t="n"/>
      <c r="H197" s="37" t="n"/>
      <c r="I197" s="38" t="n"/>
      <c r="J197" s="39">
        <f>IF(G197="","",HYPERLINK("https://wa.me/"&amp;G197,"Открыть чат"))</f>
        <v/>
      </c>
    </row>
    <row r="198">
      <c r="A198" s="32" t="n"/>
      <c r="B198" s="33" t="n"/>
      <c r="C198" s="33" t="n"/>
      <c r="D198" s="34" t="n"/>
      <c r="E198" s="33" t="n"/>
      <c r="F198" s="35" t="n"/>
      <c r="G198" s="36" t="n"/>
      <c r="H198" s="37" t="n"/>
      <c r="I198" s="38" t="n"/>
      <c r="J198" s="39">
        <f>IF(G198="","",HYPERLINK("https://wa.me/"&amp;G198,"Открыть чат"))</f>
        <v/>
      </c>
    </row>
    <row r="199">
      <c r="A199" s="32" t="n"/>
      <c r="B199" s="33" t="n"/>
      <c r="C199" s="33" t="n"/>
      <c r="D199" s="34" t="n"/>
      <c r="E199" s="33" t="n"/>
      <c r="F199" s="35" t="n"/>
      <c r="G199" s="36" t="n"/>
      <c r="H199" s="37" t="n"/>
      <c r="I199" s="38" t="n"/>
      <c r="J199" s="39">
        <f>IF(G199="","",HYPERLINK("https://wa.me/"&amp;G199,"Открыть чат"))</f>
        <v/>
      </c>
    </row>
    <row r="200">
      <c r="A200" s="32" t="n"/>
      <c r="B200" s="33" t="n"/>
      <c r="C200" s="33" t="n"/>
      <c r="D200" s="34" t="n"/>
      <c r="E200" s="33" t="n"/>
      <c r="F200" s="35" t="n"/>
      <c r="G200" s="36" t="n"/>
      <c r="H200" s="37" t="n"/>
      <c r="I200" s="38" t="n"/>
      <c r="J200" s="39">
        <f>IF(G200="","",HYPERLINK("https://wa.me/"&amp;G200,"Открыть чат"))</f>
        <v/>
      </c>
    </row>
    <row r="201">
      <c r="A201" s="32" t="n"/>
      <c r="B201" s="33" t="n"/>
      <c r="C201" s="33" t="n"/>
      <c r="D201" s="34" t="n"/>
      <c r="E201" s="33" t="n"/>
      <c r="F201" s="35" t="n"/>
      <c r="G201" s="36" t="n"/>
      <c r="H201" s="37" t="n"/>
      <c r="I201" s="38" t="n"/>
      <c r="J201" s="39">
        <f>IF(G201="","",HYPERLINK("https://wa.me/"&amp;G201,"Открыть чат"))</f>
        <v/>
      </c>
    </row>
    <row r="202">
      <c r="A202" s="32" t="n"/>
      <c r="B202" s="33" t="n"/>
      <c r="C202" s="33" t="n"/>
      <c r="D202" s="34" t="n"/>
      <c r="E202" s="33" t="n"/>
      <c r="F202" s="35" t="n"/>
      <c r="G202" s="36" t="n"/>
      <c r="H202" s="37" t="n"/>
      <c r="I202" s="38" t="n"/>
      <c r="J202" s="39">
        <f>IF(G202="","",HYPERLINK("https://wa.me/"&amp;G202,"Открыть чат"))</f>
        <v/>
      </c>
    </row>
    <row r="203">
      <c r="A203" s="32" t="n"/>
      <c r="B203" s="33" t="n"/>
      <c r="C203" s="33" t="n"/>
      <c r="D203" s="34" t="n"/>
      <c r="E203" s="33" t="n"/>
      <c r="F203" s="35" t="n"/>
      <c r="G203" s="36" t="n"/>
      <c r="H203" s="37" t="n"/>
      <c r="I203" s="38" t="n"/>
      <c r="J203" s="39">
        <f>IF(G203="","",HYPERLINK("https://wa.me/"&amp;G203,"Открыть чат"))</f>
        <v/>
      </c>
    </row>
    <row r="204">
      <c r="A204" s="32" t="n"/>
      <c r="B204" s="33" t="n"/>
      <c r="C204" s="33" t="n"/>
      <c r="D204" s="34" t="n"/>
      <c r="E204" s="33" t="n"/>
      <c r="F204" s="35" t="n"/>
      <c r="G204" s="36" t="n"/>
      <c r="H204" s="37" t="n"/>
      <c r="I204" s="38" t="n"/>
      <c r="J204" s="39">
        <f>IF(G204="","",HYPERLINK("https://wa.me/"&amp;G204,"Открыть чат"))</f>
        <v/>
      </c>
    </row>
    <row r="205">
      <c r="A205" s="32" t="n"/>
      <c r="B205" s="33" t="n"/>
      <c r="C205" s="33" t="n"/>
      <c r="D205" s="34" t="n"/>
      <c r="E205" s="33" t="n"/>
      <c r="F205" s="35" t="n"/>
      <c r="G205" s="36" t="n"/>
      <c r="H205" s="37" t="n"/>
      <c r="I205" s="38" t="n"/>
      <c r="J205" s="39">
        <f>IF(G205="","",HYPERLINK("https://wa.me/"&amp;G205,"Открыть чат"))</f>
        <v/>
      </c>
    </row>
    <row r="206">
      <c r="A206" s="32" t="n"/>
      <c r="B206" s="33" t="n"/>
      <c r="C206" s="33" t="n"/>
      <c r="D206" s="34" t="n"/>
      <c r="E206" s="33" t="n"/>
      <c r="F206" s="35" t="n"/>
      <c r="G206" s="36" t="n"/>
      <c r="H206" s="37" t="n"/>
      <c r="I206" s="38" t="n"/>
      <c r="J206" s="39">
        <f>IF(G206="","",HYPERLINK("https://wa.me/"&amp;G206,"Открыть чат"))</f>
        <v/>
      </c>
    </row>
    <row r="207">
      <c r="A207" s="32" t="n"/>
      <c r="B207" s="33" t="n"/>
      <c r="C207" s="33" t="n"/>
      <c r="D207" s="34" t="n"/>
      <c r="E207" s="33" t="n"/>
      <c r="F207" s="35" t="n"/>
      <c r="G207" s="36" t="n"/>
      <c r="H207" s="37" t="n"/>
      <c r="I207" s="38" t="n"/>
      <c r="J207" s="39">
        <f>IF(G207="","",HYPERLINK("https://wa.me/"&amp;G207,"Открыть чат"))</f>
        <v/>
      </c>
    </row>
    <row r="208">
      <c r="A208" s="32" t="n"/>
      <c r="B208" s="33" t="n"/>
      <c r="C208" s="33" t="n"/>
      <c r="D208" s="34" t="n"/>
      <c r="E208" s="33" t="n"/>
      <c r="F208" s="35" t="n"/>
      <c r="G208" s="36" t="n"/>
      <c r="H208" s="37" t="n"/>
      <c r="I208" s="38" t="n"/>
      <c r="J208" s="39">
        <f>IF(G208="","",HYPERLINK("https://wa.me/"&amp;G208,"Открыть чат"))</f>
        <v/>
      </c>
    </row>
    <row r="209">
      <c r="A209" s="32" t="n"/>
      <c r="B209" s="33" t="n"/>
      <c r="C209" s="33" t="n"/>
      <c r="D209" s="34" t="n"/>
      <c r="E209" s="33" t="n"/>
      <c r="F209" s="35" t="n"/>
      <c r="G209" s="36" t="n"/>
      <c r="H209" s="37" t="n"/>
      <c r="I209" s="38" t="n"/>
      <c r="J209" s="39">
        <f>IF(G209="","",HYPERLINK("https://wa.me/"&amp;G209,"Открыть чат"))</f>
        <v/>
      </c>
    </row>
    <row r="210">
      <c r="A210" s="32" t="n"/>
      <c r="B210" s="33" t="n"/>
      <c r="C210" s="33" t="n"/>
      <c r="D210" s="34" t="n"/>
      <c r="E210" s="33" t="n"/>
      <c r="F210" s="35" t="n"/>
      <c r="G210" s="36" t="n"/>
      <c r="H210" s="37" t="n"/>
      <c r="I210" s="38" t="n"/>
      <c r="J210" s="39">
        <f>IF(G210="","",HYPERLINK("https://wa.me/"&amp;G210,"Открыть чат"))</f>
        <v/>
      </c>
    </row>
    <row r="211">
      <c r="A211" s="32" t="n"/>
      <c r="B211" s="33" t="n"/>
      <c r="C211" s="33" t="n"/>
      <c r="D211" s="34" t="n"/>
      <c r="E211" s="33" t="n"/>
      <c r="F211" s="35" t="n"/>
      <c r="G211" s="36" t="n"/>
      <c r="H211" s="37" t="n"/>
      <c r="I211" s="38" t="n"/>
      <c r="J211" s="39">
        <f>IF(G211="","",HYPERLINK("https://wa.me/"&amp;G211,"Открыть чат"))</f>
        <v/>
      </c>
    </row>
    <row r="212">
      <c r="A212" s="32" t="n"/>
      <c r="B212" s="33" t="n"/>
      <c r="C212" s="33" t="n"/>
      <c r="D212" s="34" t="n"/>
      <c r="E212" s="33" t="n"/>
      <c r="F212" s="35" t="n"/>
      <c r="G212" s="36" t="n"/>
      <c r="H212" s="37" t="n"/>
      <c r="I212" s="38" t="n"/>
      <c r="J212" s="39">
        <f>IF(G212="","",HYPERLINK("https://wa.me/"&amp;G212,"Открыть чат"))</f>
        <v/>
      </c>
    </row>
    <row r="213">
      <c r="A213" s="32" t="n"/>
      <c r="B213" s="33" t="n"/>
      <c r="C213" s="33" t="n"/>
      <c r="D213" s="34" t="n"/>
      <c r="E213" s="33" t="n"/>
      <c r="F213" s="35" t="n"/>
      <c r="G213" s="36" t="n"/>
      <c r="H213" s="37" t="n"/>
      <c r="I213" s="38" t="n"/>
      <c r="J213" s="39">
        <f>IF(G213="","",HYPERLINK("https://wa.me/"&amp;G213,"Открыть чат"))</f>
        <v/>
      </c>
    </row>
    <row r="214">
      <c r="A214" s="32" t="n"/>
      <c r="B214" s="33" t="n"/>
      <c r="C214" s="33" t="n"/>
      <c r="D214" s="34" t="n"/>
      <c r="E214" s="33" t="n"/>
      <c r="F214" s="35" t="n"/>
      <c r="G214" s="36" t="n"/>
      <c r="H214" s="37" t="n"/>
      <c r="I214" s="38" t="n"/>
      <c r="J214" s="39">
        <f>IF(G214="","",HYPERLINK("https://wa.me/"&amp;G214,"Открыть чат"))</f>
        <v/>
      </c>
    </row>
    <row r="215">
      <c r="A215" s="32" t="n"/>
      <c r="B215" s="33" t="n"/>
      <c r="C215" s="33" t="n"/>
      <c r="D215" s="34" t="n"/>
      <c r="E215" s="33" t="n"/>
      <c r="F215" s="35" t="n"/>
      <c r="G215" s="36" t="n"/>
      <c r="H215" s="37" t="n"/>
      <c r="I215" s="38" t="n"/>
      <c r="J215" s="39">
        <f>IF(G215="","",HYPERLINK("https://wa.me/"&amp;G215,"Открыть чат"))</f>
        <v/>
      </c>
    </row>
    <row r="216">
      <c r="A216" s="32" t="n"/>
      <c r="B216" s="33" t="n"/>
      <c r="C216" s="33" t="n"/>
      <c r="D216" s="34" t="n"/>
      <c r="E216" s="33" t="n"/>
      <c r="F216" s="35" t="n"/>
      <c r="G216" s="36" t="n"/>
      <c r="H216" s="37" t="n"/>
      <c r="I216" s="38" t="n"/>
      <c r="J216" s="39">
        <f>IF(G216="","",HYPERLINK("https://wa.me/"&amp;G216,"Открыть чат"))</f>
        <v/>
      </c>
    </row>
    <row r="217">
      <c r="A217" s="32" t="n"/>
      <c r="B217" s="33" t="n"/>
      <c r="C217" s="33" t="n"/>
      <c r="D217" s="34" t="n"/>
      <c r="E217" s="33" t="n"/>
      <c r="F217" s="35" t="n"/>
      <c r="G217" s="36" t="n"/>
      <c r="H217" s="37" t="n"/>
      <c r="I217" s="38" t="n"/>
      <c r="J217" s="39">
        <f>IF(G217="","",HYPERLINK("https://wa.me/"&amp;G217,"Открыть чат"))</f>
        <v/>
      </c>
    </row>
    <row r="218">
      <c r="A218" s="32" t="n"/>
      <c r="B218" s="33" t="n"/>
      <c r="C218" s="33" t="n"/>
      <c r="D218" s="34" t="n"/>
      <c r="E218" s="33" t="n"/>
      <c r="F218" s="35" t="n"/>
      <c r="G218" s="36" t="n"/>
      <c r="H218" s="37" t="n"/>
      <c r="I218" s="38" t="n"/>
      <c r="J218" s="39">
        <f>IF(G218="","",HYPERLINK("https://wa.me/"&amp;G218,"Открыть чат"))</f>
        <v/>
      </c>
    </row>
    <row r="219">
      <c r="A219" s="32" t="n"/>
      <c r="B219" s="33" t="n"/>
      <c r="C219" s="33" t="n"/>
      <c r="D219" s="34" t="n"/>
      <c r="E219" s="33" t="n"/>
      <c r="F219" s="35" t="n"/>
      <c r="G219" s="36" t="n"/>
      <c r="H219" s="37" t="n"/>
      <c r="I219" s="38" t="n"/>
      <c r="J219" s="39">
        <f>IF(G219="","",HYPERLINK("https://wa.me/"&amp;G219,"Открыть чат"))</f>
        <v/>
      </c>
    </row>
    <row r="220">
      <c r="A220" s="32" t="n"/>
      <c r="B220" s="33" t="n"/>
      <c r="C220" s="33" t="n"/>
      <c r="D220" s="34" t="n"/>
      <c r="E220" s="33" t="n"/>
      <c r="F220" s="35" t="n"/>
      <c r="G220" s="36" t="n"/>
      <c r="H220" s="37" t="n"/>
      <c r="I220" s="38" t="n"/>
      <c r="J220" s="39">
        <f>IF(G220="","",HYPERLINK("https://wa.me/"&amp;G220,"Открыть чат"))</f>
        <v/>
      </c>
    </row>
    <row r="221">
      <c r="A221" s="32" t="n"/>
      <c r="B221" s="33" t="n"/>
      <c r="C221" s="33" t="n"/>
      <c r="D221" s="34" t="n"/>
      <c r="E221" s="33" t="n"/>
      <c r="F221" s="35" t="n"/>
      <c r="G221" s="36" t="n"/>
      <c r="H221" s="37" t="n"/>
      <c r="I221" s="38" t="n"/>
      <c r="J221" s="39">
        <f>IF(G221="","",HYPERLINK("https://wa.me/"&amp;G221,"Открыть чат"))</f>
        <v/>
      </c>
    </row>
    <row r="222">
      <c r="A222" s="32" t="n"/>
      <c r="B222" s="33" t="n"/>
      <c r="C222" s="33" t="n"/>
      <c r="D222" s="34" t="n"/>
      <c r="E222" s="33" t="n"/>
      <c r="F222" s="35" t="n"/>
      <c r="G222" s="36" t="n"/>
      <c r="H222" s="37" t="n"/>
      <c r="I222" s="38" t="n"/>
      <c r="J222" s="39">
        <f>IF(G222="","",HYPERLINK("https://wa.me/"&amp;G222,"Открыть чат"))</f>
        <v/>
      </c>
    </row>
    <row r="223">
      <c r="A223" s="32" t="n"/>
      <c r="B223" s="33" t="n"/>
      <c r="C223" s="33" t="n"/>
      <c r="D223" s="34" t="n"/>
      <c r="E223" s="33" t="n"/>
      <c r="F223" s="35" t="n"/>
      <c r="G223" s="36" t="n"/>
      <c r="H223" s="37" t="n"/>
      <c r="I223" s="38" t="n"/>
      <c r="J223" s="39">
        <f>IF(G223="","",HYPERLINK("https://wa.me/"&amp;G223,"Открыть чат"))</f>
        <v/>
      </c>
    </row>
    <row r="224">
      <c r="A224" s="32" t="n"/>
      <c r="B224" s="33" t="n"/>
      <c r="C224" s="33" t="n"/>
      <c r="D224" s="34" t="n"/>
      <c r="E224" s="33" t="n"/>
      <c r="F224" s="35" t="n"/>
      <c r="G224" s="36" t="n"/>
      <c r="H224" s="37" t="n"/>
      <c r="I224" s="38" t="n"/>
      <c r="J224" s="39">
        <f>IF(G224="","",HYPERLINK("https://wa.me/"&amp;G224,"Открыть чат"))</f>
        <v/>
      </c>
    </row>
    <row r="225">
      <c r="A225" s="32" t="n"/>
      <c r="B225" s="33" t="n"/>
      <c r="C225" s="33" t="n"/>
      <c r="D225" s="34" t="n"/>
      <c r="E225" s="33" t="n"/>
      <c r="F225" s="35" t="n"/>
      <c r="G225" s="36" t="n"/>
      <c r="H225" s="37" t="n"/>
      <c r="I225" s="38" t="n"/>
      <c r="J225" s="39">
        <f>IF(G225="","",HYPERLINK("https://wa.me/"&amp;G225,"Открыть чат"))</f>
        <v/>
      </c>
    </row>
    <row r="226">
      <c r="A226" s="32" t="n"/>
      <c r="B226" s="33" t="n"/>
      <c r="C226" s="33" t="n"/>
      <c r="D226" s="34" t="n"/>
      <c r="E226" s="33" t="n"/>
      <c r="F226" s="35" t="n"/>
      <c r="G226" s="36" t="n"/>
      <c r="H226" s="37" t="n"/>
      <c r="I226" s="38" t="n"/>
      <c r="J226" s="39">
        <f>IF(G226="","",HYPERLINK("https://wa.me/"&amp;G226,"Открыть чат"))</f>
        <v/>
      </c>
    </row>
    <row r="227">
      <c r="A227" s="32" t="n"/>
      <c r="B227" s="33" t="n"/>
      <c r="C227" s="33" t="n"/>
      <c r="D227" s="34" t="n"/>
      <c r="E227" s="33" t="n"/>
      <c r="F227" s="35" t="n"/>
      <c r="G227" s="36" t="n"/>
      <c r="H227" s="37" t="n"/>
      <c r="I227" s="38" t="n"/>
      <c r="J227" s="39">
        <f>IF(G227="","",HYPERLINK("https://wa.me/"&amp;G227,"Открыть чат"))</f>
        <v/>
      </c>
    </row>
    <row r="228">
      <c r="A228" s="32" t="n"/>
      <c r="B228" s="33" t="n"/>
      <c r="C228" s="33" t="n"/>
      <c r="D228" s="34" t="n"/>
      <c r="E228" s="33" t="n"/>
      <c r="F228" s="35" t="n"/>
      <c r="G228" s="36" t="n"/>
      <c r="H228" s="37" t="n"/>
      <c r="I228" s="38" t="n"/>
      <c r="J228" s="39">
        <f>IF(G228="","",HYPERLINK("https://wa.me/"&amp;G228,"Открыть чат"))</f>
        <v/>
      </c>
    </row>
    <row r="229">
      <c r="A229" s="32" t="n"/>
      <c r="B229" s="33" t="n"/>
      <c r="C229" s="33" t="n"/>
      <c r="D229" s="34" t="n"/>
      <c r="E229" s="33" t="n"/>
      <c r="F229" s="35" t="n"/>
      <c r="G229" s="36" t="n"/>
      <c r="H229" s="37" t="n"/>
      <c r="I229" s="38" t="n"/>
      <c r="J229" s="39">
        <f>IF(G229="","",HYPERLINK("https://wa.me/"&amp;G229,"Открыть чат"))</f>
        <v/>
      </c>
    </row>
    <row r="230">
      <c r="A230" s="32" t="n"/>
      <c r="B230" s="33" t="n"/>
      <c r="C230" s="33" t="n"/>
      <c r="D230" s="34" t="n"/>
      <c r="E230" s="33" t="n"/>
      <c r="F230" s="35" t="n"/>
      <c r="G230" s="36" t="n"/>
      <c r="H230" s="37" t="n"/>
      <c r="I230" s="38" t="n"/>
      <c r="J230" s="39">
        <f>IF(G230="","",HYPERLINK("https://wa.me/"&amp;G230,"Открыть чат"))</f>
        <v/>
      </c>
    </row>
    <row r="231">
      <c r="A231" s="32" t="n"/>
      <c r="B231" s="33" t="n"/>
      <c r="C231" s="33" t="n"/>
      <c r="D231" s="34" t="n"/>
      <c r="E231" s="33" t="n"/>
      <c r="F231" s="35" t="n"/>
      <c r="G231" s="36" t="n"/>
      <c r="H231" s="37" t="n"/>
      <c r="I231" s="38" t="n"/>
      <c r="J231" s="39">
        <f>IF(G231="","",HYPERLINK("https://wa.me/"&amp;G231,"Открыть чат"))</f>
        <v/>
      </c>
    </row>
    <row r="232">
      <c r="A232" s="32" t="n"/>
      <c r="B232" s="33" t="n"/>
      <c r="C232" s="33" t="n"/>
      <c r="D232" s="34" t="n"/>
      <c r="E232" s="33" t="n"/>
      <c r="F232" s="35" t="n"/>
      <c r="G232" s="36" t="n"/>
      <c r="H232" s="37" t="n"/>
      <c r="I232" s="38" t="n"/>
      <c r="J232" s="39">
        <f>IF(G232="","",HYPERLINK("https://wa.me/"&amp;G232,"Открыть чат"))</f>
        <v/>
      </c>
    </row>
    <row r="233">
      <c r="A233" s="32" t="n"/>
      <c r="B233" s="33" t="n"/>
      <c r="C233" s="33" t="n"/>
      <c r="D233" s="34" t="n"/>
      <c r="E233" s="33" t="n"/>
      <c r="F233" s="35" t="n"/>
      <c r="G233" s="36" t="n"/>
      <c r="H233" s="37" t="n"/>
      <c r="I233" s="38" t="n"/>
      <c r="J233" s="39">
        <f>IF(G233="","",HYPERLINK("https://wa.me/"&amp;G233,"Открыть чат"))</f>
        <v/>
      </c>
    </row>
    <row r="234">
      <c r="A234" s="32" t="n"/>
      <c r="B234" s="33" t="n"/>
      <c r="C234" s="33" t="n"/>
      <c r="D234" s="34" t="n"/>
      <c r="E234" s="33" t="n"/>
      <c r="F234" s="35" t="n"/>
      <c r="G234" s="36" t="n"/>
      <c r="H234" s="37" t="n"/>
      <c r="I234" s="38" t="n"/>
      <c r="J234" s="39">
        <f>IF(G234="","",HYPERLINK("https://wa.me/"&amp;G234,"Открыть чат"))</f>
        <v/>
      </c>
    </row>
    <row r="235">
      <c r="A235" s="32" t="n"/>
      <c r="B235" s="33" t="n"/>
      <c r="C235" s="33" t="n"/>
      <c r="D235" s="34" t="n"/>
      <c r="E235" s="33" t="n"/>
      <c r="F235" s="35" t="n"/>
      <c r="G235" s="36" t="n"/>
      <c r="H235" s="37" t="n"/>
      <c r="I235" s="38" t="n"/>
      <c r="J235" s="39">
        <f>IF(G235="","",HYPERLINK("https://wa.me/"&amp;G235,"Открыть чат"))</f>
        <v/>
      </c>
    </row>
    <row r="236">
      <c r="A236" s="32" t="n"/>
      <c r="B236" s="33" t="n"/>
      <c r="C236" s="33" t="n"/>
      <c r="D236" s="34" t="n"/>
      <c r="E236" s="33" t="n"/>
      <c r="F236" s="35" t="n"/>
      <c r="G236" s="36" t="n"/>
      <c r="H236" s="37" t="n"/>
      <c r="I236" s="38" t="n"/>
      <c r="J236" s="39">
        <f>IF(G236="","",HYPERLINK("https://wa.me/"&amp;G236,"Открыть чат"))</f>
        <v/>
      </c>
    </row>
    <row r="237">
      <c r="A237" s="32" t="n"/>
      <c r="B237" s="33" t="n"/>
      <c r="C237" s="33" t="n"/>
      <c r="D237" s="34" t="n"/>
      <c r="E237" s="33" t="n"/>
      <c r="F237" s="35" t="n"/>
      <c r="G237" s="36" t="n"/>
      <c r="H237" s="37" t="n"/>
      <c r="I237" s="38" t="n"/>
      <c r="J237" s="39">
        <f>IF(G237="","",HYPERLINK("https://wa.me/"&amp;G237,"Открыть чат"))</f>
        <v/>
      </c>
    </row>
    <row r="238">
      <c r="A238" s="32" t="n"/>
      <c r="B238" s="33" t="n"/>
      <c r="C238" s="33" t="n"/>
      <c r="D238" s="34" t="n"/>
      <c r="E238" s="33" t="n"/>
      <c r="F238" s="35" t="n"/>
      <c r="G238" s="36" t="n"/>
      <c r="H238" s="37" t="n"/>
      <c r="I238" s="38" t="n"/>
      <c r="J238" s="39">
        <f>IF(G238="","",HYPERLINK("https://wa.me/"&amp;G238,"Открыть чат"))</f>
        <v/>
      </c>
    </row>
    <row r="239">
      <c r="A239" s="32" t="n"/>
      <c r="B239" s="33" t="n"/>
      <c r="C239" s="33" t="n"/>
      <c r="D239" s="34" t="n"/>
      <c r="E239" s="33" t="n"/>
      <c r="F239" s="35" t="n"/>
      <c r="G239" s="36" t="n"/>
      <c r="H239" s="37" t="n"/>
      <c r="I239" s="38" t="n"/>
      <c r="J239" s="39">
        <f>IF(G239="","",HYPERLINK("https://wa.me/"&amp;G239,"Открыть чат"))</f>
        <v/>
      </c>
    </row>
    <row r="240">
      <c r="A240" s="32" t="n"/>
      <c r="B240" s="33" t="n"/>
      <c r="C240" s="33" t="n"/>
      <c r="D240" s="34" t="n"/>
      <c r="E240" s="33" t="n"/>
      <c r="F240" s="35" t="n"/>
      <c r="G240" s="36" t="n"/>
      <c r="H240" s="37" t="n"/>
      <c r="I240" s="38" t="n"/>
      <c r="J240" s="39">
        <f>IF(G240="","",HYPERLINK("https://wa.me/"&amp;G240,"Открыть чат"))</f>
        <v/>
      </c>
    </row>
    <row r="241">
      <c r="A241" s="32" t="n"/>
      <c r="B241" s="33" t="n"/>
      <c r="C241" s="33" t="n"/>
      <c r="D241" s="34" t="n"/>
      <c r="E241" s="33" t="n"/>
      <c r="F241" s="35" t="n"/>
      <c r="G241" s="36" t="n"/>
      <c r="H241" s="37" t="n"/>
      <c r="I241" s="38" t="n"/>
      <c r="J241" s="39">
        <f>IF(G241="","",HYPERLINK("https://wa.me/"&amp;G241,"Открыть чат"))</f>
        <v/>
      </c>
    </row>
    <row r="242">
      <c r="A242" s="32" t="n"/>
      <c r="B242" s="33" t="n"/>
      <c r="C242" s="33" t="n"/>
      <c r="D242" s="34" t="n"/>
      <c r="E242" s="33" t="n"/>
      <c r="F242" s="35" t="n"/>
      <c r="G242" s="36" t="n"/>
      <c r="H242" s="37" t="n"/>
      <c r="I242" s="38" t="n"/>
      <c r="J242" s="39">
        <f>IF(G242="","",HYPERLINK("https://wa.me/"&amp;G242,"Открыть чат"))</f>
        <v/>
      </c>
    </row>
    <row r="243">
      <c r="A243" s="32" t="n"/>
      <c r="B243" s="33" t="n"/>
      <c r="C243" s="33" t="n"/>
      <c r="D243" s="34" t="n"/>
      <c r="E243" s="33" t="n"/>
      <c r="F243" s="35" t="n"/>
      <c r="G243" s="36" t="n"/>
      <c r="H243" s="37" t="n"/>
      <c r="I243" s="38" t="n"/>
      <c r="J243" s="39">
        <f>IF(G243="","",HYPERLINK("https://wa.me/"&amp;G243,"Открыть чат"))</f>
        <v/>
      </c>
    </row>
    <row r="244">
      <c r="A244" s="32" t="n"/>
      <c r="B244" s="33" t="n"/>
      <c r="C244" s="33" t="n"/>
      <c r="D244" s="34" t="n"/>
      <c r="E244" s="33" t="n"/>
      <c r="F244" s="35" t="n"/>
      <c r="G244" s="36" t="n"/>
      <c r="H244" s="37" t="n"/>
      <c r="I244" s="38" t="n"/>
      <c r="J244" s="39">
        <f>IF(G244="","",HYPERLINK("https://wa.me/"&amp;G244,"Открыть чат"))</f>
        <v/>
      </c>
    </row>
    <row r="245">
      <c r="A245" s="32" t="n"/>
      <c r="B245" s="33" t="n"/>
      <c r="C245" s="33" t="n"/>
      <c r="D245" s="34" t="n"/>
      <c r="E245" s="33" t="n"/>
      <c r="F245" s="35" t="n"/>
      <c r="G245" s="36" t="n"/>
      <c r="H245" s="37" t="n"/>
      <c r="I245" s="38" t="n"/>
      <c r="J245" s="39">
        <f>IF(G245="","",HYPERLINK("https://wa.me/"&amp;G245,"Открыть чат"))</f>
        <v/>
      </c>
    </row>
    <row r="246">
      <c r="A246" s="32" t="n"/>
      <c r="B246" s="33" t="n"/>
      <c r="C246" s="33" t="n"/>
      <c r="D246" s="34" t="n"/>
      <c r="E246" s="33" t="n"/>
      <c r="F246" s="35" t="n"/>
      <c r="G246" s="36" t="n"/>
      <c r="H246" s="37" t="n"/>
      <c r="I246" s="38" t="n"/>
      <c r="J246" s="39">
        <f>IF(G246="","",HYPERLINK("https://wa.me/"&amp;G246,"Открыть чат"))</f>
        <v/>
      </c>
    </row>
    <row r="247">
      <c r="A247" s="32" t="n"/>
      <c r="B247" s="33" t="n"/>
      <c r="C247" s="33" t="n"/>
      <c r="D247" s="34" t="n"/>
      <c r="E247" s="33" t="n"/>
      <c r="F247" s="35" t="n"/>
      <c r="G247" s="36" t="n"/>
      <c r="H247" s="37" t="n"/>
      <c r="I247" s="38" t="n"/>
      <c r="J247" s="39">
        <f>IF(G247="","",HYPERLINK("https://wa.me/"&amp;G247,"Открыть чат"))</f>
        <v/>
      </c>
    </row>
    <row r="248">
      <c r="A248" s="32" t="n"/>
      <c r="B248" s="33" t="n"/>
      <c r="C248" s="33" t="n"/>
      <c r="D248" s="34" t="n"/>
      <c r="E248" s="33" t="n"/>
      <c r="F248" s="35" t="n"/>
      <c r="G248" s="36" t="n"/>
      <c r="H248" s="37" t="n"/>
      <c r="I248" s="38" t="n"/>
      <c r="J248" s="39">
        <f>IF(G248="","",HYPERLINK("https://wa.me/"&amp;G248,"Открыть чат"))</f>
        <v/>
      </c>
    </row>
    <row r="249">
      <c r="A249" s="32" t="n"/>
      <c r="B249" s="33" t="n"/>
      <c r="C249" s="33" t="n"/>
      <c r="D249" s="34" t="n"/>
      <c r="E249" s="33" t="n"/>
      <c r="F249" s="35" t="n"/>
      <c r="G249" s="36" t="n"/>
      <c r="H249" s="37" t="n"/>
      <c r="I249" s="38" t="n"/>
      <c r="J249" s="39">
        <f>IF(G249="","",HYPERLINK("https://wa.me/"&amp;G249,"Открыть чат"))</f>
        <v/>
      </c>
    </row>
    <row r="250">
      <c r="A250" s="32" t="n"/>
      <c r="B250" s="33" t="n"/>
      <c r="C250" s="33" t="n"/>
      <c r="D250" s="34" t="n"/>
      <c r="E250" s="33" t="n"/>
      <c r="F250" s="35" t="n"/>
      <c r="G250" s="36" t="n"/>
      <c r="H250" s="37" t="n"/>
      <c r="I250" s="38" t="n"/>
      <c r="J250" s="39">
        <f>IF(G250="","",HYPERLINK("https://wa.me/"&amp;G250,"Открыть чат"))</f>
        <v/>
      </c>
    </row>
    <row r="251">
      <c r="A251" s="32" t="n"/>
      <c r="B251" s="33" t="n"/>
      <c r="C251" s="33" t="n"/>
      <c r="D251" s="34" t="n"/>
      <c r="E251" s="33" t="n"/>
      <c r="F251" s="35" t="n"/>
      <c r="G251" s="36" t="n"/>
      <c r="H251" s="37" t="n"/>
      <c r="I251" s="38" t="n"/>
      <c r="J251" s="39">
        <f>IF(G251="","",HYPERLINK("https://wa.me/"&amp;G251,"Открыть чат"))</f>
        <v/>
      </c>
    </row>
    <row r="252">
      <c r="A252" s="32" t="n"/>
      <c r="B252" s="33" t="n"/>
      <c r="C252" s="33" t="n"/>
      <c r="D252" s="34" t="n"/>
      <c r="E252" s="33" t="n"/>
      <c r="F252" s="35" t="n"/>
      <c r="G252" s="36" t="n"/>
      <c r="H252" s="37" t="n"/>
      <c r="I252" s="38" t="n"/>
      <c r="J252" s="39">
        <f>IF(G252="","",HYPERLINK("https://wa.me/"&amp;G252,"Открыть чат"))</f>
        <v/>
      </c>
    </row>
    <row r="253">
      <c r="A253" s="32" t="n"/>
      <c r="B253" s="33" t="n"/>
      <c r="C253" s="33" t="n"/>
      <c r="D253" s="34" t="n"/>
      <c r="E253" s="33" t="n"/>
      <c r="F253" s="35" t="n"/>
      <c r="G253" s="36" t="n"/>
      <c r="H253" s="37" t="n"/>
      <c r="I253" s="38" t="n"/>
      <c r="J253" s="39">
        <f>IF(G253="","",HYPERLINK("https://wa.me/"&amp;G253,"Открыть чат"))</f>
        <v/>
      </c>
    </row>
    <row r="254">
      <c r="A254" s="32" t="n"/>
      <c r="B254" s="33" t="n"/>
      <c r="C254" s="33" t="n"/>
      <c r="D254" s="34" t="n"/>
      <c r="E254" s="33" t="n"/>
      <c r="F254" s="35" t="n"/>
      <c r="G254" s="36" t="n"/>
      <c r="H254" s="37" t="n"/>
      <c r="I254" s="38" t="n"/>
      <c r="J254" s="39">
        <f>IF(G254="","",HYPERLINK("https://wa.me/"&amp;G254,"Открыть чат"))</f>
        <v/>
      </c>
    </row>
    <row r="255">
      <c r="A255" s="32" t="n"/>
      <c r="B255" s="33" t="n"/>
      <c r="C255" s="33" t="n"/>
      <c r="D255" s="34" t="n"/>
      <c r="E255" s="33" t="n"/>
      <c r="F255" s="35" t="n"/>
      <c r="G255" s="36" t="n"/>
      <c r="H255" s="37" t="n"/>
      <c r="I255" s="38" t="n"/>
      <c r="J255" s="39">
        <f>IF(G255="","",HYPERLINK("https://wa.me/"&amp;G255,"Открыть чат"))</f>
        <v/>
      </c>
    </row>
    <row r="256">
      <c r="A256" s="32" t="n"/>
      <c r="B256" s="33" t="n"/>
      <c r="C256" s="33" t="n"/>
      <c r="D256" s="34" t="n"/>
      <c r="E256" s="33" t="n"/>
      <c r="F256" s="35" t="n"/>
      <c r="G256" s="36" t="n"/>
      <c r="H256" s="37" t="n"/>
      <c r="I256" s="38" t="n"/>
      <c r="J256" s="39">
        <f>IF(G256="","",HYPERLINK("https://wa.me/"&amp;G256,"Открыть чат"))</f>
        <v/>
      </c>
    </row>
    <row r="257">
      <c r="A257" s="32" t="n"/>
      <c r="B257" s="33" t="n"/>
      <c r="C257" s="33" t="n"/>
      <c r="D257" s="34" t="n"/>
      <c r="E257" s="33" t="n"/>
      <c r="F257" s="35" t="n"/>
      <c r="G257" s="36" t="n"/>
      <c r="H257" s="37" t="n"/>
      <c r="I257" s="38" t="n"/>
      <c r="J257" s="39">
        <f>IF(G257="","",HYPERLINK("https://wa.me/"&amp;G257,"Открыть чат"))</f>
        <v/>
      </c>
    </row>
    <row r="258">
      <c r="A258" s="32" t="n"/>
      <c r="B258" s="33" t="n"/>
      <c r="C258" s="33" t="n"/>
      <c r="D258" s="34" t="n"/>
      <c r="E258" s="33" t="n"/>
      <c r="F258" s="35" t="n"/>
      <c r="G258" s="36" t="n"/>
      <c r="H258" s="37" t="n"/>
      <c r="I258" s="38" t="n"/>
      <c r="J258" s="39">
        <f>IF(G258="","",HYPERLINK("https://wa.me/"&amp;G258,"Открыть чат"))</f>
        <v/>
      </c>
    </row>
    <row r="259">
      <c r="A259" s="32" t="n"/>
      <c r="B259" s="33" t="n"/>
      <c r="C259" s="33" t="n"/>
      <c r="D259" s="34" t="n"/>
      <c r="E259" s="33" t="n"/>
      <c r="F259" s="35" t="n"/>
      <c r="G259" s="36" t="n"/>
      <c r="H259" s="37" t="n"/>
      <c r="I259" s="38" t="n"/>
      <c r="J259" s="39">
        <f>IF(G259="","",HYPERLINK("https://wa.me/"&amp;G259,"Открыть чат"))</f>
        <v/>
      </c>
    </row>
    <row r="260">
      <c r="A260" s="32" t="n"/>
      <c r="B260" s="33" t="n"/>
      <c r="C260" s="33" t="n"/>
      <c r="D260" s="34" t="n"/>
      <c r="E260" s="33" t="n"/>
      <c r="F260" s="35" t="n"/>
      <c r="G260" s="36" t="n"/>
      <c r="H260" s="37" t="n"/>
      <c r="I260" s="38" t="n"/>
      <c r="J260" s="39">
        <f>IF(G260="","",HYPERLINK("https://wa.me/"&amp;G260,"Открыть чат"))</f>
        <v/>
      </c>
    </row>
    <row r="261">
      <c r="A261" s="32" t="n"/>
      <c r="B261" s="33" t="n"/>
      <c r="C261" s="33" t="n"/>
      <c r="D261" s="34" t="n"/>
      <c r="E261" s="33" t="n"/>
      <c r="F261" s="35" t="n"/>
      <c r="G261" s="36" t="n"/>
      <c r="H261" s="37" t="n"/>
      <c r="I261" s="38" t="n"/>
      <c r="J261" s="39">
        <f>IF(G261="","",HYPERLINK("https://wa.me/"&amp;G261,"Открыть чат"))</f>
        <v/>
      </c>
    </row>
    <row r="262">
      <c r="A262" s="32" t="n"/>
      <c r="B262" s="33" t="n"/>
      <c r="C262" s="33" t="n"/>
      <c r="D262" s="34" t="n"/>
      <c r="E262" s="33" t="n"/>
      <c r="F262" s="35" t="n"/>
      <c r="G262" s="36" t="n"/>
      <c r="H262" s="37" t="n"/>
      <c r="I262" s="38" t="n"/>
      <c r="J262" s="39">
        <f>IF(G262="","",HYPERLINK("https://wa.me/"&amp;G262,"Открыть чат"))</f>
        <v/>
      </c>
    </row>
    <row r="263">
      <c r="A263" s="32" t="n"/>
      <c r="B263" s="33" t="n"/>
      <c r="C263" s="33" t="n"/>
      <c r="D263" s="34" t="n"/>
      <c r="E263" s="33" t="n"/>
      <c r="F263" s="35" t="n"/>
      <c r="G263" s="36" t="n"/>
      <c r="H263" s="37" t="n"/>
      <c r="I263" s="38" t="n"/>
      <c r="J263" s="39">
        <f>IF(G263="","",HYPERLINK("https://wa.me/"&amp;G263,"Открыть чат"))</f>
        <v/>
      </c>
    </row>
    <row r="264">
      <c r="A264" s="32" t="n"/>
      <c r="B264" s="33" t="n"/>
      <c r="C264" s="33" t="n"/>
      <c r="D264" s="34" t="n"/>
      <c r="E264" s="33" t="n"/>
      <c r="F264" s="35" t="n"/>
      <c r="G264" s="36" t="n"/>
      <c r="H264" s="37" t="n"/>
      <c r="I264" s="38" t="n"/>
      <c r="J264" s="39">
        <f>IF(G264="","",HYPERLINK("https://wa.me/"&amp;G264,"Открыть чат"))</f>
        <v/>
      </c>
    </row>
    <row r="265">
      <c r="A265" s="32" t="n"/>
      <c r="B265" s="33" t="n"/>
      <c r="C265" s="33" t="n"/>
      <c r="D265" s="34" t="n"/>
      <c r="E265" s="33" t="n"/>
      <c r="F265" s="35" t="n"/>
      <c r="G265" s="36" t="n"/>
      <c r="H265" s="37" t="n"/>
      <c r="I265" s="38" t="n"/>
      <c r="J265" s="39">
        <f>IF(G265="","",HYPERLINK("https://wa.me/"&amp;G265,"Открыть чат"))</f>
        <v/>
      </c>
    </row>
    <row r="266">
      <c r="A266" s="32" t="n"/>
      <c r="B266" s="33" t="n"/>
      <c r="C266" s="33" t="n"/>
      <c r="D266" s="34" t="n"/>
      <c r="E266" s="33" t="n"/>
      <c r="F266" s="35" t="n"/>
      <c r="G266" s="36" t="n"/>
      <c r="H266" s="37" t="n"/>
      <c r="I266" s="38" t="n"/>
      <c r="J266" s="39">
        <f>IF(G266="","",HYPERLINK("https://wa.me/"&amp;G266,"Открыть чат"))</f>
        <v/>
      </c>
    </row>
    <row r="267">
      <c r="A267" s="32" t="n"/>
      <c r="B267" s="33" t="n"/>
      <c r="C267" s="33" t="n"/>
      <c r="D267" s="34" t="n"/>
      <c r="E267" s="33" t="n"/>
      <c r="F267" s="35" t="n"/>
      <c r="G267" s="36" t="n"/>
      <c r="H267" s="37" t="n"/>
      <c r="I267" s="38" t="n"/>
      <c r="J267" s="39">
        <f>IF(G267="","",HYPERLINK("https://wa.me/"&amp;G267,"Открыть чат"))</f>
        <v/>
      </c>
    </row>
    <row r="268">
      <c r="A268" s="32" t="n"/>
      <c r="B268" s="33" t="n"/>
      <c r="C268" s="33" t="n"/>
      <c r="D268" s="34" t="n"/>
      <c r="E268" s="33" t="n"/>
      <c r="F268" s="35" t="n"/>
      <c r="G268" s="36" t="n"/>
      <c r="H268" s="37" t="n"/>
      <c r="I268" s="38" t="n"/>
      <c r="J268" s="39">
        <f>IF(G268="","",HYPERLINK("https://wa.me/"&amp;G268,"Открыть чат"))</f>
        <v/>
      </c>
    </row>
    <row r="269">
      <c r="A269" s="32" t="n"/>
      <c r="B269" s="33" t="n"/>
      <c r="C269" s="33" t="n"/>
      <c r="D269" s="34" t="n"/>
      <c r="E269" s="33" t="n"/>
      <c r="F269" s="35" t="n"/>
      <c r="G269" s="36" t="n"/>
      <c r="H269" s="37" t="n"/>
      <c r="I269" s="38" t="n"/>
      <c r="J269" s="39">
        <f>IF(G269="","",HYPERLINK("https://wa.me/"&amp;G269,"Открыть чат"))</f>
        <v/>
      </c>
    </row>
    <row r="270">
      <c r="A270" s="32" t="n"/>
      <c r="B270" s="33" t="n"/>
      <c r="C270" s="33" t="n"/>
      <c r="D270" s="34" t="n"/>
      <c r="E270" s="33" t="n"/>
      <c r="F270" s="35" t="n"/>
      <c r="G270" s="36" t="n"/>
      <c r="H270" s="37" t="n"/>
      <c r="I270" s="38" t="n"/>
      <c r="J270" s="39">
        <f>IF(G270="","",HYPERLINK("https://wa.me/"&amp;G270,"Открыть чат"))</f>
        <v/>
      </c>
    </row>
    <row r="271">
      <c r="A271" s="32" t="n"/>
      <c r="B271" s="33" t="n"/>
      <c r="C271" s="33" t="n"/>
      <c r="D271" s="34" t="n"/>
      <c r="E271" s="33" t="n"/>
      <c r="F271" s="35" t="n"/>
      <c r="G271" s="36" t="n"/>
      <c r="H271" s="37" t="n"/>
      <c r="I271" s="38" t="n"/>
      <c r="J271" s="39">
        <f>IF(G271="","",HYPERLINK("https://wa.me/"&amp;G271,"Открыть чат"))</f>
        <v/>
      </c>
    </row>
    <row r="272">
      <c r="A272" s="32" t="n"/>
      <c r="B272" s="33" t="n"/>
      <c r="C272" s="33" t="n"/>
      <c r="D272" s="34" t="n"/>
      <c r="E272" s="33" t="n"/>
      <c r="F272" s="35" t="n"/>
      <c r="G272" s="36" t="n"/>
      <c r="H272" s="37" t="n"/>
      <c r="I272" s="38" t="n"/>
      <c r="J272" s="39">
        <f>IF(G272="","",HYPERLINK("https://wa.me/"&amp;G272,"Открыть чат"))</f>
        <v/>
      </c>
    </row>
    <row r="273">
      <c r="A273" s="32" t="n"/>
      <c r="B273" s="33" t="n"/>
      <c r="C273" s="33" t="n"/>
      <c r="D273" s="34" t="n"/>
      <c r="E273" s="33" t="n"/>
      <c r="F273" s="35" t="n"/>
      <c r="G273" s="36" t="n"/>
      <c r="H273" s="37" t="n"/>
      <c r="I273" s="38" t="n"/>
      <c r="J273" s="39">
        <f>IF(G273="","",HYPERLINK("https://wa.me/"&amp;G273,"Открыть чат"))</f>
        <v/>
      </c>
    </row>
    <row r="274">
      <c r="A274" s="32" t="n"/>
      <c r="B274" s="33" t="n"/>
      <c r="C274" s="33" t="n"/>
      <c r="D274" s="34" t="n"/>
      <c r="E274" s="33" t="n"/>
      <c r="F274" s="35" t="n"/>
      <c r="G274" s="36" t="n"/>
      <c r="H274" s="37" t="n"/>
      <c r="I274" s="38" t="n"/>
      <c r="J274" s="39">
        <f>IF(G274="","",HYPERLINK("https://wa.me/"&amp;G274,"Открыть чат"))</f>
        <v/>
      </c>
    </row>
    <row r="275">
      <c r="A275" s="32" t="n"/>
      <c r="B275" s="33" t="n"/>
      <c r="C275" s="33" t="n"/>
      <c r="D275" s="34" t="n"/>
      <c r="E275" s="33" t="n"/>
      <c r="F275" s="35" t="n"/>
      <c r="G275" s="36" t="n"/>
      <c r="H275" s="37" t="n"/>
      <c r="I275" s="38" t="n"/>
      <c r="J275" s="39">
        <f>IF(G275="","",HYPERLINK("https://wa.me/"&amp;G275,"Открыть чат"))</f>
        <v/>
      </c>
    </row>
    <row r="276">
      <c r="A276" s="32" t="n"/>
      <c r="B276" s="33" t="n"/>
      <c r="C276" s="33" t="n"/>
      <c r="D276" s="34" t="n"/>
      <c r="E276" s="33" t="n"/>
      <c r="F276" s="35" t="n"/>
      <c r="G276" s="36" t="n"/>
      <c r="H276" s="37" t="n"/>
      <c r="I276" s="38" t="n"/>
      <c r="J276" s="39">
        <f>IF(G276="","",HYPERLINK("https://wa.me/"&amp;G276,"Открыть чат"))</f>
        <v/>
      </c>
    </row>
    <row r="277">
      <c r="A277" s="32" t="n"/>
      <c r="B277" s="33" t="n"/>
      <c r="C277" s="33" t="n"/>
      <c r="D277" s="34" t="n"/>
      <c r="E277" s="33" t="n"/>
      <c r="F277" s="35" t="n"/>
      <c r="G277" s="36" t="n"/>
      <c r="H277" s="37" t="n"/>
      <c r="I277" s="38" t="n"/>
      <c r="J277" s="39">
        <f>IF(G277="","",HYPERLINK("https://wa.me/"&amp;G277,"Открыть чат"))</f>
        <v/>
      </c>
    </row>
    <row r="278">
      <c r="A278" s="32" t="n"/>
      <c r="B278" s="33" t="n"/>
      <c r="C278" s="33" t="n"/>
      <c r="D278" s="34" t="n"/>
      <c r="E278" s="33" t="n"/>
      <c r="F278" s="35" t="n"/>
      <c r="G278" s="36" t="n"/>
      <c r="H278" s="37" t="n"/>
      <c r="I278" s="38" t="n"/>
      <c r="J278" s="39">
        <f>IF(G278="","",HYPERLINK("https://wa.me/"&amp;G278,"Открыть чат"))</f>
        <v/>
      </c>
    </row>
    <row r="279">
      <c r="A279" s="32" t="n"/>
      <c r="B279" s="33" t="n"/>
      <c r="C279" s="33" t="n"/>
      <c r="D279" s="34" t="n"/>
      <c r="E279" s="33" t="n"/>
      <c r="F279" s="35" t="n"/>
      <c r="G279" s="36" t="n"/>
      <c r="H279" s="37" t="n"/>
      <c r="I279" s="38" t="n"/>
      <c r="J279" s="39">
        <f>IF(G279="","",HYPERLINK("https://wa.me/"&amp;G279,"Открыть чат"))</f>
        <v/>
      </c>
    </row>
    <row r="280">
      <c r="A280" s="32" t="n"/>
      <c r="B280" s="33" t="n"/>
      <c r="C280" s="33" t="n"/>
      <c r="D280" s="34" t="n"/>
      <c r="E280" s="33" t="n"/>
      <c r="F280" s="35" t="n"/>
      <c r="G280" s="36" t="n"/>
      <c r="H280" s="37" t="n"/>
      <c r="I280" s="38" t="n"/>
      <c r="J280" s="39">
        <f>IF(G280="","",HYPERLINK("https://wa.me/"&amp;G280,"Открыть чат"))</f>
        <v/>
      </c>
    </row>
    <row r="281">
      <c r="A281" s="32" t="n"/>
      <c r="B281" s="33" t="n"/>
      <c r="C281" s="33" t="n"/>
      <c r="D281" s="34" t="n"/>
      <c r="E281" s="33" t="n"/>
      <c r="F281" s="35" t="n"/>
      <c r="G281" s="36" t="n"/>
      <c r="H281" s="37" t="n"/>
      <c r="I281" s="38" t="n"/>
      <c r="J281" s="39">
        <f>IF(G281="","",HYPERLINK("https://wa.me/"&amp;G281,"Открыть чат"))</f>
        <v/>
      </c>
    </row>
    <row r="282">
      <c r="A282" s="32" t="n"/>
      <c r="B282" s="33" t="n"/>
      <c r="C282" s="33" t="n"/>
      <c r="D282" s="34" t="n"/>
      <c r="E282" s="33" t="n"/>
      <c r="F282" s="35" t="n"/>
      <c r="G282" s="36" t="n"/>
      <c r="H282" s="37" t="n"/>
      <c r="I282" s="38" t="n"/>
      <c r="J282" s="39">
        <f>IF(G282="","",HYPERLINK("https://wa.me/"&amp;G282,"Открыть чат"))</f>
        <v/>
      </c>
    </row>
    <row r="283">
      <c r="A283" s="32" t="n"/>
      <c r="B283" s="33" t="n"/>
      <c r="C283" s="33" t="n"/>
      <c r="D283" s="34" t="n"/>
      <c r="E283" s="33" t="n"/>
      <c r="F283" s="35" t="n"/>
      <c r="G283" s="36" t="n"/>
      <c r="H283" s="37" t="n"/>
      <c r="I283" s="38" t="n"/>
      <c r="J283" s="39">
        <f>IF(G283="","",HYPERLINK("https://wa.me/"&amp;G283,"Открыть чат"))</f>
        <v/>
      </c>
    </row>
    <row r="284">
      <c r="A284" s="32" t="n"/>
      <c r="B284" s="33" t="n"/>
      <c r="C284" s="33" t="n"/>
      <c r="D284" s="34" t="n"/>
      <c r="E284" s="33" t="n"/>
      <c r="F284" s="35" t="n"/>
      <c r="G284" s="36" t="n"/>
      <c r="H284" s="37" t="n"/>
      <c r="I284" s="38" t="n"/>
      <c r="J284" s="39">
        <f>IF(G284="","",HYPERLINK("https://wa.me/"&amp;G284,"Открыть чат"))</f>
        <v/>
      </c>
    </row>
    <row r="285">
      <c r="A285" s="32" t="n"/>
      <c r="B285" s="33" t="n"/>
      <c r="C285" s="33" t="n"/>
      <c r="D285" s="34" t="n"/>
      <c r="E285" s="33" t="n"/>
      <c r="F285" s="35" t="n"/>
      <c r="G285" s="36" t="n"/>
      <c r="H285" s="37" t="n"/>
      <c r="I285" s="38" t="n"/>
      <c r="J285" s="39">
        <f>IF(G285="","",HYPERLINK("https://wa.me/"&amp;G285,"Открыть чат"))</f>
        <v/>
      </c>
    </row>
    <row r="286">
      <c r="A286" s="32" t="n"/>
      <c r="B286" s="33" t="n"/>
      <c r="C286" s="33" t="n"/>
      <c r="D286" s="34" t="n"/>
      <c r="E286" s="33" t="n"/>
      <c r="F286" s="35" t="n"/>
      <c r="G286" s="36" t="n"/>
      <c r="H286" s="37" t="n"/>
      <c r="I286" s="38" t="n"/>
      <c r="J286" s="39">
        <f>IF(G286="","",HYPERLINK("https://wa.me/"&amp;G286,"Открыть чат"))</f>
        <v/>
      </c>
    </row>
    <row r="287">
      <c r="A287" s="32" t="n"/>
      <c r="B287" s="33" t="n"/>
      <c r="C287" s="33" t="n"/>
      <c r="D287" s="34" t="n"/>
      <c r="E287" s="33" t="n"/>
      <c r="F287" s="35" t="n"/>
      <c r="G287" s="36" t="n"/>
      <c r="H287" s="37" t="n"/>
      <c r="I287" s="38" t="n"/>
      <c r="J287" s="39">
        <f>IF(G287="","",HYPERLINK("https://wa.me/"&amp;G287,"Открыть чат"))</f>
        <v/>
      </c>
    </row>
    <row r="288">
      <c r="A288" s="32" t="n"/>
      <c r="B288" s="33" t="n"/>
      <c r="C288" s="33" t="n"/>
      <c r="D288" s="34" t="n"/>
      <c r="E288" s="33" t="n"/>
      <c r="F288" s="35" t="n"/>
      <c r="G288" s="36" t="n"/>
      <c r="H288" s="37" t="n"/>
      <c r="I288" s="38" t="n"/>
      <c r="J288" s="39">
        <f>IF(G288="","",HYPERLINK("https://wa.me/"&amp;G288,"Открыть чат"))</f>
        <v/>
      </c>
    </row>
    <row r="289">
      <c r="A289" s="32" t="n"/>
      <c r="B289" s="33" t="n"/>
      <c r="C289" s="33" t="n"/>
      <c r="D289" s="34" t="n"/>
      <c r="E289" s="33" t="n"/>
      <c r="F289" s="35" t="n"/>
      <c r="G289" s="36" t="n"/>
      <c r="H289" s="37" t="n"/>
      <c r="I289" s="38" t="n"/>
      <c r="J289" s="39">
        <f>IF(G289="","",HYPERLINK("https://wa.me/"&amp;G289,"Открыть чат"))</f>
        <v/>
      </c>
    </row>
    <row r="290">
      <c r="A290" s="32" t="n"/>
      <c r="B290" s="33" t="n"/>
      <c r="C290" s="33" t="n"/>
      <c r="D290" s="34" t="n"/>
      <c r="E290" s="33" t="n"/>
      <c r="F290" s="35" t="n"/>
      <c r="G290" s="36" t="n"/>
      <c r="H290" s="37" t="n"/>
      <c r="I290" s="38" t="n"/>
      <c r="J290" s="39">
        <f>IF(G290="","",HYPERLINK("https://wa.me/"&amp;G290,"Открыть чат"))</f>
        <v/>
      </c>
    </row>
    <row r="291">
      <c r="A291" s="32" t="n"/>
      <c r="B291" s="33" t="n"/>
      <c r="C291" s="33" t="n"/>
      <c r="D291" s="34" t="n"/>
      <c r="E291" s="33" t="n"/>
      <c r="F291" s="35" t="n"/>
      <c r="G291" s="36" t="n"/>
      <c r="H291" s="37" t="n"/>
      <c r="I291" s="38" t="n"/>
      <c r="J291" s="39">
        <f>IF(G291="","",HYPERLINK("https://wa.me/"&amp;G291,"Открыть чат"))</f>
        <v/>
      </c>
    </row>
    <row r="292">
      <c r="A292" s="32" t="n"/>
      <c r="B292" s="33" t="n"/>
      <c r="C292" s="33" t="n"/>
      <c r="D292" s="34" t="n"/>
      <c r="E292" s="33" t="n"/>
      <c r="F292" s="35" t="n"/>
      <c r="G292" s="36" t="n"/>
      <c r="H292" s="37" t="n"/>
      <c r="I292" s="38" t="n"/>
      <c r="J292" s="39">
        <f>IF(G292="","",HYPERLINK("https://wa.me/"&amp;G292,"Открыть чат"))</f>
        <v/>
      </c>
    </row>
    <row r="293">
      <c r="A293" s="32" t="n"/>
      <c r="B293" s="33" t="n"/>
      <c r="C293" s="33" t="n"/>
      <c r="D293" s="34" t="n"/>
      <c r="E293" s="33" t="n"/>
      <c r="F293" s="35" t="n"/>
      <c r="G293" s="36" t="n"/>
      <c r="H293" s="37" t="n"/>
      <c r="I293" s="38" t="n"/>
      <c r="J293" s="39">
        <f>IF(G293="","",HYPERLINK("https://wa.me/"&amp;G293,"Открыть чат"))</f>
        <v/>
      </c>
    </row>
    <row r="294">
      <c r="A294" s="32" t="n"/>
      <c r="B294" s="33" t="n"/>
      <c r="C294" s="33" t="n"/>
      <c r="D294" s="34" t="n"/>
      <c r="E294" s="33" t="n"/>
      <c r="F294" s="35" t="n"/>
      <c r="G294" s="36" t="n"/>
      <c r="H294" s="37" t="n"/>
      <c r="I294" s="38" t="n"/>
      <c r="J294" s="39">
        <f>IF(G294="","",HYPERLINK("https://wa.me/"&amp;G294,"Открыть чат"))</f>
        <v/>
      </c>
    </row>
    <row r="295">
      <c r="A295" s="32" t="n"/>
      <c r="B295" s="33" t="n"/>
      <c r="C295" s="33" t="n"/>
      <c r="D295" s="34" t="n"/>
      <c r="E295" s="33" t="n"/>
      <c r="F295" s="35" t="n"/>
      <c r="G295" s="36" t="n"/>
      <c r="H295" s="37" t="n"/>
      <c r="I295" s="38" t="n"/>
      <c r="J295" s="39">
        <f>IF(G295="","",HYPERLINK("https://wa.me/"&amp;G295,"Открыть чат"))</f>
        <v/>
      </c>
    </row>
    <row r="296">
      <c r="A296" s="32" t="n"/>
      <c r="B296" s="33" t="n"/>
      <c r="C296" s="33" t="n"/>
      <c r="D296" s="34" t="n"/>
      <c r="E296" s="33" t="n"/>
      <c r="F296" s="35" t="n"/>
      <c r="G296" s="36" t="n"/>
      <c r="H296" s="37" t="n"/>
      <c r="I296" s="38" t="n"/>
      <c r="J296" s="39">
        <f>IF(G296="","",HYPERLINK("https://wa.me/"&amp;G296,"Открыть чат"))</f>
        <v/>
      </c>
    </row>
    <row r="297">
      <c r="A297" s="32" t="n"/>
      <c r="B297" s="33" t="n"/>
      <c r="C297" s="33" t="n"/>
      <c r="D297" s="34" t="n"/>
      <c r="E297" s="33" t="n"/>
      <c r="F297" s="35" t="n"/>
      <c r="G297" s="36" t="n"/>
      <c r="H297" s="37" t="n"/>
      <c r="I297" s="38" t="n"/>
      <c r="J297" s="39">
        <f>IF(G297="","",HYPERLINK("https://wa.me/"&amp;G297,"Открыть чат"))</f>
        <v/>
      </c>
    </row>
    <row r="298">
      <c r="A298" s="32" t="n"/>
      <c r="B298" s="33" t="n"/>
      <c r="C298" s="33" t="n"/>
      <c r="D298" s="34" t="n"/>
      <c r="E298" s="33" t="n"/>
      <c r="F298" s="35" t="n"/>
      <c r="G298" s="36" t="n"/>
      <c r="H298" s="37" t="n"/>
      <c r="I298" s="38" t="n"/>
      <c r="J298" s="39">
        <f>IF(G298="","",HYPERLINK("https://wa.me/"&amp;G298,"Открыть чат"))</f>
        <v/>
      </c>
    </row>
    <row r="299">
      <c r="A299" s="32" t="n"/>
      <c r="B299" s="33" t="n"/>
      <c r="C299" s="33" t="n"/>
      <c r="D299" s="34" t="n"/>
      <c r="E299" s="33" t="n"/>
      <c r="F299" s="35" t="n"/>
      <c r="G299" s="36" t="n"/>
      <c r="H299" s="37" t="n"/>
      <c r="I299" s="38" t="n"/>
      <c r="J299" s="39">
        <f>IF(G299="","",HYPERLINK("https://wa.me/"&amp;G299,"Открыть чат"))</f>
        <v/>
      </c>
    </row>
    <row r="300">
      <c r="A300" s="32" t="n"/>
      <c r="B300" s="33" t="n"/>
      <c r="C300" s="33" t="n"/>
      <c r="D300" s="34" t="n"/>
      <c r="E300" s="33" t="n"/>
      <c r="F300" s="35" t="n"/>
      <c r="G300" s="36" t="n"/>
      <c r="H300" s="37" t="n"/>
      <c r="I300" s="38" t="n"/>
      <c r="J300" s="39">
        <f>IF(G300="","",HYPERLINK("https://wa.me/"&amp;G300,"Открыть чат"))</f>
        <v/>
      </c>
    </row>
    <row r="301">
      <c r="A301" s="32" t="n"/>
      <c r="B301" s="33" t="n"/>
      <c r="C301" s="33" t="n"/>
      <c r="D301" s="34" t="n"/>
      <c r="E301" s="33" t="n"/>
      <c r="F301" s="35" t="n"/>
      <c r="G301" s="36" t="n"/>
      <c r="H301" s="37" t="n"/>
      <c r="I301" s="38" t="n"/>
      <c r="J301" s="39">
        <f>IF(G301="","",HYPERLINK("https://wa.me/"&amp;G301,"Открыть чат"))</f>
        <v/>
      </c>
    </row>
    <row r="302">
      <c r="A302" s="32" t="n"/>
      <c r="B302" s="33" t="n"/>
      <c r="C302" s="33" t="n"/>
      <c r="D302" s="34" t="n"/>
      <c r="E302" s="33" t="n"/>
      <c r="F302" s="35" t="n"/>
      <c r="G302" s="36" t="n"/>
      <c r="H302" s="37" t="n"/>
      <c r="I302" s="38" t="n"/>
      <c r="J302" s="39">
        <f>IF(G302="","",HYPERLINK("https://wa.me/"&amp;G302,"Открыть чат"))</f>
        <v/>
      </c>
    </row>
    <row r="303">
      <c r="A303" s="32" t="n"/>
      <c r="B303" s="33" t="n"/>
      <c r="C303" s="33" t="n"/>
      <c r="D303" s="34" t="n"/>
      <c r="E303" s="33" t="n"/>
      <c r="F303" s="35" t="n"/>
      <c r="G303" s="36" t="n"/>
      <c r="H303" s="37" t="n"/>
      <c r="I303" s="38" t="n"/>
      <c r="J303" s="39">
        <f>IF(G303="","",HYPERLINK("https://wa.me/"&amp;G303,"Открыть чат"))</f>
        <v/>
      </c>
    </row>
    <row r="304">
      <c r="A304" s="32" t="n"/>
      <c r="B304" s="33" t="n"/>
      <c r="C304" s="33" t="n"/>
      <c r="D304" s="34" t="n"/>
      <c r="E304" s="33" t="n"/>
      <c r="F304" s="35" t="n"/>
      <c r="G304" s="36" t="n"/>
      <c r="H304" s="37" t="n"/>
      <c r="I304" s="38" t="n"/>
      <c r="J304" s="39">
        <f>IF(G304="","",HYPERLINK("https://wa.me/"&amp;G304,"Открыть чат"))</f>
        <v/>
      </c>
    </row>
    <row r="305">
      <c r="A305" s="32" t="n"/>
      <c r="B305" s="33" t="n"/>
      <c r="C305" s="33" t="n"/>
      <c r="D305" s="34" t="n"/>
      <c r="E305" s="33" t="n"/>
      <c r="F305" s="35" t="n"/>
      <c r="G305" s="36" t="n"/>
      <c r="H305" s="37" t="n"/>
      <c r="I305" s="38" t="n"/>
      <c r="J305" s="39">
        <f>IF(G305="","",HYPERLINK("https://wa.me/"&amp;G305,"Открыть чат"))</f>
        <v/>
      </c>
    </row>
    <row r="306">
      <c r="A306" s="32" t="n"/>
      <c r="B306" s="33" t="n"/>
      <c r="C306" s="33" t="n"/>
      <c r="D306" s="34" t="n"/>
      <c r="E306" s="33" t="n"/>
      <c r="F306" s="35" t="n"/>
      <c r="G306" s="36" t="n"/>
      <c r="H306" s="37" t="n"/>
      <c r="I306" s="38" t="n"/>
      <c r="J306" s="39">
        <f>IF(G306="","",HYPERLINK("https://wa.me/"&amp;G306,"Открыть чат"))</f>
        <v/>
      </c>
    </row>
    <row r="307">
      <c r="A307" s="32" t="n"/>
      <c r="B307" s="33" t="n"/>
      <c r="C307" s="33" t="n"/>
      <c r="D307" s="34" t="n"/>
      <c r="E307" s="33" t="n"/>
      <c r="F307" s="35" t="n"/>
      <c r="G307" s="36" t="n"/>
      <c r="H307" s="37" t="n"/>
      <c r="I307" s="38" t="n"/>
      <c r="J307" s="39">
        <f>IF(G307="","",HYPERLINK("https://wa.me/"&amp;G307,"Открыть чат"))</f>
        <v/>
      </c>
    </row>
    <row r="308">
      <c r="A308" s="32" t="n"/>
      <c r="B308" s="33" t="n"/>
      <c r="C308" s="33" t="n"/>
      <c r="D308" s="34" t="n"/>
      <c r="E308" s="33" t="n"/>
      <c r="F308" s="35" t="n"/>
      <c r="G308" s="36" t="n"/>
      <c r="H308" s="37" t="n"/>
      <c r="I308" s="38" t="n"/>
      <c r="J308" s="39">
        <f>IF(G308="","",HYPERLINK("https://wa.me/"&amp;G308,"Открыть чат"))</f>
        <v/>
      </c>
    </row>
    <row r="309">
      <c r="A309" s="32" t="n"/>
      <c r="B309" s="33" t="n"/>
      <c r="C309" s="33" t="n"/>
      <c r="D309" s="34" t="n"/>
      <c r="E309" s="33" t="n"/>
      <c r="F309" s="35" t="n"/>
      <c r="G309" s="36" t="n"/>
      <c r="H309" s="37" t="n"/>
      <c r="I309" s="38" t="n"/>
      <c r="J309" s="39">
        <f>IF(G309="","",HYPERLINK("https://wa.me/"&amp;G309,"Открыть чат"))</f>
        <v/>
      </c>
    </row>
    <row r="310">
      <c r="A310" s="32" t="n"/>
      <c r="B310" s="33" t="n"/>
      <c r="C310" s="33" t="n"/>
      <c r="D310" s="34" t="n"/>
      <c r="E310" s="33" t="n"/>
      <c r="F310" s="35" t="n"/>
      <c r="G310" s="36" t="n"/>
      <c r="H310" s="37" t="n"/>
      <c r="I310" s="38" t="n"/>
      <c r="J310" s="39">
        <f>IF(G310="","",HYPERLINK("https://wa.me/"&amp;G310,"Открыть чат"))</f>
        <v/>
      </c>
    </row>
    <row r="311">
      <c r="A311" s="32" t="n"/>
      <c r="B311" s="33" t="n"/>
      <c r="C311" s="33" t="n"/>
      <c r="D311" s="34" t="n"/>
      <c r="E311" s="33" t="n"/>
      <c r="F311" s="35" t="n"/>
      <c r="G311" s="36" t="n"/>
      <c r="H311" s="37" t="n"/>
      <c r="I311" s="38" t="n"/>
      <c r="J311" s="39">
        <f>IF(G311="","",HYPERLINK("https://wa.me/"&amp;G311,"Открыть чат"))</f>
        <v/>
      </c>
    </row>
    <row r="312">
      <c r="A312" s="32" t="n"/>
      <c r="B312" s="33" t="n"/>
      <c r="C312" s="33" t="n"/>
      <c r="D312" s="34" t="n"/>
      <c r="E312" s="33" t="n"/>
      <c r="F312" s="35" t="n"/>
      <c r="G312" s="36" t="n"/>
      <c r="H312" s="37" t="n"/>
      <c r="I312" s="38" t="n"/>
      <c r="J312" s="39">
        <f>IF(G312="","",HYPERLINK("https://wa.me/"&amp;G312,"Открыть чат"))</f>
        <v/>
      </c>
    </row>
    <row r="313">
      <c r="A313" s="32" t="n"/>
      <c r="B313" s="33" t="n"/>
      <c r="C313" s="33" t="n"/>
      <c r="D313" s="34" t="n"/>
      <c r="E313" s="33" t="n"/>
      <c r="F313" s="35" t="n"/>
      <c r="G313" s="36" t="n"/>
      <c r="H313" s="37" t="n"/>
      <c r="I313" s="38" t="n"/>
      <c r="J313" s="39">
        <f>IF(G313="","",HYPERLINK("https://wa.me/"&amp;G313,"Открыть чат"))</f>
        <v/>
      </c>
    </row>
    <row r="314">
      <c r="A314" s="32" t="n"/>
      <c r="B314" s="33" t="n"/>
      <c r="C314" s="33" t="n"/>
      <c r="D314" s="34" t="n"/>
      <c r="E314" s="33" t="n"/>
      <c r="F314" s="35" t="n"/>
      <c r="G314" s="36" t="n"/>
      <c r="H314" s="37" t="n"/>
      <c r="I314" s="38" t="n"/>
      <c r="J314" s="39">
        <f>IF(G314="","",HYPERLINK("https://wa.me/"&amp;G314,"Открыть чат"))</f>
        <v/>
      </c>
    </row>
    <row r="315">
      <c r="A315" s="32" t="n"/>
      <c r="B315" s="33" t="n"/>
      <c r="C315" s="33" t="n"/>
      <c r="D315" s="34" t="n"/>
      <c r="E315" s="33" t="n"/>
      <c r="F315" s="35" t="n"/>
      <c r="G315" s="36" t="n"/>
      <c r="H315" s="37" t="n"/>
      <c r="I315" s="38" t="n"/>
      <c r="J315" s="39">
        <f>IF(G315="","",HYPERLINK("https://wa.me/"&amp;G315,"Открыть чат"))</f>
        <v/>
      </c>
    </row>
    <row r="316">
      <c r="A316" s="32" t="n"/>
      <c r="B316" s="33" t="n"/>
      <c r="C316" s="33" t="n"/>
      <c r="D316" s="34" t="n"/>
      <c r="E316" s="33" t="n"/>
      <c r="F316" s="35" t="n"/>
      <c r="G316" s="36" t="n"/>
      <c r="H316" s="37" t="n"/>
      <c r="I316" s="38" t="n"/>
      <c r="J316" s="39">
        <f>IF(G316="","",HYPERLINK("https://wa.me/"&amp;G316,"Открыть чат"))</f>
        <v/>
      </c>
    </row>
    <row r="317">
      <c r="A317" s="32" t="n"/>
      <c r="B317" s="33" t="n"/>
      <c r="C317" s="33" t="n"/>
      <c r="D317" s="34" t="n"/>
      <c r="E317" s="33" t="n"/>
      <c r="F317" s="35" t="n"/>
      <c r="G317" s="36" t="n"/>
      <c r="H317" s="37" t="n"/>
      <c r="I317" s="38" t="n"/>
      <c r="J317" s="39">
        <f>IF(G317="","",HYPERLINK("https://wa.me/"&amp;G317,"Открыть чат"))</f>
        <v/>
      </c>
    </row>
    <row r="318">
      <c r="A318" s="32" t="n"/>
      <c r="B318" s="33" t="n"/>
      <c r="C318" s="33" t="n"/>
      <c r="D318" s="34" t="n"/>
      <c r="E318" s="33" t="n"/>
      <c r="F318" s="35" t="n"/>
      <c r="G318" s="36" t="n"/>
      <c r="H318" s="37" t="n"/>
      <c r="I318" s="38" t="n"/>
      <c r="J318" s="39">
        <f>IF(G318="","",HYPERLINK("https://wa.me/"&amp;G318,"Открыть чат"))</f>
        <v/>
      </c>
    </row>
    <row r="319">
      <c r="A319" s="32" t="n"/>
      <c r="B319" s="33" t="n"/>
      <c r="C319" s="33" t="n"/>
      <c r="D319" s="34" t="n"/>
      <c r="E319" s="33" t="n"/>
      <c r="F319" s="35" t="n"/>
      <c r="G319" s="36" t="n"/>
      <c r="H319" s="37" t="n"/>
      <c r="I319" s="38" t="n"/>
      <c r="J319" s="39">
        <f>IF(G319="","",HYPERLINK("https://wa.me/"&amp;G319,"Открыть чат"))</f>
        <v/>
      </c>
    </row>
    <row r="320">
      <c r="A320" s="32" t="n"/>
      <c r="B320" s="33" t="n"/>
      <c r="C320" s="33" t="n"/>
      <c r="D320" s="34" t="n"/>
      <c r="E320" s="33" t="n"/>
      <c r="F320" s="35" t="n"/>
      <c r="G320" s="36" t="n"/>
      <c r="H320" s="37" t="n"/>
      <c r="I320" s="38" t="n"/>
      <c r="J320" s="39">
        <f>IF(G320="","",HYPERLINK("https://wa.me/"&amp;G320,"Открыть чат"))</f>
        <v/>
      </c>
    </row>
    <row r="321">
      <c r="A321" s="32" t="n"/>
      <c r="B321" s="33" t="n"/>
      <c r="C321" s="33" t="n"/>
      <c r="D321" s="34" t="n"/>
      <c r="E321" s="33" t="n"/>
      <c r="F321" s="35" t="n"/>
      <c r="G321" s="36" t="n"/>
      <c r="H321" s="37" t="n"/>
      <c r="I321" s="38" t="n"/>
      <c r="J321" s="39">
        <f>IF(G321="","",HYPERLINK("https://wa.me/"&amp;G321,"Открыть чат"))</f>
        <v/>
      </c>
    </row>
    <row r="322">
      <c r="A322" s="32" t="n"/>
      <c r="B322" s="33" t="n"/>
      <c r="C322" s="33" t="n"/>
      <c r="D322" s="34" t="n"/>
      <c r="E322" s="33" t="n"/>
      <c r="F322" s="35" t="n"/>
      <c r="G322" s="36" t="n"/>
      <c r="H322" s="37" t="n"/>
      <c r="I322" s="38" t="n"/>
      <c r="J322" s="39">
        <f>IF(G322="","",HYPERLINK("https://wa.me/"&amp;G322,"Открыть чат"))</f>
        <v/>
      </c>
    </row>
    <row r="323">
      <c r="A323" s="32" t="n"/>
      <c r="B323" s="33" t="n"/>
      <c r="C323" s="33" t="n"/>
      <c r="D323" s="34" t="n"/>
      <c r="E323" s="33" t="n"/>
      <c r="F323" s="35" t="n"/>
      <c r="G323" s="36" t="n"/>
      <c r="H323" s="37" t="n"/>
      <c r="I323" s="38" t="n"/>
      <c r="J323" s="39">
        <f>IF(G323="","",HYPERLINK("https://wa.me/"&amp;G323,"Открыть чат"))</f>
        <v/>
      </c>
    </row>
    <row r="324">
      <c r="A324" s="32" t="n"/>
      <c r="B324" s="33" t="n"/>
      <c r="C324" s="33" t="n"/>
      <c r="D324" s="34" t="n"/>
      <c r="E324" s="33" t="n"/>
      <c r="F324" s="35" t="n"/>
      <c r="G324" s="36" t="n"/>
      <c r="H324" s="37" t="n"/>
      <c r="I324" s="38" t="n"/>
      <c r="J324" s="39">
        <f>IF(G324="","",HYPERLINK("https://wa.me/"&amp;G324,"Открыть чат"))</f>
        <v/>
      </c>
    </row>
    <row r="325">
      <c r="A325" s="32" t="n"/>
      <c r="B325" s="33" t="n"/>
      <c r="C325" s="33" t="n"/>
      <c r="D325" s="34" t="n"/>
      <c r="E325" s="33" t="n"/>
      <c r="F325" s="35" t="n"/>
      <c r="G325" s="36" t="n"/>
      <c r="H325" s="37" t="n"/>
      <c r="I325" s="38" t="n"/>
      <c r="J325" s="39">
        <f>IF(G325="","",HYPERLINK("https://wa.me/"&amp;G325,"Открыть чат"))</f>
        <v/>
      </c>
    </row>
    <row r="326">
      <c r="A326" s="32" t="n"/>
      <c r="B326" s="33" t="n"/>
      <c r="C326" s="33" t="n"/>
      <c r="D326" s="34" t="n"/>
      <c r="E326" s="33" t="n"/>
      <c r="F326" s="35" t="n"/>
      <c r="G326" s="36" t="n"/>
      <c r="H326" s="37" t="n"/>
      <c r="I326" s="38" t="n"/>
      <c r="J326" s="39">
        <f>IF(G326="","",HYPERLINK("https://wa.me/"&amp;G326,"Открыть чат"))</f>
        <v/>
      </c>
    </row>
    <row r="327">
      <c r="A327" s="32" t="n"/>
      <c r="B327" s="33" t="n"/>
      <c r="C327" s="33" t="n"/>
      <c r="D327" s="34" t="n"/>
      <c r="E327" s="33" t="n"/>
      <c r="F327" s="35" t="n"/>
      <c r="G327" s="36" t="n"/>
      <c r="H327" s="37" t="n"/>
      <c r="I327" s="38" t="n"/>
      <c r="J327" s="39">
        <f>IF(G327="","",HYPERLINK("https://wa.me/"&amp;G327,"Открыть чат"))</f>
        <v/>
      </c>
    </row>
    <row r="328">
      <c r="A328" s="32" t="n"/>
      <c r="B328" s="33" t="n"/>
      <c r="C328" s="33" t="n"/>
      <c r="D328" s="34" t="n"/>
      <c r="E328" s="33" t="n"/>
      <c r="F328" s="35" t="n"/>
      <c r="G328" s="36" t="n"/>
      <c r="H328" s="37" t="n"/>
      <c r="I328" s="38" t="n"/>
      <c r="J328" s="39">
        <f>IF(G328="","",HYPERLINK("https://wa.me/"&amp;G328,"Открыть чат"))</f>
        <v/>
      </c>
    </row>
    <row r="329">
      <c r="A329" s="32" t="n"/>
      <c r="B329" s="33" t="n"/>
      <c r="C329" s="33" t="n"/>
      <c r="D329" s="34" t="n"/>
      <c r="E329" s="33" t="n"/>
      <c r="F329" s="35" t="n"/>
      <c r="G329" s="36" t="n"/>
      <c r="H329" s="37" t="n"/>
      <c r="I329" s="38" t="n"/>
      <c r="J329" s="39">
        <f>IF(G329="","",HYPERLINK("https://wa.me/"&amp;G329,"Открыть чат"))</f>
        <v/>
      </c>
    </row>
    <row r="330">
      <c r="A330" s="32" t="n"/>
      <c r="B330" s="33" t="n"/>
      <c r="C330" s="33" t="n"/>
      <c r="D330" s="34" t="n"/>
      <c r="E330" s="33" t="n"/>
      <c r="F330" s="35" t="n"/>
      <c r="G330" s="36" t="n"/>
      <c r="H330" s="37" t="n"/>
      <c r="I330" s="38" t="n"/>
      <c r="J330" s="39">
        <f>IF(G330="","",HYPERLINK("https://wa.me/"&amp;G330,"Открыть чат"))</f>
        <v/>
      </c>
    </row>
    <row r="331">
      <c r="A331" s="32" t="n"/>
      <c r="B331" s="33" t="n"/>
      <c r="C331" s="33" t="n"/>
      <c r="D331" s="34" t="n"/>
      <c r="E331" s="33" t="n"/>
      <c r="F331" s="35" t="n"/>
      <c r="G331" s="36" t="n"/>
      <c r="H331" s="37" t="n"/>
      <c r="I331" s="38" t="n"/>
      <c r="J331" s="39">
        <f>IF(G331="","",HYPERLINK("https://wa.me/"&amp;G331,"Открыть чат"))</f>
        <v/>
      </c>
    </row>
    <row r="332">
      <c r="A332" s="32" t="n"/>
      <c r="B332" s="33" t="n"/>
      <c r="C332" s="33" t="n"/>
      <c r="D332" s="34" t="n"/>
      <c r="E332" s="33" t="n"/>
      <c r="F332" s="35" t="n"/>
      <c r="G332" s="36" t="n"/>
      <c r="H332" s="37" t="n"/>
      <c r="I332" s="38" t="n"/>
      <c r="J332" s="39">
        <f>IF(G332="","",HYPERLINK("https://wa.me/"&amp;G332,"Открыть чат"))</f>
        <v/>
      </c>
    </row>
    <row r="333">
      <c r="A333" s="32" t="n"/>
      <c r="B333" s="33" t="n"/>
      <c r="C333" s="33" t="n"/>
      <c r="D333" s="34" t="n"/>
      <c r="E333" s="33" t="n"/>
      <c r="F333" s="35" t="n"/>
      <c r="G333" s="36" t="n"/>
      <c r="H333" s="37" t="n"/>
      <c r="I333" s="38" t="n"/>
      <c r="J333" s="39">
        <f>IF(G333="","",HYPERLINK("https://wa.me/"&amp;G333,"Открыть чат"))</f>
        <v/>
      </c>
    </row>
    <row r="334">
      <c r="A334" s="32" t="n"/>
      <c r="B334" s="33" t="n"/>
      <c r="C334" s="33" t="n"/>
      <c r="D334" s="34" t="n"/>
      <c r="E334" s="33" t="n"/>
      <c r="F334" s="35" t="n"/>
      <c r="G334" s="36" t="n"/>
      <c r="H334" s="37" t="n"/>
      <c r="I334" s="38" t="n"/>
      <c r="J334" s="39">
        <f>IF(G334="","",HYPERLINK("https://wa.me/"&amp;G334,"Открыть чат"))</f>
        <v/>
      </c>
    </row>
    <row r="335">
      <c r="A335" s="32" t="n"/>
      <c r="B335" s="33" t="n"/>
      <c r="C335" s="33" t="n"/>
      <c r="D335" s="34" t="n"/>
      <c r="E335" s="33" t="n"/>
      <c r="F335" s="35" t="n"/>
      <c r="G335" s="36" t="n"/>
      <c r="H335" s="37" t="n"/>
      <c r="I335" s="38" t="n"/>
      <c r="J335" s="39">
        <f>IF(G335="","",HYPERLINK("https://wa.me/"&amp;G335,"Открыть чат"))</f>
        <v/>
      </c>
    </row>
    <row r="336">
      <c r="A336" s="32" t="n"/>
      <c r="B336" s="33" t="n"/>
      <c r="C336" s="33" t="n"/>
      <c r="D336" s="34" t="n"/>
      <c r="E336" s="33" t="n"/>
      <c r="F336" s="35" t="n"/>
      <c r="G336" s="36" t="n"/>
      <c r="H336" s="37" t="n"/>
      <c r="I336" s="38" t="n"/>
      <c r="J336" s="39">
        <f>IF(G336="","",HYPERLINK("https://wa.me/"&amp;G336,"Открыть чат"))</f>
        <v/>
      </c>
    </row>
  </sheetData>
  <conditionalFormatting sqref="B9:B33">
    <cfRule type="expression" priority="1" dxfId="0">
      <formula>B9="Очередь"</formula>
    </cfRule>
    <cfRule type="expression" priority="2" dxfId="1">
      <formula>B9="Отправлено"</formula>
    </cfRule>
    <cfRule type="expression" priority="3" dxfId="2">
      <formula>B9="Не ответил"</formula>
    </cfRule>
    <cfRule type="expression" priority="4" dxfId="3">
      <formula>B9="Ответил"</formula>
    </cfRule>
    <cfRule type="expression" priority="5" dxfId="4">
      <formula>B9="Доработать"</formula>
    </cfRule>
    <cfRule type="expression" priority="6" dxfId="5">
      <formula>B9="Перезвонить"</formula>
    </cfRule>
    <cfRule type="expression" priority="7" dxfId="6">
      <formula>B9="Созвон"</formula>
    </cfRule>
    <cfRule type="expression" priority="8" dxfId="7">
      <formula>B9="Клиент"</formula>
    </cfRule>
    <cfRule type="expression" priority="9" dxfId="8">
      <formula>B9="Отказ"</formula>
    </cfRule>
    <cfRule type="expression" priority="10" dxfId="9">
      <formula>B9="Не писать"</formula>
    </cfRule>
  </conditionalFormatting>
  <conditionalFormatting sqref="E9:E33">
    <cfRule type="expression" priority="11" dxfId="8">
      <formula>E9="просрочено"</formula>
    </cfRule>
    <cfRule type="expression" priority="12" dxfId="4">
      <formula>OR(E9="сегодня",E9="укажи дату",LEFT(E9,6)="молчит")</formula>
    </cfRule>
  </conditionalFormatting>
  <conditionalFormatting sqref="B37:B336">
    <cfRule type="expression" priority="13" dxfId="0">
      <formula>B37="Очередь"</formula>
    </cfRule>
    <cfRule type="expression" priority="14" dxfId="1">
      <formula>B37="Отправлено"</formula>
    </cfRule>
    <cfRule type="expression" priority="15" dxfId="2">
      <formula>B37="Не ответил"</formula>
    </cfRule>
    <cfRule type="expression" priority="16" dxfId="3">
      <formula>B37="Ответил"</formula>
    </cfRule>
    <cfRule type="expression" priority="17" dxfId="4">
      <formula>B37="Доработать"</formula>
    </cfRule>
    <cfRule type="expression" priority="18" dxfId="5">
      <formula>B37="Перезвонить"</formula>
    </cfRule>
    <cfRule type="expression" priority="19" dxfId="6">
      <formula>B37="Созвон"</formula>
    </cfRule>
    <cfRule type="expression" priority="20" dxfId="7">
      <formula>B37="Клиент"</formula>
    </cfRule>
    <cfRule type="expression" priority="21" dxfId="8">
      <formula>B37="Отказ"</formula>
    </cfRule>
    <cfRule type="expression" priority="22" dxfId="9">
      <formula>B37="Не писать"</formula>
    </cfRule>
  </conditionalFormatting>
  <conditionalFormatting sqref="E37:E336">
    <cfRule type="expression" priority="23" dxfId="8">
      <formula>E37="просрочено"</formula>
    </cfRule>
    <cfRule type="expression" priority="24" dxfId="4">
      <formula>OR(E37="сегодня",E37="укажи дату",LEFT(E37,6)="молчит")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5A45"/>
    <outlinePr summaryBelow="1" summaryRight="1"/>
    <pageSetUpPr/>
  </sheetPr>
  <dimension ref="A1:J3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hidden="1" width="15" customWidth="1" min="3" max="3"/>
    <col width="20" customWidth="1" min="4" max="4"/>
    <col width="16" customWidth="1" min="5" max="5"/>
    <col width="48" customWidth="1" min="6" max="6"/>
    <col width="16" customWidth="1" min="7" max="7"/>
    <col width="15" customWidth="1" min="8" max="8"/>
    <col hidden="1" width="5" customWidth="1" min="9" max="9"/>
    <col width="16" customWidth="1" min="10" max="10"/>
  </cols>
  <sheetData>
    <row r="1">
      <c r="A1" s="57" t="inlineStr">
        <is>
          <t>Тимурлан</t>
        </is>
      </c>
    </row>
    <row r="2">
      <c r="A2" s="2" t="inlineStr">
        <is>
          <t>Твои дела и твои лиды. Лист собирается сам: править нужно на листе «Лиды».</t>
        </is>
      </c>
    </row>
    <row r="4" ht="30" customHeight="1">
      <c r="A4" s="3" t="inlineStr">
        <is>
          <t>в работе</t>
        </is>
      </c>
      <c r="B4" s="3" t="inlineStr">
        <is>
          <t>ждём ответа</t>
        </is>
      </c>
      <c r="D4" s="3" t="inlineStr">
        <is>
          <t>дел на сегодня</t>
        </is>
      </c>
      <c r="E4" s="3" t="inlineStr">
        <is>
          <t>просрочено</t>
        </is>
      </c>
      <c r="F4" s="55" t="n"/>
      <c r="G4" s="3" t="inlineStr">
        <is>
          <t>молчат 3+ дня</t>
        </is>
      </c>
      <c r="H4" s="3" t="inlineStr">
        <is>
          <t>клиентов</t>
        </is>
      </c>
    </row>
    <row r="5" ht="40" customHeight="1">
      <c r="A5" s="6">
        <f>COUNTIFS('Лиды'!$C$2:$C$2000,"Ответил",'Лиды'!$D$2:$D$2000,$A$1)+COUNTIFS('Лиды'!$C$2:$C$2000,"Доработать",'Лиды'!$D$2:$D$2000,$A$1)+COUNTIFS('Лиды'!$C$2:$C$2000,"Перезвонить",'Лиды'!$D$2:$D$2000,$A$1)+COUNTIFS('Лиды'!$C$2:$C$2000,"Созвон",'Лиды'!$D$2:$D$2000,$A$1)</f>
        <v/>
      </c>
      <c r="B5" s="5">
        <f>COUNTIFS('Лиды'!$C$2:$C$2000,"Отправлено",'Лиды'!$D$2:$D$2000,$A$1)</f>
        <v/>
      </c>
      <c r="D5" s="7">
        <f>COUNTIFS('Лиды'!$F$2:$F$2000,"сегодня",'Лиды'!$D$2:$D$2000,$A$1)+COUNTIFS('Лиды'!$F$2:$F$2000,"укажи дату",'Лиды'!$D$2:$D$2000,$A$1)</f>
        <v/>
      </c>
      <c r="E5" s="8">
        <f>COUNTIFS('Лиды'!$F$2:$F$2000,"просрочено",'Лиды'!$D$2:$D$2000,$A$1)</f>
        <v/>
      </c>
      <c r="F5" s="55" t="n"/>
      <c r="G5" s="7">
        <f>COUNTIFS('Лиды'!$F$2:$F$2000,"молчит*",'Лиды'!$D$2:$D$2000,$A$1)</f>
        <v/>
      </c>
      <c r="H5" s="6">
        <f>COUNTIFS('Лиды'!$C$2:$C$2000,"Клиент",'Лиды'!$D$2:$D$2000,$A$1)</f>
        <v/>
      </c>
    </row>
    <row r="7">
      <c r="A7" s="9" t="inlineStr">
        <is>
          <t>Что сделать сейчас</t>
        </is>
      </c>
    </row>
    <row r="8" ht="30" customHeight="1">
      <c r="A8" s="10" t="inlineStr">
        <is>
          <t>Компания</t>
        </is>
      </c>
      <c r="B8" s="10" t="inlineStr">
        <is>
          <t>Этап</t>
        </is>
      </c>
      <c r="C8" s="10" t="inlineStr">
        <is>
          <t>Менеджер</t>
        </is>
      </c>
      <c r="D8" s="10" t="inlineStr">
        <is>
          <t>Следующий контакт</t>
        </is>
      </c>
      <c r="E8" s="10" t="inlineStr">
        <is>
          <t>Срок</t>
        </is>
      </c>
      <c r="F8" s="10" t="inlineStr">
        <is>
          <t>Заметка</t>
        </is>
      </c>
      <c r="G8" s="10" t="inlineStr">
        <is>
          <t>Телефон</t>
        </is>
      </c>
      <c r="H8" s="10" t="inlineStr">
        <is>
          <t>Написали</t>
        </is>
      </c>
      <c r="I8" s="10" t="inlineStr">
        <is>
          <t>ранг</t>
        </is>
      </c>
      <c r="J8" s="10" t="inlineStr">
        <is>
          <t>Чат</t>
        </is>
      </c>
    </row>
    <row r="9">
      <c r="A9" s="32">
        <f>IFERROR(ARRAY_CONSTRAIN(SORT(FILTER('Лиды'!$B$2:$J$2000,('Лиды'!$D$2:$D$2000=$A$1)*('Лиды'!$V$2:$V$2000=1)),4,TRUE),25,9),"Дел нет")</f>
        <v/>
      </c>
      <c r="B9" s="33" t="n"/>
      <c r="C9" s="33" t="n"/>
      <c r="D9" s="34" t="n"/>
      <c r="E9" s="33" t="n"/>
      <c r="F9" s="35" t="n"/>
      <c r="G9" s="36" t="n"/>
      <c r="H9" s="37" t="n"/>
      <c r="I9" s="38" t="n"/>
      <c r="J9" s="39">
        <f>IF(G9="","",HYPERLINK("https://wa.me/"&amp;G9,"Открыть чат"))</f>
        <v/>
      </c>
    </row>
    <row r="10">
      <c r="A10" s="32" t="n"/>
      <c r="B10" s="33" t="n"/>
      <c r="C10" s="33" t="n"/>
      <c r="D10" s="34" t="n"/>
      <c r="E10" s="33" t="n"/>
      <c r="F10" s="35" t="n"/>
      <c r="G10" s="36" t="n"/>
      <c r="H10" s="37" t="n"/>
      <c r="I10" s="38" t="n"/>
      <c r="J10" s="39">
        <f>IF(G10="","",HYPERLINK("https://wa.me/"&amp;G10,"Открыть чат"))</f>
        <v/>
      </c>
    </row>
    <row r="11">
      <c r="A11" s="32" t="n"/>
      <c r="B11" s="33" t="n"/>
      <c r="C11" s="33" t="n"/>
      <c r="D11" s="34" t="n"/>
      <c r="E11" s="33" t="n"/>
      <c r="F11" s="35" t="n"/>
      <c r="G11" s="36" t="n"/>
      <c r="H11" s="37" t="n"/>
      <c r="I11" s="38" t="n"/>
      <c r="J11" s="39">
        <f>IF(G11="","",HYPERLINK("https://wa.me/"&amp;G11,"Открыть чат"))</f>
        <v/>
      </c>
    </row>
    <row r="12">
      <c r="A12" s="32" t="n"/>
      <c r="B12" s="33" t="n"/>
      <c r="C12" s="33" t="n"/>
      <c r="D12" s="34" t="n"/>
      <c r="E12" s="33" t="n"/>
      <c r="F12" s="35" t="n"/>
      <c r="G12" s="36" t="n"/>
      <c r="H12" s="37" t="n"/>
      <c r="I12" s="38" t="n"/>
      <c r="J12" s="39">
        <f>IF(G12="","",HYPERLINK("https://wa.me/"&amp;G12,"Открыть чат"))</f>
        <v/>
      </c>
    </row>
    <row r="13">
      <c r="A13" s="32" t="n"/>
      <c r="B13" s="33" t="n"/>
      <c r="C13" s="33" t="n"/>
      <c r="D13" s="34" t="n"/>
      <c r="E13" s="33" t="n"/>
      <c r="F13" s="35" t="n"/>
      <c r="G13" s="36" t="n"/>
      <c r="H13" s="37" t="n"/>
      <c r="I13" s="38" t="n"/>
      <c r="J13" s="39">
        <f>IF(G13="","",HYPERLINK("https://wa.me/"&amp;G13,"Открыть чат"))</f>
        <v/>
      </c>
    </row>
    <row r="14">
      <c r="A14" s="32" t="n"/>
      <c r="B14" s="33" t="n"/>
      <c r="C14" s="33" t="n"/>
      <c r="D14" s="34" t="n"/>
      <c r="E14" s="33" t="n"/>
      <c r="F14" s="35" t="n"/>
      <c r="G14" s="36" t="n"/>
      <c r="H14" s="37" t="n"/>
      <c r="I14" s="38" t="n"/>
      <c r="J14" s="39">
        <f>IF(G14="","",HYPERLINK("https://wa.me/"&amp;G14,"Открыть чат"))</f>
        <v/>
      </c>
    </row>
    <row r="15">
      <c r="A15" s="32" t="n"/>
      <c r="B15" s="33" t="n"/>
      <c r="C15" s="33" t="n"/>
      <c r="D15" s="34" t="n"/>
      <c r="E15" s="33" t="n"/>
      <c r="F15" s="35" t="n"/>
      <c r="G15" s="36" t="n"/>
      <c r="H15" s="37" t="n"/>
      <c r="I15" s="38" t="n"/>
      <c r="J15" s="39">
        <f>IF(G15="","",HYPERLINK("https://wa.me/"&amp;G15,"Открыть чат"))</f>
        <v/>
      </c>
    </row>
    <row r="16">
      <c r="A16" s="32" t="n"/>
      <c r="B16" s="33" t="n"/>
      <c r="C16" s="33" t="n"/>
      <c r="D16" s="34" t="n"/>
      <c r="E16" s="33" t="n"/>
      <c r="F16" s="35" t="n"/>
      <c r="G16" s="36" t="n"/>
      <c r="H16" s="37" t="n"/>
      <c r="I16" s="38" t="n"/>
      <c r="J16" s="39">
        <f>IF(G16="","",HYPERLINK("https://wa.me/"&amp;G16,"Открыть чат"))</f>
        <v/>
      </c>
    </row>
    <row r="17">
      <c r="A17" s="32" t="n"/>
      <c r="B17" s="33" t="n"/>
      <c r="C17" s="33" t="n"/>
      <c r="D17" s="34" t="n"/>
      <c r="E17" s="33" t="n"/>
      <c r="F17" s="35" t="n"/>
      <c r="G17" s="36" t="n"/>
      <c r="H17" s="37" t="n"/>
      <c r="I17" s="38" t="n"/>
      <c r="J17" s="39">
        <f>IF(G17="","",HYPERLINK("https://wa.me/"&amp;G17,"Открыть чат"))</f>
        <v/>
      </c>
    </row>
    <row r="18">
      <c r="A18" s="32" t="n"/>
      <c r="B18" s="33" t="n"/>
      <c r="C18" s="33" t="n"/>
      <c r="D18" s="34" t="n"/>
      <c r="E18" s="33" t="n"/>
      <c r="F18" s="35" t="n"/>
      <c r="G18" s="36" t="n"/>
      <c r="H18" s="37" t="n"/>
      <c r="I18" s="38" t="n"/>
      <c r="J18" s="39">
        <f>IF(G18="","",HYPERLINK("https://wa.me/"&amp;G18,"Открыть чат"))</f>
        <v/>
      </c>
    </row>
    <row r="19">
      <c r="A19" s="32" t="n"/>
      <c r="B19" s="33" t="n"/>
      <c r="C19" s="33" t="n"/>
      <c r="D19" s="34" t="n"/>
      <c r="E19" s="33" t="n"/>
      <c r="F19" s="35" t="n"/>
      <c r="G19" s="36" t="n"/>
      <c r="H19" s="37" t="n"/>
      <c r="I19" s="38" t="n"/>
      <c r="J19" s="39">
        <f>IF(G19="","",HYPERLINK("https://wa.me/"&amp;G19,"Открыть чат"))</f>
        <v/>
      </c>
    </row>
    <row r="20">
      <c r="A20" s="32" t="n"/>
      <c r="B20" s="33" t="n"/>
      <c r="C20" s="33" t="n"/>
      <c r="D20" s="34" t="n"/>
      <c r="E20" s="33" t="n"/>
      <c r="F20" s="35" t="n"/>
      <c r="G20" s="36" t="n"/>
      <c r="H20" s="37" t="n"/>
      <c r="I20" s="38" t="n"/>
      <c r="J20" s="39">
        <f>IF(G20="","",HYPERLINK("https://wa.me/"&amp;G20,"Открыть чат"))</f>
        <v/>
      </c>
    </row>
    <row r="21">
      <c r="A21" s="32" t="n"/>
      <c r="B21" s="33" t="n"/>
      <c r="C21" s="33" t="n"/>
      <c r="D21" s="34" t="n"/>
      <c r="E21" s="33" t="n"/>
      <c r="F21" s="35" t="n"/>
      <c r="G21" s="36" t="n"/>
      <c r="H21" s="37" t="n"/>
      <c r="I21" s="38" t="n"/>
      <c r="J21" s="39">
        <f>IF(G21="","",HYPERLINK("https://wa.me/"&amp;G21,"Открыть чат"))</f>
        <v/>
      </c>
    </row>
    <row r="22">
      <c r="A22" s="32" t="n"/>
      <c r="B22" s="33" t="n"/>
      <c r="C22" s="33" t="n"/>
      <c r="D22" s="34" t="n"/>
      <c r="E22" s="33" t="n"/>
      <c r="F22" s="35" t="n"/>
      <c r="G22" s="36" t="n"/>
      <c r="H22" s="37" t="n"/>
      <c r="I22" s="38" t="n"/>
      <c r="J22" s="39">
        <f>IF(G22="","",HYPERLINK("https://wa.me/"&amp;G22,"Открыть чат"))</f>
        <v/>
      </c>
    </row>
    <row r="23">
      <c r="A23" s="32" t="n"/>
      <c r="B23" s="33" t="n"/>
      <c r="C23" s="33" t="n"/>
      <c r="D23" s="34" t="n"/>
      <c r="E23" s="33" t="n"/>
      <c r="F23" s="35" t="n"/>
      <c r="G23" s="36" t="n"/>
      <c r="H23" s="37" t="n"/>
      <c r="I23" s="38" t="n"/>
      <c r="J23" s="39">
        <f>IF(G23="","",HYPERLINK("https://wa.me/"&amp;G23,"Открыть чат"))</f>
        <v/>
      </c>
    </row>
    <row r="24">
      <c r="A24" s="32" t="n"/>
      <c r="B24" s="33" t="n"/>
      <c r="C24" s="33" t="n"/>
      <c r="D24" s="34" t="n"/>
      <c r="E24" s="33" t="n"/>
      <c r="F24" s="35" t="n"/>
      <c r="G24" s="36" t="n"/>
      <c r="H24" s="37" t="n"/>
      <c r="I24" s="38" t="n"/>
      <c r="J24" s="39">
        <f>IF(G24="","",HYPERLINK("https://wa.me/"&amp;G24,"Открыть чат"))</f>
        <v/>
      </c>
    </row>
    <row r="25">
      <c r="A25" s="32" t="n"/>
      <c r="B25" s="33" t="n"/>
      <c r="C25" s="33" t="n"/>
      <c r="D25" s="34" t="n"/>
      <c r="E25" s="33" t="n"/>
      <c r="F25" s="35" t="n"/>
      <c r="G25" s="36" t="n"/>
      <c r="H25" s="37" t="n"/>
      <c r="I25" s="38" t="n"/>
      <c r="J25" s="39">
        <f>IF(G25="","",HYPERLINK("https://wa.me/"&amp;G25,"Открыть чат"))</f>
        <v/>
      </c>
    </row>
    <row r="26">
      <c r="A26" s="32" t="n"/>
      <c r="B26" s="33" t="n"/>
      <c r="C26" s="33" t="n"/>
      <c r="D26" s="34" t="n"/>
      <c r="E26" s="33" t="n"/>
      <c r="F26" s="35" t="n"/>
      <c r="G26" s="36" t="n"/>
      <c r="H26" s="37" t="n"/>
      <c r="I26" s="38" t="n"/>
      <c r="J26" s="39">
        <f>IF(G26="","",HYPERLINK("https://wa.me/"&amp;G26,"Открыть чат"))</f>
        <v/>
      </c>
    </row>
    <row r="27">
      <c r="A27" s="32" t="n"/>
      <c r="B27" s="33" t="n"/>
      <c r="C27" s="33" t="n"/>
      <c r="D27" s="34" t="n"/>
      <c r="E27" s="33" t="n"/>
      <c r="F27" s="35" t="n"/>
      <c r="G27" s="36" t="n"/>
      <c r="H27" s="37" t="n"/>
      <c r="I27" s="38" t="n"/>
      <c r="J27" s="39">
        <f>IF(G27="","",HYPERLINK("https://wa.me/"&amp;G27,"Открыть чат"))</f>
        <v/>
      </c>
    </row>
    <row r="28">
      <c r="A28" s="32" t="n"/>
      <c r="B28" s="33" t="n"/>
      <c r="C28" s="33" t="n"/>
      <c r="D28" s="34" t="n"/>
      <c r="E28" s="33" t="n"/>
      <c r="F28" s="35" t="n"/>
      <c r="G28" s="36" t="n"/>
      <c r="H28" s="37" t="n"/>
      <c r="I28" s="38" t="n"/>
      <c r="J28" s="39">
        <f>IF(G28="","",HYPERLINK("https://wa.me/"&amp;G28,"Открыть чат"))</f>
        <v/>
      </c>
    </row>
    <row r="29">
      <c r="A29" s="32" t="n"/>
      <c r="B29" s="33" t="n"/>
      <c r="C29" s="33" t="n"/>
      <c r="D29" s="34" t="n"/>
      <c r="E29" s="33" t="n"/>
      <c r="F29" s="35" t="n"/>
      <c r="G29" s="36" t="n"/>
      <c r="H29" s="37" t="n"/>
      <c r="I29" s="38" t="n"/>
      <c r="J29" s="39">
        <f>IF(G29="","",HYPERLINK("https://wa.me/"&amp;G29,"Открыть чат"))</f>
        <v/>
      </c>
    </row>
    <row r="30">
      <c r="A30" s="32" t="n"/>
      <c r="B30" s="33" t="n"/>
      <c r="C30" s="33" t="n"/>
      <c r="D30" s="34" t="n"/>
      <c r="E30" s="33" t="n"/>
      <c r="F30" s="35" t="n"/>
      <c r="G30" s="36" t="n"/>
      <c r="H30" s="37" t="n"/>
      <c r="I30" s="38" t="n"/>
      <c r="J30" s="39">
        <f>IF(G30="","",HYPERLINK("https://wa.me/"&amp;G30,"Открыть чат"))</f>
        <v/>
      </c>
    </row>
    <row r="31">
      <c r="A31" s="32" t="n"/>
      <c r="B31" s="33" t="n"/>
      <c r="C31" s="33" t="n"/>
      <c r="D31" s="34" t="n"/>
      <c r="E31" s="33" t="n"/>
      <c r="F31" s="35" t="n"/>
      <c r="G31" s="36" t="n"/>
      <c r="H31" s="37" t="n"/>
      <c r="I31" s="38" t="n"/>
      <c r="J31" s="39">
        <f>IF(G31="","",HYPERLINK("https://wa.me/"&amp;G31,"Открыть чат"))</f>
        <v/>
      </c>
    </row>
    <row r="32">
      <c r="A32" s="32" t="n"/>
      <c r="B32" s="33" t="n"/>
      <c r="C32" s="33" t="n"/>
      <c r="D32" s="34" t="n"/>
      <c r="E32" s="33" t="n"/>
      <c r="F32" s="35" t="n"/>
      <c r="G32" s="36" t="n"/>
      <c r="H32" s="37" t="n"/>
      <c r="I32" s="38" t="n"/>
      <c r="J32" s="39">
        <f>IF(G32="","",HYPERLINK("https://wa.me/"&amp;G32,"Открыть чат"))</f>
        <v/>
      </c>
    </row>
    <row r="33">
      <c r="A33" s="32" t="n"/>
      <c r="B33" s="33" t="n"/>
      <c r="C33" s="33" t="n"/>
      <c r="D33" s="34" t="n"/>
      <c r="E33" s="33" t="n"/>
      <c r="F33" s="35" t="n"/>
      <c r="G33" s="36" t="n"/>
      <c r="H33" s="37" t="n"/>
      <c r="I33" s="38" t="n"/>
      <c r="J33" s="39">
        <f>IF(G33="","",HYPERLINK("https://wa.me/"&amp;G33,"Открыть чат"))</f>
        <v/>
      </c>
    </row>
    <row r="35">
      <c r="A35" s="9" t="inlineStr">
        <is>
          <t>Все мои лиды по этапам</t>
        </is>
      </c>
    </row>
    <row r="36" ht="30" customHeight="1">
      <c r="A36" s="10" t="inlineStr">
        <is>
          <t>Компания</t>
        </is>
      </c>
      <c r="B36" s="10" t="inlineStr">
        <is>
          <t>Этап</t>
        </is>
      </c>
      <c r="C36" s="10" t="inlineStr">
        <is>
          <t>Менеджер</t>
        </is>
      </c>
      <c r="D36" s="10" t="inlineStr">
        <is>
          <t>Следующий контакт</t>
        </is>
      </c>
      <c r="E36" s="10" t="inlineStr">
        <is>
          <t>Срок</t>
        </is>
      </c>
      <c r="F36" s="10" t="inlineStr">
        <is>
          <t>Заметка</t>
        </is>
      </c>
      <c r="G36" s="10" t="inlineStr">
        <is>
          <t>Телефон</t>
        </is>
      </c>
      <c r="H36" s="10" t="inlineStr">
        <is>
          <t>Написали</t>
        </is>
      </c>
      <c r="I36" s="10" t="inlineStr">
        <is>
          <t>ранг</t>
        </is>
      </c>
      <c r="J36" s="10" t="inlineStr">
        <is>
          <t>Чат</t>
        </is>
      </c>
    </row>
    <row r="37">
      <c r="A37" s="32">
        <f>IFERROR(SORT(FILTER('Лиды'!$B$2:$J$2000,('Лиды'!$D$2:$D$2000=$A$1)*('Лиды'!$C$2:$C$2000&lt;&gt;"Очередь")),9,TRUE),"Пока никого: поставь себя в колонке «Менеджер» на листе «Лиды»")</f>
        <v/>
      </c>
      <c r="B37" s="33" t="n"/>
      <c r="C37" s="33" t="n"/>
      <c r="D37" s="34" t="n"/>
      <c r="E37" s="33" t="n"/>
      <c r="F37" s="35" t="n"/>
      <c r="G37" s="36" t="n"/>
      <c r="H37" s="37" t="n"/>
      <c r="I37" s="38" t="n"/>
      <c r="J37" s="39">
        <f>IF(G37="","",HYPERLINK("https://wa.me/"&amp;G37,"Открыть чат"))</f>
        <v/>
      </c>
    </row>
    <row r="38">
      <c r="A38" s="32" t="n"/>
      <c r="B38" s="33" t="n"/>
      <c r="C38" s="33" t="n"/>
      <c r="D38" s="34" t="n"/>
      <c r="E38" s="33" t="n"/>
      <c r="F38" s="35" t="n"/>
      <c r="G38" s="36" t="n"/>
      <c r="H38" s="37" t="n"/>
      <c r="I38" s="38" t="n"/>
      <c r="J38" s="39">
        <f>IF(G38="","",HYPERLINK("https://wa.me/"&amp;G38,"Открыть чат"))</f>
        <v/>
      </c>
    </row>
    <row r="39">
      <c r="A39" s="32" t="n"/>
      <c r="B39" s="33" t="n"/>
      <c r="C39" s="33" t="n"/>
      <c r="D39" s="34" t="n"/>
      <c r="E39" s="33" t="n"/>
      <c r="F39" s="35" t="n"/>
      <c r="G39" s="36" t="n"/>
      <c r="H39" s="37" t="n"/>
      <c r="I39" s="38" t="n"/>
      <c r="J39" s="39">
        <f>IF(G39="","",HYPERLINK("https://wa.me/"&amp;G39,"Открыть чат"))</f>
        <v/>
      </c>
    </row>
    <row r="40">
      <c r="A40" s="32" t="n"/>
      <c r="B40" s="33" t="n"/>
      <c r="C40" s="33" t="n"/>
      <c r="D40" s="34" t="n"/>
      <c r="E40" s="33" t="n"/>
      <c r="F40" s="35" t="n"/>
      <c r="G40" s="36" t="n"/>
      <c r="H40" s="37" t="n"/>
      <c r="I40" s="38" t="n"/>
      <c r="J40" s="39">
        <f>IF(G40="","",HYPERLINK("https://wa.me/"&amp;G40,"Открыть чат"))</f>
        <v/>
      </c>
    </row>
    <row r="41">
      <c r="A41" s="32" t="n"/>
      <c r="B41" s="33" t="n"/>
      <c r="C41" s="33" t="n"/>
      <c r="D41" s="34" t="n"/>
      <c r="E41" s="33" t="n"/>
      <c r="F41" s="35" t="n"/>
      <c r="G41" s="36" t="n"/>
      <c r="H41" s="37" t="n"/>
      <c r="I41" s="38" t="n"/>
      <c r="J41" s="39">
        <f>IF(G41="","",HYPERLINK("https://wa.me/"&amp;G41,"Открыть чат"))</f>
        <v/>
      </c>
    </row>
    <row r="42">
      <c r="A42" s="32" t="n"/>
      <c r="B42" s="33" t="n"/>
      <c r="C42" s="33" t="n"/>
      <c r="D42" s="34" t="n"/>
      <c r="E42" s="33" t="n"/>
      <c r="F42" s="35" t="n"/>
      <c r="G42" s="36" t="n"/>
      <c r="H42" s="37" t="n"/>
      <c r="I42" s="38" t="n"/>
      <c r="J42" s="39">
        <f>IF(G42="","",HYPERLINK("https://wa.me/"&amp;G42,"Открыть чат"))</f>
        <v/>
      </c>
    </row>
    <row r="43">
      <c r="A43" s="32" t="n"/>
      <c r="B43" s="33" t="n"/>
      <c r="C43" s="33" t="n"/>
      <c r="D43" s="34" t="n"/>
      <c r="E43" s="33" t="n"/>
      <c r="F43" s="35" t="n"/>
      <c r="G43" s="36" t="n"/>
      <c r="H43" s="37" t="n"/>
      <c r="I43" s="38" t="n"/>
      <c r="J43" s="39">
        <f>IF(G43="","",HYPERLINK("https://wa.me/"&amp;G43,"Открыть чат"))</f>
        <v/>
      </c>
    </row>
    <row r="44">
      <c r="A44" s="32" t="n"/>
      <c r="B44" s="33" t="n"/>
      <c r="C44" s="33" t="n"/>
      <c r="D44" s="34" t="n"/>
      <c r="E44" s="33" t="n"/>
      <c r="F44" s="35" t="n"/>
      <c r="G44" s="36" t="n"/>
      <c r="H44" s="37" t="n"/>
      <c r="I44" s="38" t="n"/>
      <c r="J44" s="39">
        <f>IF(G44="","",HYPERLINK("https://wa.me/"&amp;G44,"Открыть чат"))</f>
        <v/>
      </c>
    </row>
    <row r="45">
      <c r="A45" s="32" t="n"/>
      <c r="B45" s="33" t="n"/>
      <c r="C45" s="33" t="n"/>
      <c r="D45" s="34" t="n"/>
      <c r="E45" s="33" t="n"/>
      <c r="F45" s="35" t="n"/>
      <c r="G45" s="36" t="n"/>
      <c r="H45" s="37" t="n"/>
      <c r="I45" s="38" t="n"/>
      <c r="J45" s="39">
        <f>IF(G45="","",HYPERLINK("https://wa.me/"&amp;G45,"Открыть чат"))</f>
        <v/>
      </c>
    </row>
    <row r="46">
      <c r="A46" s="32" t="n"/>
      <c r="B46" s="33" t="n"/>
      <c r="C46" s="33" t="n"/>
      <c r="D46" s="34" t="n"/>
      <c r="E46" s="33" t="n"/>
      <c r="F46" s="35" t="n"/>
      <c r="G46" s="36" t="n"/>
      <c r="H46" s="37" t="n"/>
      <c r="I46" s="38" t="n"/>
      <c r="J46" s="39">
        <f>IF(G46="","",HYPERLINK("https://wa.me/"&amp;G46,"Открыть чат"))</f>
        <v/>
      </c>
    </row>
    <row r="47">
      <c r="A47" s="32" t="n"/>
      <c r="B47" s="33" t="n"/>
      <c r="C47" s="33" t="n"/>
      <c r="D47" s="34" t="n"/>
      <c r="E47" s="33" t="n"/>
      <c r="F47" s="35" t="n"/>
      <c r="G47" s="36" t="n"/>
      <c r="H47" s="37" t="n"/>
      <c r="I47" s="38" t="n"/>
      <c r="J47" s="39">
        <f>IF(G47="","",HYPERLINK("https://wa.me/"&amp;G47,"Открыть чат"))</f>
        <v/>
      </c>
    </row>
    <row r="48">
      <c r="A48" s="32" t="n"/>
      <c r="B48" s="33" t="n"/>
      <c r="C48" s="33" t="n"/>
      <c r="D48" s="34" t="n"/>
      <c r="E48" s="33" t="n"/>
      <c r="F48" s="35" t="n"/>
      <c r="G48" s="36" t="n"/>
      <c r="H48" s="37" t="n"/>
      <c r="I48" s="38" t="n"/>
      <c r="J48" s="39">
        <f>IF(G48="","",HYPERLINK("https://wa.me/"&amp;G48,"Открыть чат"))</f>
        <v/>
      </c>
    </row>
    <row r="49">
      <c r="A49" s="32" t="n"/>
      <c r="B49" s="33" t="n"/>
      <c r="C49" s="33" t="n"/>
      <c r="D49" s="34" t="n"/>
      <c r="E49" s="33" t="n"/>
      <c r="F49" s="35" t="n"/>
      <c r="G49" s="36" t="n"/>
      <c r="H49" s="37" t="n"/>
      <c r="I49" s="38" t="n"/>
      <c r="J49" s="39">
        <f>IF(G49="","",HYPERLINK("https://wa.me/"&amp;G49,"Открыть чат"))</f>
        <v/>
      </c>
    </row>
    <row r="50">
      <c r="A50" s="32" t="n"/>
      <c r="B50" s="33" t="n"/>
      <c r="C50" s="33" t="n"/>
      <c r="D50" s="34" t="n"/>
      <c r="E50" s="33" t="n"/>
      <c r="F50" s="35" t="n"/>
      <c r="G50" s="36" t="n"/>
      <c r="H50" s="37" t="n"/>
      <c r="I50" s="38" t="n"/>
      <c r="J50" s="39">
        <f>IF(G50="","",HYPERLINK("https://wa.me/"&amp;G50,"Открыть чат"))</f>
        <v/>
      </c>
    </row>
    <row r="51">
      <c r="A51" s="32" t="n"/>
      <c r="B51" s="33" t="n"/>
      <c r="C51" s="33" t="n"/>
      <c r="D51" s="34" t="n"/>
      <c r="E51" s="33" t="n"/>
      <c r="F51" s="35" t="n"/>
      <c r="G51" s="36" t="n"/>
      <c r="H51" s="37" t="n"/>
      <c r="I51" s="38" t="n"/>
      <c r="J51" s="39">
        <f>IF(G51="","",HYPERLINK("https://wa.me/"&amp;G51,"Открыть чат"))</f>
        <v/>
      </c>
    </row>
    <row r="52">
      <c r="A52" s="32" t="n"/>
      <c r="B52" s="33" t="n"/>
      <c r="C52" s="33" t="n"/>
      <c r="D52" s="34" t="n"/>
      <c r="E52" s="33" t="n"/>
      <c r="F52" s="35" t="n"/>
      <c r="G52" s="36" t="n"/>
      <c r="H52" s="37" t="n"/>
      <c r="I52" s="38" t="n"/>
      <c r="J52" s="39">
        <f>IF(G52="","",HYPERLINK("https://wa.me/"&amp;G52,"Открыть чат"))</f>
        <v/>
      </c>
    </row>
    <row r="53">
      <c r="A53" s="32" t="n"/>
      <c r="B53" s="33" t="n"/>
      <c r="C53" s="33" t="n"/>
      <c r="D53" s="34" t="n"/>
      <c r="E53" s="33" t="n"/>
      <c r="F53" s="35" t="n"/>
      <c r="G53" s="36" t="n"/>
      <c r="H53" s="37" t="n"/>
      <c r="I53" s="38" t="n"/>
      <c r="J53" s="39">
        <f>IF(G53="","",HYPERLINK("https://wa.me/"&amp;G53,"Открыть чат"))</f>
        <v/>
      </c>
    </row>
    <row r="54">
      <c r="A54" s="32" t="n"/>
      <c r="B54" s="33" t="n"/>
      <c r="C54" s="33" t="n"/>
      <c r="D54" s="34" t="n"/>
      <c r="E54" s="33" t="n"/>
      <c r="F54" s="35" t="n"/>
      <c r="G54" s="36" t="n"/>
      <c r="H54" s="37" t="n"/>
      <c r="I54" s="38" t="n"/>
      <c r="J54" s="39">
        <f>IF(G54="","",HYPERLINK("https://wa.me/"&amp;G54,"Открыть чат"))</f>
        <v/>
      </c>
    </row>
    <row r="55">
      <c r="A55" s="32" t="n"/>
      <c r="B55" s="33" t="n"/>
      <c r="C55" s="33" t="n"/>
      <c r="D55" s="34" t="n"/>
      <c r="E55" s="33" t="n"/>
      <c r="F55" s="35" t="n"/>
      <c r="G55" s="36" t="n"/>
      <c r="H55" s="37" t="n"/>
      <c r="I55" s="38" t="n"/>
      <c r="J55" s="39">
        <f>IF(G55="","",HYPERLINK("https://wa.me/"&amp;G55,"Открыть чат"))</f>
        <v/>
      </c>
    </row>
    <row r="56">
      <c r="A56" s="32" t="n"/>
      <c r="B56" s="33" t="n"/>
      <c r="C56" s="33" t="n"/>
      <c r="D56" s="34" t="n"/>
      <c r="E56" s="33" t="n"/>
      <c r="F56" s="35" t="n"/>
      <c r="G56" s="36" t="n"/>
      <c r="H56" s="37" t="n"/>
      <c r="I56" s="38" t="n"/>
      <c r="J56" s="39">
        <f>IF(G56="","",HYPERLINK("https://wa.me/"&amp;G56,"Открыть чат"))</f>
        <v/>
      </c>
    </row>
    <row r="57">
      <c r="A57" s="32" t="n"/>
      <c r="B57" s="33" t="n"/>
      <c r="C57" s="33" t="n"/>
      <c r="D57" s="34" t="n"/>
      <c r="E57" s="33" t="n"/>
      <c r="F57" s="35" t="n"/>
      <c r="G57" s="36" t="n"/>
      <c r="H57" s="37" t="n"/>
      <c r="I57" s="38" t="n"/>
      <c r="J57" s="39">
        <f>IF(G57="","",HYPERLINK("https://wa.me/"&amp;G57,"Открыть чат"))</f>
        <v/>
      </c>
    </row>
    <row r="58">
      <c r="A58" s="32" t="n"/>
      <c r="B58" s="33" t="n"/>
      <c r="C58" s="33" t="n"/>
      <c r="D58" s="34" t="n"/>
      <c r="E58" s="33" t="n"/>
      <c r="F58" s="35" t="n"/>
      <c r="G58" s="36" t="n"/>
      <c r="H58" s="37" t="n"/>
      <c r="I58" s="38" t="n"/>
      <c r="J58" s="39">
        <f>IF(G58="","",HYPERLINK("https://wa.me/"&amp;G58,"Открыть чат"))</f>
        <v/>
      </c>
    </row>
    <row r="59">
      <c r="A59" s="32" t="n"/>
      <c r="B59" s="33" t="n"/>
      <c r="C59" s="33" t="n"/>
      <c r="D59" s="34" t="n"/>
      <c r="E59" s="33" t="n"/>
      <c r="F59" s="35" t="n"/>
      <c r="G59" s="36" t="n"/>
      <c r="H59" s="37" t="n"/>
      <c r="I59" s="38" t="n"/>
      <c r="J59" s="39">
        <f>IF(G59="","",HYPERLINK("https://wa.me/"&amp;G59,"Открыть чат"))</f>
        <v/>
      </c>
    </row>
    <row r="60">
      <c r="A60" s="32" t="n"/>
      <c r="B60" s="33" t="n"/>
      <c r="C60" s="33" t="n"/>
      <c r="D60" s="34" t="n"/>
      <c r="E60" s="33" t="n"/>
      <c r="F60" s="35" t="n"/>
      <c r="G60" s="36" t="n"/>
      <c r="H60" s="37" t="n"/>
      <c r="I60" s="38" t="n"/>
      <c r="J60" s="39">
        <f>IF(G60="","",HYPERLINK("https://wa.me/"&amp;G60,"Открыть чат"))</f>
        <v/>
      </c>
    </row>
    <row r="61">
      <c r="A61" s="32" t="n"/>
      <c r="B61" s="33" t="n"/>
      <c r="C61" s="33" t="n"/>
      <c r="D61" s="34" t="n"/>
      <c r="E61" s="33" t="n"/>
      <c r="F61" s="35" t="n"/>
      <c r="G61" s="36" t="n"/>
      <c r="H61" s="37" t="n"/>
      <c r="I61" s="38" t="n"/>
      <c r="J61" s="39">
        <f>IF(G61="","",HYPERLINK("https://wa.me/"&amp;G61,"Открыть чат"))</f>
        <v/>
      </c>
    </row>
    <row r="62">
      <c r="A62" s="32" t="n"/>
      <c r="B62" s="33" t="n"/>
      <c r="C62" s="33" t="n"/>
      <c r="D62" s="34" t="n"/>
      <c r="E62" s="33" t="n"/>
      <c r="F62" s="35" t="n"/>
      <c r="G62" s="36" t="n"/>
      <c r="H62" s="37" t="n"/>
      <c r="I62" s="38" t="n"/>
      <c r="J62" s="39">
        <f>IF(G62="","",HYPERLINK("https://wa.me/"&amp;G62,"Открыть чат"))</f>
        <v/>
      </c>
    </row>
    <row r="63">
      <c r="A63" s="32" t="n"/>
      <c r="B63" s="33" t="n"/>
      <c r="C63" s="33" t="n"/>
      <c r="D63" s="34" t="n"/>
      <c r="E63" s="33" t="n"/>
      <c r="F63" s="35" t="n"/>
      <c r="G63" s="36" t="n"/>
      <c r="H63" s="37" t="n"/>
      <c r="I63" s="38" t="n"/>
      <c r="J63" s="39">
        <f>IF(G63="","",HYPERLINK("https://wa.me/"&amp;G63,"Открыть чат"))</f>
        <v/>
      </c>
    </row>
    <row r="64">
      <c r="A64" s="32" t="n"/>
      <c r="B64" s="33" t="n"/>
      <c r="C64" s="33" t="n"/>
      <c r="D64" s="34" t="n"/>
      <c r="E64" s="33" t="n"/>
      <c r="F64" s="35" t="n"/>
      <c r="G64" s="36" t="n"/>
      <c r="H64" s="37" t="n"/>
      <c r="I64" s="38" t="n"/>
      <c r="J64" s="39">
        <f>IF(G64="","",HYPERLINK("https://wa.me/"&amp;G64,"Открыть чат"))</f>
        <v/>
      </c>
    </row>
    <row r="65">
      <c r="A65" s="32" t="n"/>
      <c r="B65" s="33" t="n"/>
      <c r="C65" s="33" t="n"/>
      <c r="D65" s="34" t="n"/>
      <c r="E65" s="33" t="n"/>
      <c r="F65" s="35" t="n"/>
      <c r="G65" s="36" t="n"/>
      <c r="H65" s="37" t="n"/>
      <c r="I65" s="38" t="n"/>
      <c r="J65" s="39">
        <f>IF(G65="","",HYPERLINK("https://wa.me/"&amp;G65,"Открыть чат"))</f>
        <v/>
      </c>
    </row>
    <row r="66">
      <c r="A66" s="32" t="n"/>
      <c r="B66" s="33" t="n"/>
      <c r="C66" s="33" t="n"/>
      <c r="D66" s="34" t="n"/>
      <c r="E66" s="33" t="n"/>
      <c r="F66" s="35" t="n"/>
      <c r="G66" s="36" t="n"/>
      <c r="H66" s="37" t="n"/>
      <c r="I66" s="38" t="n"/>
      <c r="J66" s="39">
        <f>IF(G66="","",HYPERLINK("https://wa.me/"&amp;G66,"Открыть чат"))</f>
        <v/>
      </c>
    </row>
    <row r="67">
      <c r="A67" s="32" t="n"/>
      <c r="B67" s="33" t="n"/>
      <c r="C67" s="33" t="n"/>
      <c r="D67" s="34" t="n"/>
      <c r="E67" s="33" t="n"/>
      <c r="F67" s="35" t="n"/>
      <c r="G67" s="36" t="n"/>
      <c r="H67" s="37" t="n"/>
      <c r="I67" s="38" t="n"/>
      <c r="J67" s="39">
        <f>IF(G67="","",HYPERLINK("https://wa.me/"&amp;G67,"Открыть чат"))</f>
        <v/>
      </c>
    </row>
    <row r="68">
      <c r="A68" s="32" t="n"/>
      <c r="B68" s="33" t="n"/>
      <c r="C68" s="33" t="n"/>
      <c r="D68" s="34" t="n"/>
      <c r="E68" s="33" t="n"/>
      <c r="F68" s="35" t="n"/>
      <c r="G68" s="36" t="n"/>
      <c r="H68" s="37" t="n"/>
      <c r="I68" s="38" t="n"/>
      <c r="J68" s="39">
        <f>IF(G68="","",HYPERLINK("https://wa.me/"&amp;G68,"Открыть чат"))</f>
        <v/>
      </c>
    </row>
    <row r="69">
      <c r="A69" s="32" t="n"/>
      <c r="B69" s="33" t="n"/>
      <c r="C69" s="33" t="n"/>
      <c r="D69" s="34" t="n"/>
      <c r="E69" s="33" t="n"/>
      <c r="F69" s="35" t="n"/>
      <c r="G69" s="36" t="n"/>
      <c r="H69" s="37" t="n"/>
      <c r="I69" s="38" t="n"/>
      <c r="J69" s="39">
        <f>IF(G69="","",HYPERLINK("https://wa.me/"&amp;G69,"Открыть чат"))</f>
        <v/>
      </c>
    </row>
    <row r="70">
      <c r="A70" s="32" t="n"/>
      <c r="B70" s="33" t="n"/>
      <c r="C70" s="33" t="n"/>
      <c r="D70" s="34" t="n"/>
      <c r="E70" s="33" t="n"/>
      <c r="F70" s="35" t="n"/>
      <c r="G70" s="36" t="n"/>
      <c r="H70" s="37" t="n"/>
      <c r="I70" s="38" t="n"/>
      <c r="J70" s="39">
        <f>IF(G70="","",HYPERLINK("https://wa.me/"&amp;G70,"Открыть чат"))</f>
        <v/>
      </c>
    </row>
    <row r="71">
      <c r="A71" s="32" t="n"/>
      <c r="B71" s="33" t="n"/>
      <c r="C71" s="33" t="n"/>
      <c r="D71" s="34" t="n"/>
      <c r="E71" s="33" t="n"/>
      <c r="F71" s="35" t="n"/>
      <c r="G71" s="36" t="n"/>
      <c r="H71" s="37" t="n"/>
      <c r="I71" s="38" t="n"/>
      <c r="J71" s="39">
        <f>IF(G71="","",HYPERLINK("https://wa.me/"&amp;G71,"Открыть чат"))</f>
        <v/>
      </c>
    </row>
    <row r="72">
      <c r="A72" s="32" t="n"/>
      <c r="B72" s="33" t="n"/>
      <c r="C72" s="33" t="n"/>
      <c r="D72" s="34" t="n"/>
      <c r="E72" s="33" t="n"/>
      <c r="F72" s="35" t="n"/>
      <c r="G72" s="36" t="n"/>
      <c r="H72" s="37" t="n"/>
      <c r="I72" s="38" t="n"/>
      <c r="J72" s="39">
        <f>IF(G72="","",HYPERLINK("https://wa.me/"&amp;G72,"Открыть чат"))</f>
        <v/>
      </c>
    </row>
    <row r="73">
      <c r="A73" s="32" t="n"/>
      <c r="B73" s="33" t="n"/>
      <c r="C73" s="33" t="n"/>
      <c r="D73" s="34" t="n"/>
      <c r="E73" s="33" t="n"/>
      <c r="F73" s="35" t="n"/>
      <c r="G73" s="36" t="n"/>
      <c r="H73" s="37" t="n"/>
      <c r="I73" s="38" t="n"/>
      <c r="J73" s="39">
        <f>IF(G73="","",HYPERLINK("https://wa.me/"&amp;G73,"Открыть чат"))</f>
        <v/>
      </c>
    </row>
    <row r="74">
      <c r="A74" s="32" t="n"/>
      <c r="B74" s="33" t="n"/>
      <c r="C74" s="33" t="n"/>
      <c r="D74" s="34" t="n"/>
      <c r="E74" s="33" t="n"/>
      <c r="F74" s="35" t="n"/>
      <c r="G74" s="36" t="n"/>
      <c r="H74" s="37" t="n"/>
      <c r="I74" s="38" t="n"/>
      <c r="J74" s="39">
        <f>IF(G74="","",HYPERLINK("https://wa.me/"&amp;G74,"Открыть чат"))</f>
        <v/>
      </c>
    </row>
    <row r="75">
      <c r="A75" s="32" t="n"/>
      <c r="B75" s="33" t="n"/>
      <c r="C75" s="33" t="n"/>
      <c r="D75" s="34" t="n"/>
      <c r="E75" s="33" t="n"/>
      <c r="F75" s="35" t="n"/>
      <c r="G75" s="36" t="n"/>
      <c r="H75" s="37" t="n"/>
      <c r="I75" s="38" t="n"/>
      <c r="J75" s="39">
        <f>IF(G75="","",HYPERLINK("https://wa.me/"&amp;G75,"Открыть чат"))</f>
        <v/>
      </c>
    </row>
    <row r="76">
      <c r="A76" s="32" t="n"/>
      <c r="B76" s="33" t="n"/>
      <c r="C76" s="33" t="n"/>
      <c r="D76" s="34" t="n"/>
      <c r="E76" s="33" t="n"/>
      <c r="F76" s="35" t="n"/>
      <c r="G76" s="36" t="n"/>
      <c r="H76" s="37" t="n"/>
      <c r="I76" s="38" t="n"/>
      <c r="J76" s="39">
        <f>IF(G76="","",HYPERLINK("https://wa.me/"&amp;G76,"Открыть чат"))</f>
        <v/>
      </c>
    </row>
    <row r="77">
      <c r="A77" s="32" t="n"/>
      <c r="B77" s="33" t="n"/>
      <c r="C77" s="33" t="n"/>
      <c r="D77" s="34" t="n"/>
      <c r="E77" s="33" t="n"/>
      <c r="F77" s="35" t="n"/>
      <c r="G77" s="36" t="n"/>
      <c r="H77" s="37" t="n"/>
      <c r="I77" s="38" t="n"/>
      <c r="J77" s="39">
        <f>IF(G77="","",HYPERLINK("https://wa.me/"&amp;G77,"Открыть чат"))</f>
        <v/>
      </c>
    </row>
    <row r="78">
      <c r="A78" s="32" t="n"/>
      <c r="B78" s="33" t="n"/>
      <c r="C78" s="33" t="n"/>
      <c r="D78" s="34" t="n"/>
      <c r="E78" s="33" t="n"/>
      <c r="F78" s="35" t="n"/>
      <c r="G78" s="36" t="n"/>
      <c r="H78" s="37" t="n"/>
      <c r="I78" s="38" t="n"/>
      <c r="J78" s="39">
        <f>IF(G78="","",HYPERLINK("https://wa.me/"&amp;G78,"Открыть чат"))</f>
        <v/>
      </c>
    </row>
    <row r="79">
      <c r="A79" s="32" t="n"/>
      <c r="B79" s="33" t="n"/>
      <c r="C79" s="33" t="n"/>
      <c r="D79" s="34" t="n"/>
      <c r="E79" s="33" t="n"/>
      <c r="F79" s="35" t="n"/>
      <c r="G79" s="36" t="n"/>
      <c r="H79" s="37" t="n"/>
      <c r="I79" s="38" t="n"/>
      <c r="J79" s="39">
        <f>IF(G79="","",HYPERLINK("https://wa.me/"&amp;G79,"Открыть чат"))</f>
        <v/>
      </c>
    </row>
    <row r="80">
      <c r="A80" s="32" t="n"/>
      <c r="B80" s="33" t="n"/>
      <c r="C80" s="33" t="n"/>
      <c r="D80" s="34" t="n"/>
      <c r="E80" s="33" t="n"/>
      <c r="F80" s="35" t="n"/>
      <c r="G80" s="36" t="n"/>
      <c r="H80" s="37" t="n"/>
      <c r="I80" s="38" t="n"/>
      <c r="J80" s="39">
        <f>IF(G80="","",HYPERLINK("https://wa.me/"&amp;G80,"Открыть чат"))</f>
        <v/>
      </c>
    </row>
    <row r="81">
      <c r="A81" s="32" t="n"/>
      <c r="B81" s="33" t="n"/>
      <c r="C81" s="33" t="n"/>
      <c r="D81" s="34" t="n"/>
      <c r="E81" s="33" t="n"/>
      <c r="F81" s="35" t="n"/>
      <c r="G81" s="36" t="n"/>
      <c r="H81" s="37" t="n"/>
      <c r="I81" s="38" t="n"/>
      <c r="J81" s="39">
        <f>IF(G81="","",HYPERLINK("https://wa.me/"&amp;G81,"Открыть чат"))</f>
        <v/>
      </c>
    </row>
    <row r="82">
      <c r="A82" s="32" t="n"/>
      <c r="B82" s="33" t="n"/>
      <c r="C82" s="33" t="n"/>
      <c r="D82" s="34" t="n"/>
      <c r="E82" s="33" t="n"/>
      <c r="F82" s="35" t="n"/>
      <c r="G82" s="36" t="n"/>
      <c r="H82" s="37" t="n"/>
      <c r="I82" s="38" t="n"/>
      <c r="J82" s="39">
        <f>IF(G82="","",HYPERLINK("https://wa.me/"&amp;G82,"Открыть чат"))</f>
        <v/>
      </c>
    </row>
    <row r="83">
      <c r="A83" s="32" t="n"/>
      <c r="B83" s="33" t="n"/>
      <c r="C83" s="33" t="n"/>
      <c r="D83" s="34" t="n"/>
      <c r="E83" s="33" t="n"/>
      <c r="F83" s="35" t="n"/>
      <c r="G83" s="36" t="n"/>
      <c r="H83" s="37" t="n"/>
      <c r="I83" s="38" t="n"/>
      <c r="J83" s="39">
        <f>IF(G83="","",HYPERLINK("https://wa.me/"&amp;G83,"Открыть чат"))</f>
        <v/>
      </c>
    </row>
    <row r="84">
      <c r="A84" s="32" t="n"/>
      <c r="B84" s="33" t="n"/>
      <c r="C84" s="33" t="n"/>
      <c r="D84" s="34" t="n"/>
      <c r="E84" s="33" t="n"/>
      <c r="F84" s="35" t="n"/>
      <c r="G84" s="36" t="n"/>
      <c r="H84" s="37" t="n"/>
      <c r="I84" s="38" t="n"/>
      <c r="J84" s="39">
        <f>IF(G84="","",HYPERLINK("https://wa.me/"&amp;G84,"Открыть чат"))</f>
        <v/>
      </c>
    </row>
    <row r="85">
      <c r="A85" s="32" t="n"/>
      <c r="B85" s="33" t="n"/>
      <c r="C85" s="33" t="n"/>
      <c r="D85" s="34" t="n"/>
      <c r="E85" s="33" t="n"/>
      <c r="F85" s="35" t="n"/>
      <c r="G85" s="36" t="n"/>
      <c r="H85" s="37" t="n"/>
      <c r="I85" s="38" t="n"/>
      <c r="J85" s="39">
        <f>IF(G85="","",HYPERLINK("https://wa.me/"&amp;G85,"Открыть чат"))</f>
        <v/>
      </c>
    </row>
    <row r="86">
      <c r="A86" s="32" t="n"/>
      <c r="B86" s="33" t="n"/>
      <c r="C86" s="33" t="n"/>
      <c r="D86" s="34" t="n"/>
      <c r="E86" s="33" t="n"/>
      <c r="F86" s="35" t="n"/>
      <c r="G86" s="36" t="n"/>
      <c r="H86" s="37" t="n"/>
      <c r="I86" s="38" t="n"/>
      <c r="J86" s="39">
        <f>IF(G86="","",HYPERLINK("https://wa.me/"&amp;G86,"Открыть чат"))</f>
        <v/>
      </c>
    </row>
    <row r="87">
      <c r="A87" s="32" t="n"/>
      <c r="B87" s="33" t="n"/>
      <c r="C87" s="33" t="n"/>
      <c r="D87" s="34" t="n"/>
      <c r="E87" s="33" t="n"/>
      <c r="F87" s="35" t="n"/>
      <c r="G87" s="36" t="n"/>
      <c r="H87" s="37" t="n"/>
      <c r="I87" s="38" t="n"/>
      <c r="J87" s="39">
        <f>IF(G87="","",HYPERLINK("https://wa.me/"&amp;G87,"Открыть чат"))</f>
        <v/>
      </c>
    </row>
    <row r="88">
      <c r="A88" s="32" t="n"/>
      <c r="B88" s="33" t="n"/>
      <c r="C88" s="33" t="n"/>
      <c r="D88" s="34" t="n"/>
      <c r="E88" s="33" t="n"/>
      <c r="F88" s="35" t="n"/>
      <c r="G88" s="36" t="n"/>
      <c r="H88" s="37" t="n"/>
      <c r="I88" s="38" t="n"/>
      <c r="J88" s="39">
        <f>IF(G88="","",HYPERLINK("https://wa.me/"&amp;G88,"Открыть чат"))</f>
        <v/>
      </c>
    </row>
    <row r="89">
      <c r="A89" s="32" t="n"/>
      <c r="B89" s="33" t="n"/>
      <c r="C89" s="33" t="n"/>
      <c r="D89" s="34" t="n"/>
      <c r="E89" s="33" t="n"/>
      <c r="F89" s="35" t="n"/>
      <c r="G89" s="36" t="n"/>
      <c r="H89" s="37" t="n"/>
      <c r="I89" s="38" t="n"/>
      <c r="J89" s="39">
        <f>IF(G89="","",HYPERLINK("https://wa.me/"&amp;G89,"Открыть чат"))</f>
        <v/>
      </c>
    </row>
    <row r="90">
      <c r="A90" s="32" t="n"/>
      <c r="B90" s="33" t="n"/>
      <c r="C90" s="33" t="n"/>
      <c r="D90" s="34" t="n"/>
      <c r="E90" s="33" t="n"/>
      <c r="F90" s="35" t="n"/>
      <c r="G90" s="36" t="n"/>
      <c r="H90" s="37" t="n"/>
      <c r="I90" s="38" t="n"/>
      <c r="J90" s="39">
        <f>IF(G90="","",HYPERLINK("https://wa.me/"&amp;G90,"Открыть чат"))</f>
        <v/>
      </c>
    </row>
    <row r="91">
      <c r="A91" s="32" t="n"/>
      <c r="B91" s="33" t="n"/>
      <c r="C91" s="33" t="n"/>
      <c r="D91" s="34" t="n"/>
      <c r="E91" s="33" t="n"/>
      <c r="F91" s="35" t="n"/>
      <c r="G91" s="36" t="n"/>
      <c r="H91" s="37" t="n"/>
      <c r="I91" s="38" t="n"/>
      <c r="J91" s="39">
        <f>IF(G91="","",HYPERLINK("https://wa.me/"&amp;G91,"Открыть чат"))</f>
        <v/>
      </c>
    </row>
    <row r="92">
      <c r="A92" s="32" t="n"/>
      <c r="B92" s="33" t="n"/>
      <c r="C92" s="33" t="n"/>
      <c r="D92" s="34" t="n"/>
      <c r="E92" s="33" t="n"/>
      <c r="F92" s="35" t="n"/>
      <c r="G92" s="36" t="n"/>
      <c r="H92" s="37" t="n"/>
      <c r="I92" s="38" t="n"/>
      <c r="J92" s="39">
        <f>IF(G92="","",HYPERLINK("https://wa.me/"&amp;G92,"Открыть чат"))</f>
        <v/>
      </c>
    </row>
    <row r="93">
      <c r="A93" s="32" t="n"/>
      <c r="B93" s="33" t="n"/>
      <c r="C93" s="33" t="n"/>
      <c r="D93" s="34" t="n"/>
      <c r="E93" s="33" t="n"/>
      <c r="F93" s="35" t="n"/>
      <c r="G93" s="36" t="n"/>
      <c r="H93" s="37" t="n"/>
      <c r="I93" s="38" t="n"/>
      <c r="J93" s="39">
        <f>IF(G93="","",HYPERLINK("https://wa.me/"&amp;G93,"Открыть чат"))</f>
        <v/>
      </c>
    </row>
    <row r="94">
      <c r="A94" s="32" t="n"/>
      <c r="B94" s="33" t="n"/>
      <c r="C94" s="33" t="n"/>
      <c r="D94" s="34" t="n"/>
      <c r="E94" s="33" t="n"/>
      <c r="F94" s="35" t="n"/>
      <c r="G94" s="36" t="n"/>
      <c r="H94" s="37" t="n"/>
      <c r="I94" s="38" t="n"/>
      <c r="J94" s="39">
        <f>IF(G94="","",HYPERLINK("https://wa.me/"&amp;G94,"Открыть чат"))</f>
        <v/>
      </c>
    </row>
    <row r="95">
      <c r="A95" s="32" t="n"/>
      <c r="B95" s="33" t="n"/>
      <c r="C95" s="33" t="n"/>
      <c r="D95" s="34" t="n"/>
      <c r="E95" s="33" t="n"/>
      <c r="F95" s="35" t="n"/>
      <c r="G95" s="36" t="n"/>
      <c r="H95" s="37" t="n"/>
      <c r="I95" s="38" t="n"/>
      <c r="J95" s="39">
        <f>IF(G95="","",HYPERLINK("https://wa.me/"&amp;G95,"Открыть чат"))</f>
        <v/>
      </c>
    </row>
    <row r="96">
      <c r="A96" s="32" t="n"/>
      <c r="B96" s="33" t="n"/>
      <c r="C96" s="33" t="n"/>
      <c r="D96" s="34" t="n"/>
      <c r="E96" s="33" t="n"/>
      <c r="F96" s="35" t="n"/>
      <c r="G96" s="36" t="n"/>
      <c r="H96" s="37" t="n"/>
      <c r="I96" s="38" t="n"/>
      <c r="J96" s="39">
        <f>IF(G96="","",HYPERLINK("https://wa.me/"&amp;G96,"Открыть чат"))</f>
        <v/>
      </c>
    </row>
    <row r="97">
      <c r="A97" s="32" t="n"/>
      <c r="B97" s="33" t="n"/>
      <c r="C97" s="33" t="n"/>
      <c r="D97" s="34" t="n"/>
      <c r="E97" s="33" t="n"/>
      <c r="F97" s="35" t="n"/>
      <c r="G97" s="36" t="n"/>
      <c r="H97" s="37" t="n"/>
      <c r="I97" s="38" t="n"/>
      <c r="J97" s="39">
        <f>IF(G97="","",HYPERLINK("https://wa.me/"&amp;G97,"Открыть чат"))</f>
        <v/>
      </c>
    </row>
    <row r="98">
      <c r="A98" s="32" t="n"/>
      <c r="B98" s="33" t="n"/>
      <c r="C98" s="33" t="n"/>
      <c r="D98" s="34" t="n"/>
      <c r="E98" s="33" t="n"/>
      <c r="F98" s="35" t="n"/>
      <c r="G98" s="36" t="n"/>
      <c r="H98" s="37" t="n"/>
      <c r="I98" s="38" t="n"/>
      <c r="J98" s="39">
        <f>IF(G98="","",HYPERLINK("https://wa.me/"&amp;G98,"Открыть чат"))</f>
        <v/>
      </c>
    </row>
    <row r="99">
      <c r="A99" s="32" t="n"/>
      <c r="B99" s="33" t="n"/>
      <c r="C99" s="33" t="n"/>
      <c r="D99" s="34" t="n"/>
      <c r="E99" s="33" t="n"/>
      <c r="F99" s="35" t="n"/>
      <c r="G99" s="36" t="n"/>
      <c r="H99" s="37" t="n"/>
      <c r="I99" s="38" t="n"/>
      <c r="J99" s="39">
        <f>IF(G99="","",HYPERLINK("https://wa.me/"&amp;G99,"Открыть чат"))</f>
        <v/>
      </c>
    </row>
    <row r="100">
      <c r="A100" s="32" t="n"/>
      <c r="B100" s="33" t="n"/>
      <c r="C100" s="33" t="n"/>
      <c r="D100" s="34" t="n"/>
      <c r="E100" s="33" t="n"/>
      <c r="F100" s="35" t="n"/>
      <c r="G100" s="36" t="n"/>
      <c r="H100" s="37" t="n"/>
      <c r="I100" s="38" t="n"/>
      <c r="J100" s="39">
        <f>IF(G100="","",HYPERLINK("https://wa.me/"&amp;G100,"Открыть чат"))</f>
        <v/>
      </c>
    </row>
    <row r="101">
      <c r="A101" s="32" t="n"/>
      <c r="B101" s="33" t="n"/>
      <c r="C101" s="33" t="n"/>
      <c r="D101" s="34" t="n"/>
      <c r="E101" s="33" t="n"/>
      <c r="F101" s="35" t="n"/>
      <c r="G101" s="36" t="n"/>
      <c r="H101" s="37" t="n"/>
      <c r="I101" s="38" t="n"/>
      <c r="J101" s="39">
        <f>IF(G101="","",HYPERLINK("https://wa.me/"&amp;G101,"Открыть чат"))</f>
        <v/>
      </c>
    </row>
    <row r="102">
      <c r="A102" s="32" t="n"/>
      <c r="B102" s="33" t="n"/>
      <c r="C102" s="33" t="n"/>
      <c r="D102" s="34" t="n"/>
      <c r="E102" s="33" t="n"/>
      <c r="F102" s="35" t="n"/>
      <c r="G102" s="36" t="n"/>
      <c r="H102" s="37" t="n"/>
      <c r="I102" s="38" t="n"/>
      <c r="J102" s="39">
        <f>IF(G102="","",HYPERLINK("https://wa.me/"&amp;G102,"Открыть чат"))</f>
        <v/>
      </c>
    </row>
    <row r="103">
      <c r="A103" s="32" t="n"/>
      <c r="B103" s="33" t="n"/>
      <c r="C103" s="33" t="n"/>
      <c r="D103" s="34" t="n"/>
      <c r="E103" s="33" t="n"/>
      <c r="F103" s="35" t="n"/>
      <c r="G103" s="36" t="n"/>
      <c r="H103" s="37" t="n"/>
      <c r="I103" s="38" t="n"/>
      <c r="J103" s="39">
        <f>IF(G103="","",HYPERLINK("https://wa.me/"&amp;G103,"Открыть чат"))</f>
        <v/>
      </c>
    </row>
    <row r="104">
      <c r="A104" s="32" t="n"/>
      <c r="B104" s="33" t="n"/>
      <c r="C104" s="33" t="n"/>
      <c r="D104" s="34" t="n"/>
      <c r="E104" s="33" t="n"/>
      <c r="F104" s="35" t="n"/>
      <c r="G104" s="36" t="n"/>
      <c r="H104" s="37" t="n"/>
      <c r="I104" s="38" t="n"/>
      <c r="J104" s="39">
        <f>IF(G104="","",HYPERLINK("https://wa.me/"&amp;G104,"Открыть чат"))</f>
        <v/>
      </c>
    </row>
    <row r="105">
      <c r="A105" s="32" t="n"/>
      <c r="B105" s="33" t="n"/>
      <c r="C105" s="33" t="n"/>
      <c r="D105" s="34" t="n"/>
      <c r="E105" s="33" t="n"/>
      <c r="F105" s="35" t="n"/>
      <c r="G105" s="36" t="n"/>
      <c r="H105" s="37" t="n"/>
      <c r="I105" s="38" t="n"/>
      <c r="J105" s="39">
        <f>IF(G105="","",HYPERLINK("https://wa.me/"&amp;G105,"Открыть чат"))</f>
        <v/>
      </c>
    </row>
    <row r="106">
      <c r="A106" s="32" t="n"/>
      <c r="B106" s="33" t="n"/>
      <c r="C106" s="33" t="n"/>
      <c r="D106" s="34" t="n"/>
      <c r="E106" s="33" t="n"/>
      <c r="F106" s="35" t="n"/>
      <c r="G106" s="36" t="n"/>
      <c r="H106" s="37" t="n"/>
      <c r="I106" s="38" t="n"/>
      <c r="J106" s="39">
        <f>IF(G106="","",HYPERLINK("https://wa.me/"&amp;G106,"Открыть чат"))</f>
        <v/>
      </c>
    </row>
    <row r="107">
      <c r="A107" s="32" t="n"/>
      <c r="B107" s="33" t="n"/>
      <c r="C107" s="33" t="n"/>
      <c r="D107" s="34" t="n"/>
      <c r="E107" s="33" t="n"/>
      <c r="F107" s="35" t="n"/>
      <c r="G107" s="36" t="n"/>
      <c r="H107" s="37" t="n"/>
      <c r="I107" s="38" t="n"/>
      <c r="J107" s="39">
        <f>IF(G107="","",HYPERLINK("https://wa.me/"&amp;G107,"Открыть чат"))</f>
        <v/>
      </c>
    </row>
    <row r="108">
      <c r="A108" s="32" t="n"/>
      <c r="B108" s="33" t="n"/>
      <c r="C108" s="33" t="n"/>
      <c r="D108" s="34" t="n"/>
      <c r="E108" s="33" t="n"/>
      <c r="F108" s="35" t="n"/>
      <c r="G108" s="36" t="n"/>
      <c r="H108" s="37" t="n"/>
      <c r="I108" s="38" t="n"/>
      <c r="J108" s="39">
        <f>IF(G108="","",HYPERLINK("https://wa.me/"&amp;G108,"Открыть чат"))</f>
        <v/>
      </c>
    </row>
    <row r="109">
      <c r="A109" s="32" t="n"/>
      <c r="B109" s="33" t="n"/>
      <c r="C109" s="33" t="n"/>
      <c r="D109" s="34" t="n"/>
      <c r="E109" s="33" t="n"/>
      <c r="F109" s="35" t="n"/>
      <c r="G109" s="36" t="n"/>
      <c r="H109" s="37" t="n"/>
      <c r="I109" s="38" t="n"/>
      <c r="J109" s="39">
        <f>IF(G109="","",HYPERLINK("https://wa.me/"&amp;G109,"Открыть чат"))</f>
        <v/>
      </c>
    </row>
    <row r="110">
      <c r="A110" s="32" t="n"/>
      <c r="B110" s="33" t="n"/>
      <c r="C110" s="33" t="n"/>
      <c r="D110" s="34" t="n"/>
      <c r="E110" s="33" t="n"/>
      <c r="F110" s="35" t="n"/>
      <c r="G110" s="36" t="n"/>
      <c r="H110" s="37" t="n"/>
      <c r="I110" s="38" t="n"/>
      <c r="J110" s="39">
        <f>IF(G110="","",HYPERLINK("https://wa.me/"&amp;G110,"Открыть чат"))</f>
        <v/>
      </c>
    </row>
    <row r="111">
      <c r="A111" s="32" t="n"/>
      <c r="B111" s="33" t="n"/>
      <c r="C111" s="33" t="n"/>
      <c r="D111" s="34" t="n"/>
      <c r="E111" s="33" t="n"/>
      <c r="F111" s="35" t="n"/>
      <c r="G111" s="36" t="n"/>
      <c r="H111" s="37" t="n"/>
      <c r="I111" s="38" t="n"/>
      <c r="J111" s="39">
        <f>IF(G111="","",HYPERLINK("https://wa.me/"&amp;G111,"Открыть чат"))</f>
        <v/>
      </c>
    </row>
    <row r="112">
      <c r="A112" s="32" t="n"/>
      <c r="B112" s="33" t="n"/>
      <c r="C112" s="33" t="n"/>
      <c r="D112" s="34" t="n"/>
      <c r="E112" s="33" t="n"/>
      <c r="F112" s="35" t="n"/>
      <c r="G112" s="36" t="n"/>
      <c r="H112" s="37" t="n"/>
      <c r="I112" s="38" t="n"/>
      <c r="J112" s="39">
        <f>IF(G112="","",HYPERLINK("https://wa.me/"&amp;G112,"Открыть чат"))</f>
        <v/>
      </c>
    </row>
    <row r="113">
      <c r="A113" s="32" t="n"/>
      <c r="B113" s="33" t="n"/>
      <c r="C113" s="33" t="n"/>
      <c r="D113" s="34" t="n"/>
      <c r="E113" s="33" t="n"/>
      <c r="F113" s="35" t="n"/>
      <c r="G113" s="36" t="n"/>
      <c r="H113" s="37" t="n"/>
      <c r="I113" s="38" t="n"/>
      <c r="J113" s="39">
        <f>IF(G113="","",HYPERLINK("https://wa.me/"&amp;G113,"Открыть чат"))</f>
        <v/>
      </c>
    </row>
    <row r="114">
      <c r="A114" s="32" t="n"/>
      <c r="B114" s="33" t="n"/>
      <c r="C114" s="33" t="n"/>
      <c r="D114" s="34" t="n"/>
      <c r="E114" s="33" t="n"/>
      <c r="F114" s="35" t="n"/>
      <c r="G114" s="36" t="n"/>
      <c r="H114" s="37" t="n"/>
      <c r="I114" s="38" t="n"/>
      <c r="J114" s="39">
        <f>IF(G114="","",HYPERLINK("https://wa.me/"&amp;G114,"Открыть чат"))</f>
        <v/>
      </c>
    </row>
    <row r="115">
      <c r="A115" s="32" t="n"/>
      <c r="B115" s="33" t="n"/>
      <c r="C115" s="33" t="n"/>
      <c r="D115" s="34" t="n"/>
      <c r="E115" s="33" t="n"/>
      <c r="F115" s="35" t="n"/>
      <c r="G115" s="36" t="n"/>
      <c r="H115" s="37" t="n"/>
      <c r="I115" s="38" t="n"/>
      <c r="J115" s="39">
        <f>IF(G115="","",HYPERLINK("https://wa.me/"&amp;G115,"Открыть чат"))</f>
        <v/>
      </c>
    </row>
    <row r="116">
      <c r="A116" s="32" t="n"/>
      <c r="B116" s="33" t="n"/>
      <c r="C116" s="33" t="n"/>
      <c r="D116" s="34" t="n"/>
      <c r="E116" s="33" t="n"/>
      <c r="F116" s="35" t="n"/>
      <c r="G116" s="36" t="n"/>
      <c r="H116" s="37" t="n"/>
      <c r="I116" s="38" t="n"/>
      <c r="J116" s="39">
        <f>IF(G116="","",HYPERLINK("https://wa.me/"&amp;G116,"Открыть чат"))</f>
        <v/>
      </c>
    </row>
    <row r="117">
      <c r="A117" s="32" t="n"/>
      <c r="B117" s="33" t="n"/>
      <c r="C117" s="33" t="n"/>
      <c r="D117" s="34" t="n"/>
      <c r="E117" s="33" t="n"/>
      <c r="F117" s="35" t="n"/>
      <c r="G117" s="36" t="n"/>
      <c r="H117" s="37" t="n"/>
      <c r="I117" s="38" t="n"/>
      <c r="J117" s="39">
        <f>IF(G117="","",HYPERLINK("https://wa.me/"&amp;G117,"Открыть чат"))</f>
        <v/>
      </c>
    </row>
    <row r="118">
      <c r="A118" s="32" t="n"/>
      <c r="B118" s="33" t="n"/>
      <c r="C118" s="33" t="n"/>
      <c r="D118" s="34" t="n"/>
      <c r="E118" s="33" t="n"/>
      <c r="F118" s="35" t="n"/>
      <c r="G118" s="36" t="n"/>
      <c r="H118" s="37" t="n"/>
      <c r="I118" s="38" t="n"/>
      <c r="J118" s="39">
        <f>IF(G118="","",HYPERLINK("https://wa.me/"&amp;G118,"Открыть чат"))</f>
        <v/>
      </c>
    </row>
    <row r="119">
      <c r="A119" s="32" t="n"/>
      <c r="B119" s="33" t="n"/>
      <c r="C119" s="33" t="n"/>
      <c r="D119" s="34" t="n"/>
      <c r="E119" s="33" t="n"/>
      <c r="F119" s="35" t="n"/>
      <c r="G119" s="36" t="n"/>
      <c r="H119" s="37" t="n"/>
      <c r="I119" s="38" t="n"/>
      <c r="J119" s="39">
        <f>IF(G119="","",HYPERLINK("https://wa.me/"&amp;G119,"Открыть чат"))</f>
        <v/>
      </c>
    </row>
    <row r="120">
      <c r="A120" s="32" t="n"/>
      <c r="B120" s="33" t="n"/>
      <c r="C120" s="33" t="n"/>
      <c r="D120" s="34" t="n"/>
      <c r="E120" s="33" t="n"/>
      <c r="F120" s="35" t="n"/>
      <c r="G120" s="36" t="n"/>
      <c r="H120" s="37" t="n"/>
      <c r="I120" s="38" t="n"/>
      <c r="J120" s="39">
        <f>IF(G120="","",HYPERLINK("https://wa.me/"&amp;G120,"Открыть чат"))</f>
        <v/>
      </c>
    </row>
    <row r="121">
      <c r="A121" s="32" t="n"/>
      <c r="B121" s="33" t="n"/>
      <c r="C121" s="33" t="n"/>
      <c r="D121" s="34" t="n"/>
      <c r="E121" s="33" t="n"/>
      <c r="F121" s="35" t="n"/>
      <c r="G121" s="36" t="n"/>
      <c r="H121" s="37" t="n"/>
      <c r="I121" s="38" t="n"/>
      <c r="J121" s="39">
        <f>IF(G121="","",HYPERLINK("https://wa.me/"&amp;G121,"Открыть чат"))</f>
        <v/>
      </c>
    </row>
    <row r="122">
      <c r="A122" s="32" t="n"/>
      <c r="B122" s="33" t="n"/>
      <c r="C122" s="33" t="n"/>
      <c r="D122" s="34" t="n"/>
      <c r="E122" s="33" t="n"/>
      <c r="F122" s="35" t="n"/>
      <c r="G122" s="36" t="n"/>
      <c r="H122" s="37" t="n"/>
      <c r="I122" s="38" t="n"/>
      <c r="J122" s="39">
        <f>IF(G122="","",HYPERLINK("https://wa.me/"&amp;G122,"Открыть чат"))</f>
        <v/>
      </c>
    </row>
    <row r="123">
      <c r="A123" s="32" t="n"/>
      <c r="B123" s="33" t="n"/>
      <c r="C123" s="33" t="n"/>
      <c r="D123" s="34" t="n"/>
      <c r="E123" s="33" t="n"/>
      <c r="F123" s="35" t="n"/>
      <c r="G123" s="36" t="n"/>
      <c r="H123" s="37" t="n"/>
      <c r="I123" s="38" t="n"/>
      <c r="J123" s="39">
        <f>IF(G123="","",HYPERLINK("https://wa.me/"&amp;G123,"Открыть чат"))</f>
        <v/>
      </c>
    </row>
    <row r="124">
      <c r="A124" s="32" t="n"/>
      <c r="B124" s="33" t="n"/>
      <c r="C124" s="33" t="n"/>
      <c r="D124" s="34" t="n"/>
      <c r="E124" s="33" t="n"/>
      <c r="F124" s="35" t="n"/>
      <c r="G124" s="36" t="n"/>
      <c r="H124" s="37" t="n"/>
      <c r="I124" s="38" t="n"/>
      <c r="J124" s="39">
        <f>IF(G124="","",HYPERLINK("https://wa.me/"&amp;G124,"Открыть чат"))</f>
        <v/>
      </c>
    </row>
    <row r="125">
      <c r="A125" s="32" t="n"/>
      <c r="B125" s="33" t="n"/>
      <c r="C125" s="33" t="n"/>
      <c r="D125" s="34" t="n"/>
      <c r="E125" s="33" t="n"/>
      <c r="F125" s="35" t="n"/>
      <c r="G125" s="36" t="n"/>
      <c r="H125" s="37" t="n"/>
      <c r="I125" s="38" t="n"/>
      <c r="J125" s="39">
        <f>IF(G125="","",HYPERLINK("https://wa.me/"&amp;G125,"Открыть чат"))</f>
        <v/>
      </c>
    </row>
    <row r="126">
      <c r="A126" s="32" t="n"/>
      <c r="B126" s="33" t="n"/>
      <c r="C126" s="33" t="n"/>
      <c r="D126" s="34" t="n"/>
      <c r="E126" s="33" t="n"/>
      <c r="F126" s="35" t="n"/>
      <c r="G126" s="36" t="n"/>
      <c r="H126" s="37" t="n"/>
      <c r="I126" s="38" t="n"/>
      <c r="J126" s="39">
        <f>IF(G126="","",HYPERLINK("https://wa.me/"&amp;G126,"Открыть чат"))</f>
        <v/>
      </c>
    </row>
    <row r="127">
      <c r="A127" s="32" t="n"/>
      <c r="B127" s="33" t="n"/>
      <c r="C127" s="33" t="n"/>
      <c r="D127" s="34" t="n"/>
      <c r="E127" s="33" t="n"/>
      <c r="F127" s="35" t="n"/>
      <c r="G127" s="36" t="n"/>
      <c r="H127" s="37" t="n"/>
      <c r="I127" s="38" t="n"/>
      <c r="J127" s="39">
        <f>IF(G127="","",HYPERLINK("https://wa.me/"&amp;G127,"Открыть чат"))</f>
        <v/>
      </c>
    </row>
    <row r="128">
      <c r="A128" s="32" t="n"/>
      <c r="B128" s="33" t="n"/>
      <c r="C128" s="33" t="n"/>
      <c r="D128" s="34" t="n"/>
      <c r="E128" s="33" t="n"/>
      <c r="F128" s="35" t="n"/>
      <c r="G128" s="36" t="n"/>
      <c r="H128" s="37" t="n"/>
      <c r="I128" s="38" t="n"/>
      <c r="J128" s="39">
        <f>IF(G128="","",HYPERLINK("https://wa.me/"&amp;G128,"Открыть чат"))</f>
        <v/>
      </c>
    </row>
    <row r="129">
      <c r="A129" s="32" t="n"/>
      <c r="B129" s="33" t="n"/>
      <c r="C129" s="33" t="n"/>
      <c r="D129" s="34" t="n"/>
      <c r="E129" s="33" t="n"/>
      <c r="F129" s="35" t="n"/>
      <c r="G129" s="36" t="n"/>
      <c r="H129" s="37" t="n"/>
      <c r="I129" s="38" t="n"/>
      <c r="J129" s="39">
        <f>IF(G129="","",HYPERLINK("https://wa.me/"&amp;G129,"Открыть чат"))</f>
        <v/>
      </c>
    </row>
    <row r="130">
      <c r="A130" s="32" t="n"/>
      <c r="B130" s="33" t="n"/>
      <c r="C130" s="33" t="n"/>
      <c r="D130" s="34" t="n"/>
      <c r="E130" s="33" t="n"/>
      <c r="F130" s="35" t="n"/>
      <c r="G130" s="36" t="n"/>
      <c r="H130" s="37" t="n"/>
      <c r="I130" s="38" t="n"/>
      <c r="J130" s="39">
        <f>IF(G130="","",HYPERLINK("https://wa.me/"&amp;G130,"Открыть чат"))</f>
        <v/>
      </c>
    </row>
    <row r="131">
      <c r="A131" s="32" t="n"/>
      <c r="B131" s="33" t="n"/>
      <c r="C131" s="33" t="n"/>
      <c r="D131" s="34" t="n"/>
      <c r="E131" s="33" t="n"/>
      <c r="F131" s="35" t="n"/>
      <c r="G131" s="36" t="n"/>
      <c r="H131" s="37" t="n"/>
      <c r="I131" s="38" t="n"/>
      <c r="J131" s="39">
        <f>IF(G131="","",HYPERLINK("https://wa.me/"&amp;G131,"Открыть чат"))</f>
        <v/>
      </c>
    </row>
    <row r="132">
      <c r="A132" s="32" t="n"/>
      <c r="B132" s="33" t="n"/>
      <c r="C132" s="33" t="n"/>
      <c r="D132" s="34" t="n"/>
      <c r="E132" s="33" t="n"/>
      <c r="F132" s="35" t="n"/>
      <c r="G132" s="36" t="n"/>
      <c r="H132" s="37" t="n"/>
      <c r="I132" s="38" t="n"/>
      <c r="J132" s="39">
        <f>IF(G132="","",HYPERLINK("https://wa.me/"&amp;G132,"Открыть чат"))</f>
        <v/>
      </c>
    </row>
    <row r="133">
      <c r="A133" s="32" t="n"/>
      <c r="B133" s="33" t="n"/>
      <c r="C133" s="33" t="n"/>
      <c r="D133" s="34" t="n"/>
      <c r="E133" s="33" t="n"/>
      <c r="F133" s="35" t="n"/>
      <c r="G133" s="36" t="n"/>
      <c r="H133" s="37" t="n"/>
      <c r="I133" s="38" t="n"/>
      <c r="J133" s="39">
        <f>IF(G133="","",HYPERLINK("https://wa.me/"&amp;G133,"Открыть чат"))</f>
        <v/>
      </c>
    </row>
    <row r="134">
      <c r="A134" s="32" t="n"/>
      <c r="B134" s="33" t="n"/>
      <c r="C134" s="33" t="n"/>
      <c r="D134" s="34" t="n"/>
      <c r="E134" s="33" t="n"/>
      <c r="F134" s="35" t="n"/>
      <c r="G134" s="36" t="n"/>
      <c r="H134" s="37" t="n"/>
      <c r="I134" s="38" t="n"/>
      <c r="J134" s="39">
        <f>IF(G134="","",HYPERLINK("https://wa.me/"&amp;G134,"Открыть чат"))</f>
        <v/>
      </c>
    </row>
    <row r="135">
      <c r="A135" s="32" t="n"/>
      <c r="B135" s="33" t="n"/>
      <c r="C135" s="33" t="n"/>
      <c r="D135" s="34" t="n"/>
      <c r="E135" s="33" t="n"/>
      <c r="F135" s="35" t="n"/>
      <c r="G135" s="36" t="n"/>
      <c r="H135" s="37" t="n"/>
      <c r="I135" s="38" t="n"/>
      <c r="J135" s="39">
        <f>IF(G135="","",HYPERLINK("https://wa.me/"&amp;G135,"Открыть чат"))</f>
        <v/>
      </c>
    </row>
    <row r="136">
      <c r="A136" s="32" t="n"/>
      <c r="B136" s="33" t="n"/>
      <c r="C136" s="33" t="n"/>
      <c r="D136" s="34" t="n"/>
      <c r="E136" s="33" t="n"/>
      <c r="F136" s="35" t="n"/>
      <c r="G136" s="36" t="n"/>
      <c r="H136" s="37" t="n"/>
      <c r="I136" s="38" t="n"/>
      <c r="J136" s="39">
        <f>IF(G136="","",HYPERLINK("https://wa.me/"&amp;G136,"Открыть чат"))</f>
        <v/>
      </c>
    </row>
    <row r="137">
      <c r="A137" s="32" t="n"/>
      <c r="B137" s="33" t="n"/>
      <c r="C137" s="33" t="n"/>
      <c r="D137" s="34" t="n"/>
      <c r="E137" s="33" t="n"/>
      <c r="F137" s="35" t="n"/>
      <c r="G137" s="36" t="n"/>
      <c r="H137" s="37" t="n"/>
      <c r="I137" s="38" t="n"/>
      <c r="J137" s="39">
        <f>IF(G137="","",HYPERLINK("https://wa.me/"&amp;G137,"Открыть чат"))</f>
        <v/>
      </c>
    </row>
    <row r="138">
      <c r="A138" s="32" t="n"/>
      <c r="B138" s="33" t="n"/>
      <c r="C138" s="33" t="n"/>
      <c r="D138" s="34" t="n"/>
      <c r="E138" s="33" t="n"/>
      <c r="F138" s="35" t="n"/>
      <c r="G138" s="36" t="n"/>
      <c r="H138" s="37" t="n"/>
      <c r="I138" s="38" t="n"/>
      <c r="J138" s="39">
        <f>IF(G138="","",HYPERLINK("https://wa.me/"&amp;G138,"Открыть чат"))</f>
        <v/>
      </c>
    </row>
    <row r="139">
      <c r="A139" s="32" t="n"/>
      <c r="B139" s="33" t="n"/>
      <c r="C139" s="33" t="n"/>
      <c r="D139" s="34" t="n"/>
      <c r="E139" s="33" t="n"/>
      <c r="F139" s="35" t="n"/>
      <c r="G139" s="36" t="n"/>
      <c r="H139" s="37" t="n"/>
      <c r="I139" s="38" t="n"/>
      <c r="J139" s="39">
        <f>IF(G139="","",HYPERLINK("https://wa.me/"&amp;G139,"Открыть чат"))</f>
        <v/>
      </c>
    </row>
    <row r="140">
      <c r="A140" s="32" t="n"/>
      <c r="B140" s="33" t="n"/>
      <c r="C140" s="33" t="n"/>
      <c r="D140" s="34" t="n"/>
      <c r="E140" s="33" t="n"/>
      <c r="F140" s="35" t="n"/>
      <c r="G140" s="36" t="n"/>
      <c r="H140" s="37" t="n"/>
      <c r="I140" s="38" t="n"/>
      <c r="J140" s="39">
        <f>IF(G140="","",HYPERLINK("https://wa.me/"&amp;G140,"Открыть чат"))</f>
        <v/>
      </c>
    </row>
    <row r="141">
      <c r="A141" s="32" t="n"/>
      <c r="B141" s="33" t="n"/>
      <c r="C141" s="33" t="n"/>
      <c r="D141" s="34" t="n"/>
      <c r="E141" s="33" t="n"/>
      <c r="F141" s="35" t="n"/>
      <c r="G141" s="36" t="n"/>
      <c r="H141" s="37" t="n"/>
      <c r="I141" s="38" t="n"/>
      <c r="J141" s="39">
        <f>IF(G141="","",HYPERLINK("https://wa.me/"&amp;G141,"Открыть чат"))</f>
        <v/>
      </c>
    </row>
    <row r="142">
      <c r="A142" s="32" t="n"/>
      <c r="B142" s="33" t="n"/>
      <c r="C142" s="33" t="n"/>
      <c r="D142" s="34" t="n"/>
      <c r="E142" s="33" t="n"/>
      <c r="F142" s="35" t="n"/>
      <c r="G142" s="36" t="n"/>
      <c r="H142" s="37" t="n"/>
      <c r="I142" s="38" t="n"/>
      <c r="J142" s="39">
        <f>IF(G142="","",HYPERLINK("https://wa.me/"&amp;G142,"Открыть чат"))</f>
        <v/>
      </c>
    </row>
    <row r="143">
      <c r="A143" s="32" t="n"/>
      <c r="B143" s="33" t="n"/>
      <c r="C143" s="33" t="n"/>
      <c r="D143" s="34" t="n"/>
      <c r="E143" s="33" t="n"/>
      <c r="F143" s="35" t="n"/>
      <c r="G143" s="36" t="n"/>
      <c r="H143" s="37" t="n"/>
      <c r="I143" s="38" t="n"/>
      <c r="J143" s="39">
        <f>IF(G143="","",HYPERLINK("https://wa.me/"&amp;G143,"Открыть чат"))</f>
        <v/>
      </c>
    </row>
    <row r="144">
      <c r="A144" s="32" t="n"/>
      <c r="B144" s="33" t="n"/>
      <c r="C144" s="33" t="n"/>
      <c r="D144" s="34" t="n"/>
      <c r="E144" s="33" t="n"/>
      <c r="F144" s="35" t="n"/>
      <c r="G144" s="36" t="n"/>
      <c r="H144" s="37" t="n"/>
      <c r="I144" s="38" t="n"/>
      <c r="J144" s="39">
        <f>IF(G144="","",HYPERLINK("https://wa.me/"&amp;G144,"Открыть чат"))</f>
        <v/>
      </c>
    </row>
    <row r="145">
      <c r="A145" s="32" t="n"/>
      <c r="B145" s="33" t="n"/>
      <c r="C145" s="33" t="n"/>
      <c r="D145" s="34" t="n"/>
      <c r="E145" s="33" t="n"/>
      <c r="F145" s="35" t="n"/>
      <c r="G145" s="36" t="n"/>
      <c r="H145" s="37" t="n"/>
      <c r="I145" s="38" t="n"/>
      <c r="J145" s="39">
        <f>IF(G145="","",HYPERLINK("https://wa.me/"&amp;G145,"Открыть чат"))</f>
        <v/>
      </c>
    </row>
    <row r="146">
      <c r="A146" s="32" t="n"/>
      <c r="B146" s="33" t="n"/>
      <c r="C146" s="33" t="n"/>
      <c r="D146" s="34" t="n"/>
      <c r="E146" s="33" t="n"/>
      <c r="F146" s="35" t="n"/>
      <c r="G146" s="36" t="n"/>
      <c r="H146" s="37" t="n"/>
      <c r="I146" s="38" t="n"/>
      <c r="J146" s="39">
        <f>IF(G146="","",HYPERLINK("https://wa.me/"&amp;G146,"Открыть чат"))</f>
        <v/>
      </c>
    </row>
    <row r="147">
      <c r="A147" s="32" t="n"/>
      <c r="B147" s="33" t="n"/>
      <c r="C147" s="33" t="n"/>
      <c r="D147" s="34" t="n"/>
      <c r="E147" s="33" t="n"/>
      <c r="F147" s="35" t="n"/>
      <c r="G147" s="36" t="n"/>
      <c r="H147" s="37" t="n"/>
      <c r="I147" s="38" t="n"/>
      <c r="J147" s="39">
        <f>IF(G147="","",HYPERLINK("https://wa.me/"&amp;G147,"Открыть чат"))</f>
        <v/>
      </c>
    </row>
    <row r="148">
      <c r="A148" s="32" t="n"/>
      <c r="B148" s="33" t="n"/>
      <c r="C148" s="33" t="n"/>
      <c r="D148" s="34" t="n"/>
      <c r="E148" s="33" t="n"/>
      <c r="F148" s="35" t="n"/>
      <c r="G148" s="36" t="n"/>
      <c r="H148" s="37" t="n"/>
      <c r="I148" s="38" t="n"/>
      <c r="J148" s="39">
        <f>IF(G148="","",HYPERLINK("https://wa.me/"&amp;G148,"Открыть чат"))</f>
        <v/>
      </c>
    </row>
    <row r="149">
      <c r="A149" s="32" t="n"/>
      <c r="B149" s="33" t="n"/>
      <c r="C149" s="33" t="n"/>
      <c r="D149" s="34" t="n"/>
      <c r="E149" s="33" t="n"/>
      <c r="F149" s="35" t="n"/>
      <c r="G149" s="36" t="n"/>
      <c r="H149" s="37" t="n"/>
      <c r="I149" s="38" t="n"/>
      <c r="J149" s="39">
        <f>IF(G149="","",HYPERLINK("https://wa.me/"&amp;G149,"Открыть чат"))</f>
        <v/>
      </c>
    </row>
    <row r="150">
      <c r="A150" s="32" t="n"/>
      <c r="B150" s="33" t="n"/>
      <c r="C150" s="33" t="n"/>
      <c r="D150" s="34" t="n"/>
      <c r="E150" s="33" t="n"/>
      <c r="F150" s="35" t="n"/>
      <c r="G150" s="36" t="n"/>
      <c r="H150" s="37" t="n"/>
      <c r="I150" s="38" t="n"/>
      <c r="J150" s="39">
        <f>IF(G150="","",HYPERLINK("https://wa.me/"&amp;G150,"Открыть чат"))</f>
        <v/>
      </c>
    </row>
    <row r="151">
      <c r="A151" s="32" t="n"/>
      <c r="B151" s="33" t="n"/>
      <c r="C151" s="33" t="n"/>
      <c r="D151" s="34" t="n"/>
      <c r="E151" s="33" t="n"/>
      <c r="F151" s="35" t="n"/>
      <c r="G151" s="36" t="n"/>
      <c r="H151" s="37" t="n"/>
      <c r="I151" s="38" t="n"/>
      <c r="J151" s="39">
        <f>IF(G151="","",HYPERLINK("https://wa.me/"&amp;G151,"Открыть чат"))</f>
        <v/>
      </c>
    </row>
    <row r="152">
      <c r="A152" s="32" t="n"/>
      <c r="B152" s="33" t="n"/>
      <c r="C152" s="33" t="n"/>
      <c r="D152" s="34" t="n"/>
      <c r="E152" s="33" t="n"/>
      <c r="F152" s="35" t="n"/>
      <c r="G152" s="36" t="n"/>
      <c r="H152" s="37" t="n"/>
      <c r="I152" s="38" t="n"/>
      <c r="J152" s="39">
        <f>IF(G152="","",HYPERLINK("https://wa.me/"&amp;G152,"Открыть чат"))</f>
        <v/>
      </c>
    </row>
    <row r="153">
      <c r="A153" s="32" t="n"/>
      <c r="B153" s="33" t="n"/>
      <c r="C153" s="33" t="n"/>
      <c r="D153" s="34" t="n"/>
      <c r="E153" s="33" t="n"/>
      <c r="F153" s="35" t="n"/>
      <c r="G153" s="36" t="n"/>
      <c r="H153" s="37" t="n"/>
      <c r="I153" s="38" t="n"/>
      <c r="J153" s="39">
        <f>IF(G153="","",HYPERLINK("https://wa.me/"&amp;G153,"Открыть чат"))</f>
        <v/>
      </c>
    </row>
    <row r="154">
      <c r="A154" s="32" t="n"/>
      <c r="B154" s="33" t="n"/>
      <c r="C154" s="33" t="n"/>
      <c r="D154" s="34" t="n"/>
      <c r="E154" s="33" t="n"/>
      <c r="F154" s="35" t="n"/>
      <c r="G154" s="36" t="n"/>
      <c r="H154" s="37" t="n"/>
      <c r="I154" s="38" t="n"/>
      <c r="J154" s="39">
        <f>IF(G154="","",HYPERLINK("https://wa.me/"&amp;G154,"Открыть чат"))</f>
        <v/>
      </c>
    </row>
    <row r="155">
      <c r="A155" s="32" t="n"/>
      <c r="B155" s="33" t="n"/>
      <c r="C155" s="33" t="n"/>
      <c r="D155" s="34" t="n"/>
      <c r="E155" s="33" t="n"/>
      <c r="F155" s="35" t="n"/>
      <c r="G155" s="36" t="n"/>
      <c r="H155" s="37" t="n"/>
      <c r="I155" s="38" t="n"/>
      <c r="J155" s="39">
        <f>IF(G155="","",HYPERLINK("https://wa.me/"&amp;G155,"Открыть чат"))</f>
        <v/>
      </c>
    </row>
    <row r="156">
      <c r="A156" s="32" t="n"/>
      <c r="B156" s="33" t="n"/>
      <c r="C156" s="33" t="n"/>
      <c r="D156" s="34" t="n"/>
      <c r="E156" s="33" t="n"/>
      <c r="F156" s="35" t="n"/>
      <c r="G156" s="36" t="n"/>
      <c r="H156" s="37" t="n"/>
      <c r="I156" s="38" t="n"/>
      <c r="J156" s="39">
        <f>IF(G156="","",HYPERLINK("https://wa.me/"&amp;G156,"Открыть чат"))</f>
        <v/>
      </c>
    </row>
    <row r="157">
      <c r="A157" s="32" t="n"/>
      <c r="B157" s="33" t="n"/>
      <c r="C157" s="33" t="n"/>
      <c r="D157" s="34" t="n"/>
      <c r="E157" s="33" t="n"/>
      <c r="F157" s="35" t="n"/>
      <c r="G157" s="36" t="n"/>
      <c r="H157" s="37" t="n"/>
      <c r="I157" s="38" t="n"/>
      <c r="J157" s="39">
        <f>IF(G157="","",HYPERLINK("https://wa.me/"&amp;G157,"Открыть чат"))</f>
        <v/>
      </c>
    </row>
    <row r="158">
      <c r="A158" s="32" t="n"/>
      <c r="B158" s="33" t="n"/>
      <c r="C158" s="33" t="n"/>
      <c r="D158" s="34" t="n"/>
      <c r="E158" s="33" t="n"/>
      <c r="F158" s="35" t="n"/>
      <c r="G158" s="36" t="n"/>
      <c r="H158" s="37" t="n"/>
      <c r="I158" s="38" t="n"/>
      <c r="J158" s="39">
        <f>IF(G158="","",HYPERLINK("https://wa.me/"&amp;G158,"Открыть чат"))</f>
        <v/>
      </c>
    </row>
    <row r="159">
      <c r="A159" s="32" t="n"/>
      <c r="B159" s="33" t="n"/>
      <c r="C159" s="33" t="n"/>
      <c r="D159" s="34" t="n"/>
      <c r="E159" s="33" t="n"/>
      <c r="F159" s="35" t="n"/>
      <c r="G159" s="36" t="n"/>
      <c r="H159" s="37" t="n"/>
      <c r="I159" s="38" t="n"/>
      <c r="J159" s="39">
        <f>IF(G159="","",HYPERLINK("https://wa.me/"&amp;G159,"Открыть чат"))</f>
        <v/>
      </c>
    </row>
    <row r="160">
      <c r="A160" s="32" t="n"/>
      <c r="B160" s="33" t="n"/>
      <c r="C160" s="33" t="n"/>
      <c r="D160" s="34" t="n"/>
      <c r="E160" s="33" t="n"/>
      <c r="F160" s="35" t="n"/>
      <c r="G160" s="36" t="n"/>
      <c r="H160" s="37" t="n"/>
      <c r="I160" s="38" t="n"/>
      <c r="J160" s="39">
        <f>IF(G160="","",HYPERLINK("https://wa.me/"&amp;G160,"Открыть чат"))</f>
        <v/>
      </c>
    </row>
    <row r="161">
      <c r="A161" s="32" t="n"/>
      <c r="B161" s="33" t="n"/>
      <c r="C161" s="33" t="n"/>
      <c r="D161" s="34" t="n"/>
      <c r="E161" s="33" t="n"/>
      <c r="F161" s="35" t="n"/>
      <c r="G161" s="36" t="n"/>
      <c r="H161" s="37" t="n"/>
      <c r="I161" s="38" t="n"/>
      <c r="J161" s="39">
        <f>IF(G161="","",HYPERLINK("https://wa.me/"&amp;G161,"Открыть чат"))</f>
        <v/>
      </c>
    </row>
    <row r="162">
      <c r="A162" s="32" t="n"/>
      <c r="B162" s="33" t="n"/>
      <c r="C162" s="33" t="n"/>
      <c r="D162" s="34" t="n"/>
      <c r="E162" s="33" t="n"/>
      <c r="F162" s="35" t="n"/>
      <c r="G162" s="36" t="n"/>
      <c r="H162" s="37" t="n"/>
      <c r="I162" s="38" t="n"/>
      <c r="J162" s="39">
        <f>IF(G162="","",HYPERLINK("https://wa.me/"&amp;G162,"Открыть чат"))</f>
        <v/>
      </c>
    </row>
    <row r="163">
      <c r="A163" s="32" t="n"/>
      <c r="B163" s="33" t="n"/>
      <c r="C163" s="33" t="n"/>
      <c r="D163" s="34" t="n"/>
      <c r="E163" s="33" t="n"/>
      <c r="F163" s="35" t="n"/>
      <c r="G163" s="36" t="n"/>
      <c r="H163" s="37" t="n"/>
      <c r="I163" s="38" t="n"/>
      <c r="J163" s="39">
        <f>IF(G163="","",HYPERLINK("https://wa.me/"&amp;G163,"Открыть чат"))</f>
        <v/>
      </c>
    </row>
    <row r="164">
      <c r="A164" s="32" t="n"/>
      <c r="B164" s="33" t="n"/>
      <c r="C164" s="33" t="n"/>
      <c r="D164" s="34" t="n"/>
      <c r="E164" s="33" t="n"/>
      <c r="F164" s="35" t="n"/>
      <c r="G164" s="36" t="n"/>
      <c r="H164" s="37" t="n"/>
      <c r="I164" s="38" t="n"/>
      <c r="J164" s="39">
        <f>IF(G164="","",HYPERLINK("https://wa.me/"&amp;G164,"Открыть чат"))</f>
        <v/>
      </c>
    </row>
    <row r="165">
      <c r="A165" s="32" t="n"/>
      <c r="B165" s="33" t="n"/>
      <c r="C165" s="33" t="n"/>
      <c r="D165" s="34" t="n"/>
      <c r="E165" s="33" t="n"/>
      <c r="F165" s="35" t="n"/>
      <c r="G165" s="36" t="n"/>
      <c r="H165" s="37" t="n"/>
      <c r="I165" s="38" t="n"/>
      <c r="J165" s="39">
        <f>IF(G165="","",HYPERLINK("https://wa.me/"&amp;G165,"Открыть чат"))</f>
        <v/>
      </c>
    </row>
    <row r="166">
      <c r="A166" s="32" t="n"/>
      <c r="B166" s="33" t="n"/>
      <c r="C166" s="33" t="n"/>
      <c r="D166" s="34" t="n"/>
      <c r="E166" s="33" t="n"/>
      <c r="F166" s="35" t="n"/>
      <c r="G166" s="36" t="n"/>
      <c r="H166" s="37" t="n"/>
      <c r="I166" s="38" t="n"/>
      <c r="J166" s="39">
        <f>IF(G166="","",HYPERLINK("https://wa.me/"&amp;G166,"Открыть чат"))</f>
        <v/>
      </c>
    </row>
    <row r="167">
      <c r="A167" s="32" t="n"/>
      <c r="B167" s="33" t="n"/>
      <c r="C167" s="33" t="n"/>
      <c r="D167" s="34" t="n"/>
      <c r="E167" s="33" t="n"/>
      <c r="F167" s="35" t="n"/>
      <c r="G167" s="36" t="n"/>
      <c r="H167" s="37" t="n"/>
      <c r="I167" s="38" t="n"/>
      <c r="J167" s="39">
        <f>IF(G167="","",HYPERLINK("https://wa.me/"&amp;G167,"Открыть чат"))</f>
        <v/>
      </c>
    </row>
    <row r="168">
      <c r="A168" s="32" t="n"/>
      <c r="B168" s="33" t="n"/>
      <c r="C168" s="33" t="n"/>
      <c r="D168" s="34" t="n"/>
      <c r="E168" s="33" t="n"/>
      <c r="F168" s="35" t="n"/>
      <c r="G168" s="36" t="n"/>
      <c r="H168" s="37" t="n"/>
      <c r="I168" s="38" t="n"/>
      <c r="J168" s="39">
        <f>IF(G168="","",HYPERLINK("https://wa.me/"&amp;G168,"Открыть чат"))</f>
        <v/>
      </c>
    </row>
    <row r="169">
      <c r="A169" s="32" t="n"/>
      <c r="B169" s="33" t="n"/>
      <c r="C169" s="33" t="n"/>
      <c r="D169" s="34" t="n"/>
      <c r="E169" s="33" t="n"/>
      <c r="F169" s="35" t="n"/>
      <c r="G169" s="36" t="n"/>
      <c r="H169" s="37" t="n"/>
      <c r="I169" s="38" t="n"/>
      <c r="J169" s="39">
        <f>IF(G169="","",HYPERLINK("https://wa.me/"&amp;G169,"Открыть чат"))</f>
        <v/>
      </c>
    </row>
    <row r="170">
      <c r="A170" s="32" t="n"/>
      <c r="B170" s="33" t="n"/>
      <c r="C170" s="33" t="n"/>
      <c r="D170" s="34" t="n"/>
      <c r="E170" s="33" t="n"/>
      <c r="F170" s="35" t="n"/>
      <c r="G170" s="36" t="n"/>
      <c r="H170" s="37" t="n"/>
      <c r="I170" s="38" t="n"/>
      <c r="J170" s="39">
        <f>IF(G170="","",HYPERLINK("https://wa.me/"&amp;G170,"Открыть чат"))</f>
        <v/>
      </c>
    </row>
    <row r="171">
      <c r="A171" s="32" t="n"/>
      <c r="B171" s="33" t="n"/>
      <c r="C171" s="33" t="n"/>
      <c r="D171" s="34" t="n"/>
      <c r="E171" s="33" t="n"/>
      <c r="F171" s="35" t="n"/>
      <c r="G171" s="36" t="n"/>
      <c r="H171" s="37" t="n"/>
      <c r="I171" s="38" t="n"/>
      <c r="J171" s="39">
        <f>IF(G171="","",HYPERLINK("https://wa.me/"&amp;G171,"Открыть чат"))</f>
        <v/>
      </c>
    </row>
    <row r="172">
      <c r="A172" s="32" t="n"/>
      <c r="B172" s="33" t="n"/>
      <c r="C172" s="33" t="n"/>
      <c r="D172" s="34" t="n"/>
      <c r="E172" s="33" t="n"/>
      <c r="F172" s="35" t="n"/>
      <c r="G172" s="36" t="n"/>
      <c r="H172" s="37" t="n"/>
      <c r="I172" s="38" t="n"/>
      <c r="J172" s="39">
        <f>IF(G172="","",HYPERLINK("https://wa.me/"&amp;G172,"Открыть чат"))</f>
        <v/>
      </c>
    </row>
    <row r="173">
      <c r="A173" s="32" t="n"/>
      <c r="B173" s="33" t="n"/>
      <c r="C173" s="33" t="n"/>
      <c r="D173" s="34" t="n"/>
      <c r="E173" s="33" t="n"/>
      <c r="F173" s="35" t="n"/>
      <c r="G173" s="36" t="n"/>
      <c r="H173" s="37" t="n"/>
      <c r="I173" s="38" t="n"/>
      <c r="J173" s="39">
        <f>IF(G173="","",HYPERLINK("https://wa.me/"&amp;G173,"Открыть чат"))</f>
        <v/>
      </c>
    </row>
    <row r="174">
      <c r="A174" s="32" t="n"/>
      <c r="B174" s="33" t="n"/>
      <c r="C174" s="33" t="n"/>
      <c r="D174" s="34" t="n"/>
      <c r="E174" s="33" t="n"/>
      <c r="F174" s="35" t="n"/>
      <c r="G174" s="36" t="n"/>
      <c r="H174" s="37" t="n"/>
      <c r="I174" s="38" t="n"/>
      <c r="J174" s="39">
        <f>IF(G174="","",HYPERLINK("https://wa.me/"&amp;G174,"Открыть чат"))</f>
        <v/>
      </c>
    </row>
    <row r="175">
      <c r="A175" s="32" t="n"/>
      <c r="B175" s="33" t="n"/>
      <c r="C175" s="33" t="n"/>
      <c r="D175" s="34" t="n"/>
      <c r="E175" s="33" t="n"/>
      <c r="F175" s="35" t="n"/>
      <c r="G175" s="36" t="n"/>
      <c r="H175" s="37" t="n"/>
      <c r="I175" s="38" t="n"/>
      <c r="J175" s="39">
        <f>IF(G175="","",HYPERLINK("https://wa.me/"&amp;G175,"Открыть чат"))</f>
        <v/>
      </c>
    </row>
    <row r="176">
      <c r="A176" s="32" t="n"/>
      <c r="B176" s="33" t="n"/>
      <c r="C176" s="33" t="n"/>
      <c r="D176" s="34" t="n"/>
      <c r="E176" s="33" t="n"/>
      <c r="F176" s="35" t="n"/>
      <c r="G176" s="36" t="n"/>
      <c r="H176" s="37" t="n"/>
      <c r="I176" s="38" t="n"/>
      <c r="J176" s="39">
        <f>IF(G176="","",HYPERLINK("https://wa.me/"&amp;G176,"Открыть чат"))</f>
        <v/>
      </c>
    </row>
    <row r="177">
      <c r="A177" s="32" t="n"/>
      <c r="B177" s="33" t="n"/>
      <c r="C177" s="33" t="n"/>
      <c r="D177" s="34" t="n"/>
      <c r="E177" s="33" t="n"/>
      <c r="F177" s="35" t="n"/>
      <c r="G177" s="36" t="n"/>
      <c r="H177" s="37" t="n"/>
      <c r="I177" s="38" t="n"/>
      <c r="J177" s="39">
        <f>IF(G177="","",HYPERLINK("https://wa.me/"&amp;G177,"Открыть чат"))</f>
        <v/>
      </c>
    </row>
    <row r="178">
      <c r="A178" s="32" t="n"/>
      <c r="B178" s="33" t="n"/>
      <c r="C178" s="33" t="n"/>
      <c r="D178" s="34" t="n"/>
      <c r="E178" s="33" t="n"/>
      <c r="F178" s="35" t="n"/>
      <c r="G178" s="36" t="n"/>
      <c r="H178" s="37" t="n"/>
      <c r="I178" s="38" t="n"/>
      <c r="J178" s="39">
        <f>IF(G178="","",HYPERLINK("https://wa.me/"&amp;G178,"Открыть чат"))</f>
        <v/>
      </c>
    </row>
    <row r="179">
      <c r="A179" s="32" t="n"/>
      <c r="B179" s="33" t="n"/>
      <c r="C179" s="33" t="n"/>
      <c r="D179" s="34" t="n"/>
      <c r="E179" s="33" t="n"/>
      <c r="F179" s="35" t="n"/>
      <c r="G179" s="36" t="n"/>
      <c r="H179" s="37" t="n"/>
      <c r="I179" s="38" t="n"/>
      <c r="J179" s="39">
        <f>IF(G179="","",HYPERLINK("https://wa.me/"&amp;G179,"Открыть чат"))</f>
        <v/>
      </c>
    </row>
    <row r="180">
      <c r="A180" s="32" t="n"/>
      <c r="B180" s="33" t="n"/>
      <c r="C180" s="33" t="n"/>
      <c r="D180" s="34" t="n"/>
      <c r="E180" s="33" t="n"/>
      <c r="F180" s="35" t="n"/>
      <c r="G180" s="36" t="n"/>
      <c r="H180" s="37" t="n"/>
      <c r="I180" s="38" t="n"/>
      <c r="J180" s="39">
        <f>IF(G180="","",HYPERLINK("https://wa.me/"&amp;G180,"Открыть чат"))</f>
        <v/>
      </c>
    </row>
    <row r="181">
      <c r="A181" s="32" t="n"/>
      <c r="B181" s="33" t="n"/>
      <c r="C181" s="33" t="n"/>
      <c r="D181" s="34" t="n"/>
      <c r="E181" s="33" t="n"/>
      <c r="F181" s="35" t="n"/>
      <c r="G181" s="36" t="n"/>
      <c r="H181" s="37" t="n"/>
      <c r="I181" s="38" t="n"/>
      <c r="J181" s="39">
        <f>IF(G181="","",HYPERLINK("https://wa.me/"&amp;G181,"Открыть чат"))</f>
        <v/>
      </c>
    </row>
    <row r="182">
      <c r="A182" s="32" t="n"/>
      <c r="B182" s="33" t="n"/>
      <c r="C182" s="33" t="n"/>
      <c r="D182" s="34" t="n"/>
      <c r="E182" s="33" t="n"/>
      <c r="F182" s="35" t="n"/>
      <c r="G182" s="36" t="n"/>
      <c r="H182" s="37" t="n"/>
      <c r="I182" s="38" t="n"/>
      <c r="J182" s="39">
        <f>IF(G182="","",HYPERLINK("https://wa.me/"&amp;G182,"Открыть чат"))</f>
        <v/>
      </c>
    </row>
    <row r="183">
      <c r="A183" s="32" t="n"/>
      <c r="B183" s="33" t="n"/>
      <c r="C183" s="33" t="n"/>
      <c r="D183" s="34" t="n"/>
      <c r="E183" s="33" t="n"/>
      <c r="F183" s="35" t="n"/>
      <c r="G183" s="36" t="n"/>
      <c r="H183" s="37" t="n"/>
      <c r="I183" s="38" t="n"/>
      <c r="J183" s="39">
        <f>IF(G183="","",HYPERLINK("https://wa.me/"&amp;G183,"Открыть чат"))</f>
        <v/>
      </c>
    </row>
    <row r="184">
      <c r="A184" s="32" t="n"/>
      <c r="B184" s="33" t="n"/>
      <c r="C184" s="33" t="n"/>
      <c r="D184" s="34" t="n"/>
      <c r="E184" s="33" t="n"/>
      <c r="F184" s="35" t="n"/>
      <c r="G184" s="36" t="n"/>
      <c r="H184" s="37" t="n"/>
      <c r="I184" s="38" t="n"/>
      <c r="J184" s="39">
        <f>IF(G184="","",HYPERLINK("https://wa.me/"&amp;G184,"Открыть чат"))</f>
        <v/>
      </c>
    </row>
    <row r="185">
      <c r="A185" s="32" t="n"/>
      <c r="B185" s="33" t="n"/>
      <c r="C185" s="33" t="n"/>
      <c r="D185" s="34" t="n"/>
      <c r="E185" s="33" t="n"/>
      <c r="F185" s="35" t="n"/>
      <c r="G185" s="36" t="n"/>
      <c r="H185" s="37" t="n"/>
      <c r="I185" s="38" t="n"/>
      <c r="J185" s="39">
        <f>IF(G185="","",HYPERLINK("https://wa.me/"&amp;G185,"Открыть чат"))</f>
        <v/>
      </c>
    </row>
    <row r="186">
      <c r="A186" s="32" t="n"/>
      <c r="B186" s="33" t="n"/>
      <c r="C186" s="33" t="n"/>
      <c r="D186" s="34" t="n"/>
      <c r="E186" s="33" t="n"/>
      <c r="F186" s="35" t="n"/>
      <c r="G186" s="36" t="n"/>
      <c r="H186" s="37" t="n"/>
      <c r="I186" s="38" t="n"/>
      <c r="J186" s="39">
        <f>IF(G186="","",HYPERLINK("https://wa.me/"&amp;G186,"Открыть чат"))</f>
        <v/>
      </c>
    </row>
    <row r="187">
      <c r="A187" s="32" t="n"/>
      <c r="B187" s="33" t="n"/>
      <c r="C187" s="33" t="n"/>
      <c r="D187" s="34" t="n"/>
      <c r="E187" s="33" t="n"/>
      <c r="F187" s="35" t="n"/>
      <c r="G187" s="36" t="n"/>
      <c r="H187" s="37" t="n"/>
      <c r="I187" s="38" t="n"/>
      <c r="J187" s="39">
        <f>IF(G187="","",HYPERLINK("https://wa.me/"&amp;G187,"Открыть чат"))</f>
        <v/>
      </c>
    </row>
    <row r="188">
      <c r="A188" s="32" t="n"/>
      <c r="B188" s="33" t="n"/>
      <c r="C188" s="33" t="n"/>
      <c r="D188" s="34" t="n"/>
      <c r="E188" s="33" t="n"/>
      <c r="F188" s="35" t="n"/>
      <c r="G188" s="36" t="n"/>
      <c r="H188" s="37" t="n"/>
      <c r="I188" s="38" t="n"/>
      <c r="J188" s="39">
        <f>IF(G188="","",HYPERLINK("https://wa.me/"&amp;G188,"Открыть чат"))</f>
        <v/>
      </c>
    </row>
    <row r="189">
      <c r="A189" s="32" t="n"/>
      <c r="B189" s="33" t="n"/>
      <c r="C189" s="33" t="n"/>
      <c r="D189" s="34" t="n"/>
      <c r="E189" s="33" t="n"/>
      <c r="F189" s="35" t="n"/>
      <c r="G189" s="36" t="n"/>
      <c r="H189" s="37" t="n"/>
      <c r="I189" s="38" t="n"/>
      <c r="J189" s="39">
        <f>IF(G189="","",HYPERLINK("https://wa.me/"&amp;G189,"Открыть чат"))</f>
        <v/>
      </c>
    </row>
    <row r="190">
      <c r="A190" s="32" t="n"/>
      <c r="B190" s="33" t="n"/>
      <c r="C190" s="33" t="n"/>
      <c r="D190" s="34" t="n"/>
      <c r="E190" s="33" t="n"/>
      <c r="F190" s="35" t="n"/>
      <c r="G190" s="36" t="n"/>
      <c r="H190" s="37" t="n"/>
      <c r="I190" s="38" t="n"/>
      <c r="J190" s="39">
        <f>IF(G190="","",HYPERLINK("https://wa.me/"&amp;G190,"Открыть чат"))</f>
        <v/>
      </c>
    </row>
    <row r="191">
      <c r="A191" s="32" t="n"/>
      <c r="B191" s="33" t="n"/>
      <c r="C191" s="33" t="n"/>
      <c r="D191" s="34" t="n"/>
      <c r="E191" s="33" t="n"/>
      <c r="F191" s="35" t="n"/>
      <c r="G191" s="36" t="n"/>
      <c r="H191" s="37" t="n"/>
      <c r="I191" s="38" t="n"/>
      <c r="J191" s="39">
        <f>IF(G191="","",HYPERLINK("https://wa.me/"&amp;G191,"Открыть чат"))</f>
        <v/>
      </c>
    </row>
    <row r="192">
      <c r="A192" s="32" t="n"/>
      <c r="B192" s="33" t="n"/>
      <c r="C192" s="33" t="n"/>
      <c r="D192" s="34" t="n"/>
      <c r="E192" s="33" t="n"/>
      <c r="F192" s="35" t="n"/>
      <c r="G192" s="36" t="n"/>
      <c r="H192" s="37" t="n"/>
      <c r="I192" s="38" t="n"/>
      <c r="J192" s="39">
        <f>IF(G192="","",HYPERLINK("https://wa.me/"&amp;G192,"Открыть чат"))</f>
        <v/>
      </c>
    </row>
    <row r="193">
      <c r="A193" s="32" t="n"/>
      <c r="B193" s="33" t="n"/>
      <c r="C193" s="33" t="n"/>
      <c r="D193" s="34" t="n"/>
      <c r="E193" s="33" t="n"/>
      <c r="F193" s="35" t="n"/>
      <c r="G193" s="36" t="n"/>
      <c r="H193" s="37" t="n"/>
      <c r="I193" s="38" t="n"/>
      <c r="J193" s="39">
        <f>IF(G193="","",HYPERLINK("https://wa.me/"&amp;G193,"Открыть чат"))</f>
        <v/>
      </c>
    </row>
    <row r="194">
      <c r="A194" s="32" t="n"/>
      <c r="B194" s="33" t="n"/>
      <c r="C194" s="33" t="n"/>
      <c r="D194" s="34" t="n"/>
      <c r="E194" s="33" t="n"/>
      <c r="F194" s="35" t="n"/>
      <c r="G194" s="36" t="n"/>
      <c r="H194" s="37" t="n"/>
      <c r="I194" s="38" t="n"/>
      <c r="J194" s="39">
        <f>IF(G194="","",HYPERLINK("https://wa.me/"&amp;G194,"Открыть чат"))</f>
        <v/>
      </c>
    </row>
    <row r="195">
      <c r="A195" s="32" t="n"/>
      <c r="B195" s="33" t="n"/>
      <c r="C195" s="33" t="n"/>
      <c r="D195" s="34" t="n"/>
      <c r="E195" s="33" t="n"/>
      <c r="F195" s="35" t="n"/>
      <c r="G195" s="36" t="n"/>
      <c r="H195" s="37" t="n"/>
      <c r="I195" s="38" t="n"/>
      <c r="J195" s="39">
        <f>IF(G195="","",HYPERLINK("https://wa.me/"&amp;G195,"Открыть чат"))</f>
        <v/>
      </c>
    </row>
    <row r="196">
      <c r="A196" s="32" t="n"/>
      <c r="B196" s="33" t="n"/>
      <c r="C196" s="33" t="n"/>
      <c r="D196" s="34" t="n"/>
      <c r="E196" s="33" t="n"/>
      <c r="F196" s="35" t="n"/>
      <c r="G196" s="36" t="n"/>
      <c r="H196" s="37" t="n"/>
      <c r="I196" s="38" t="n"/>
      <c r="J196" s="39">
        <f>IF(G196="","",HYPERLINK("https://wa.me/"&amp;G196,"Открыть чат"))</f>
        <v/>
      </c>
    </row>
    <row r="197">
      <c r="A197" s="32" t="n"/>
      <c r="B197" s="33" t="n"/>
      <c r="C197" s="33" t="n"/>
      <c r="D197" s="34" t="n"/>
      <c r="E197" s="33" t="n"/>
      <c r="F197" s="35" t="n"/>
      <c r="G197" s="36" t="n"/>
      <c r="H197" s="37" t="n"/>
      <c r="I197" s="38" t="n"/>
      <c r="J197" s="39">
        <f>IF(G197="","",HYPERLINK("https://wa.me/"&amp;G197,"Открыть чат"))</f>
        <v/>
      </c>
    </row>
    <row r="198">
      <c r="A198" s="32" t="n"/>
      <c r="B198" s="33" t="n"/>
      <c r="C198" s="33" t="n"/>
      <c r="D198" s="34" t="n"/>
      <c r="E198" s="33" t="n"/>
      <c r="F198" s="35" t="n"/>
      <c r="G198" s="36" t="n"/>
      <c r="H198" s="37" t="n"/>
      <c r="I198" s="38" t="n"/>
      <c r="J198" s="39">
        <f>IF(G198="","",HYPERLINK("https://wa.me/"&amp;G198,"Открыть чат"))</f>
        <v/>
      </c>
    </row>
    <row r="199">
      <c r="A199" s="32" t="n"/>
      <c r="B199" s="33" t="n"/>
      <c r="C199" s="33" t="n"/>
      <c r="D199" s="34" t="n"/>
      <c r="E199" s="33" t="n"/>
      <c r="F199" s="35" t="n"/>
      <c r="G199" s="36" t="n"/>
      <c r="H199" s="37" t="n"/>
      <c r="I199" s="38" t="n"/>
      <c r="J199" s="39">
        <f>IF(G199="","",HYPERLINK("https://wa.me/"&amp;G199,"Открыть чат"))</f>
        <v/>
      </c>
    </row>
    <row r="200">
      <c r="A200" s="32" t="n"/>
      <c r="B200" s="33" t="n"/>
      <c r="C200" s="33" t="n"/>
      <c r="D200" s="34" t="n"/>
      <c r="E200" s="33" t="n"/>
      <c r="F200" s="35" t="n"/>
      <c r="G200" s="36" t="n"/>
      <c r="H200" s="37" t="n"/>
      <c r="I200" s="38" t="n"/>
      <c r="J200" s="39">
        <f>IF(G200="","",HYPERLINK("https://wa.me/"&amp;G200,"Открыть чат"))</f>
        <v/>
      </c>
    </row>
    <row r="201">
      <c r="A201" s="32" t="n"/>
      <c r="B201" s="33" t="n"/>
      <c r="C201" s="33" t="n"/>
      <c r="D201" s="34" t="n"/>
      <c r="E201" s="33" t="n"/>
      <c r="F201" s="35" t="n"/>
      <c r="G201" s="36" t="n"/>
      <c r="H201" s="37" t="n"/>
      <c r="I201" s="38" t="n"/>
      <c r="J201" s="39">
        <f>IF(G201="","",HYPERLINK("https://wa.me/"&amp;G201,"Открыть чат"))</f>
        <v/>
      </c>
    </row>
    <row r="202">
      <c r="A202" s="32" t="n"/>
      <c r="B202" s="33" t="n"/>
      <c r="C202" s="33" t="n"/>
      <c r="D202" s="34" t="n"/>
      <c r="E202" s="33" t="n"/>
      <c r="F202" s="35" t="n"/>
      <c r="G202" s="36" t="n"/>
      <c r="H202" s="37" t="n"/>
      <c r="I202" s="38" t="n"/>
      <c r="J202" s="39">
        <f>IF(G202="","",HYPERLINK("https://wa.me/"&amp;G202,"Открыть чат"))</f>
        <v/>
      </c>
    </row>
    <row r="203">
      <c r="A203" s="32" t="n"/>
      <c r="B203" s="33" t="n"/>
      <c r="C203" s="33" t="n"/>
      <c r="D203" s="34" t="n"/>
      <c r="E203" s="33" t="n"/>
      <c r="F203" s="35" t="n"/>
      <c r="G203" s="36" t="n"/>
      <c r="H203" s="37" t="n"/>
      <c r="I203" s="38" t="n"/>
      <c r="J203" s="39">
        <f>IF(G203="","",HYPERLINK("https://wa.me/"&amp;G203,"Открыть чат"))</f>
        <v/>
      </c>
    </row>
    <row r="204">
      <c r="A204" s="32" t="n"/>
      <c r="B204" s="33" t="n"/>
      <c r="C204" s="33" t="n"/>
      <c r="D204" s="34" t="n"/>
      <c r="E204" s="33" t="n"/>
      <c r="F204" s="35" t="n"/>
      <c r="G204" s="36" t="n"/>
      <c r="H204" s="37" t="n"/>
      <c r="I204" s="38" t="n"/>
      <c r="J204" s="39">
        <f>IF(G204="","",HYPERLINK("https://wa.me/"&amp;G204,"Открыть чат"))</f>
        <v/>
      </c>
    </row>
    <row r="205">
      <c r="A205" s="32" t="n"/>
      <c r="B205" s="33" t="n"/>
      <c r="C205" s="33" t="n"/>
      <c r="D205" s="34" t="n"/>
      <c r="E205" s="33" t="n"/>
      <c r="F205" s="35" t="n"/>
      <c r="G205" s="36" t="n"/>
      <c r="H205" s="37" t="n"/>
      <c r="I205" s="38" t="n"/>
      <c r="J205" s="39">
        <f>IF(G205="","",HYPERLINK("https://wa.me/"&amp;G205,"Открыть чат"))</f>
        <v/>
      </c>
    </row>
    <row r="206">
      <c r="A206" s="32" t="n"/>
      <c r="B206" s="33" t="n"/>
      <c r="C206" s="33" t="n"/>
      <c r="D206" s="34" t="n"/>
      <c r="E206" s="33" t="n"/>
      <c r="F206" s="35" t="n"/>
      <c r="G206" s="36" t="n"/>
      <c r="H206" s="37" t="n"/>
      <c r="I206" s="38" t="n"/>
      <c r="J206" s="39">
        <f>IF(G206="","",HYPERLINK("https://wa.me/"&amp;G206,"Открыть чат"))</f>
        <v/>
      </c>
    </row>
    <row r="207">
      <c r="A207" s="32" t="n"/>
      <c r="B207" s="33" t="n"/>
      <c r="C207" s="33" t="n"/>
      <c r="D207" s="34" t="n"/>
      <c r="E207" s="33" t="n"/>
      <c r="F207" s="35" t="n"/>
      <c r="G207" s="36" t="n"/>
      <c r="H207" s="37" t="n"/>
      <c r="I207" s="38" t="n"/>
      <c r="J207" s="39">
        <f>IF(G207="","",HYPERLINK("https://wa.me/"&amp;G207,"Открыть чат"))</f>
        <v/>
      </c>
    </row>
    <row r="208">
      <c r="A208" s="32" t="n"/>
      <c r="B208" s="33" t="n"/>
      <c r="C208" s="33" t="n"/>
      <c r="D208" s="34" t="n"/>
      <c r="E208" s="33" t="n"/>
      <c r="F208" s="35" t="n"/>
      <c r="G208" s="36" t="n"/>
      <c r="H208" s="37" t="n"/>
      <c r="I208" s="38" t="n"/>
      <c r="J208" s="39">
        <f>IF(G208="","",HYPERLINK("https://wa.me/"&amp;G208,"Открыть чат"))</f>
        <v/>
      </c>
    </row>
    <row r="209">
      <c r="A209" s="32" t="n"/>
      <c r="B209" s="33" t="n"/>
      <c r="C209" s="33" t="n"/>
      <c r="D209" s="34" t="n"/>
      <c r="E209" s="33" t="n"/>
      <c r="F209" s="35" t="n"/>
      <c r="G209" s="36" t="n"/>
      <c r="H209" s="37" t="n"/>
      <c r="I209" s="38" t="n"/>
      <c r="J209" s="39">
        <f>IF(G209="","",HYPERLINK("https://wa.me/"&amp;G209,"Открыть чат"))</f>
        <v/>
      </c>
    </row>
    <row r="210">
      <c r="A210" s="32" t="n"/>
      <c r="B210" s="33" t="n"/>
      <c r="C210" s="33" t="n"/>
      <c r="D210" s="34" t="n"/>
      <c r="E210" s="33" t="n"/>
      <c r="F210" s="35" t="n"/>
      <c r="G210" s="36" t="n"/>
      <c r="H210" s="37" t="n"/>
      <c r="I210" s="38" t="n"/>
      <c r="J210" s="39">
        <f>IF(G210="","",HYPERLINK("https://wa.me/"&amp;G210,"Открыть чат"))</f>
        <v/>
      </c>
    </row>
    <row r="211">
      <c r="A211" s="32" t="n"/>
      <c r="B211" s="33" t="n"/>
      <c r="C211" s="33" t="n"/>
      <c r="D211" s="34" t="n"/>
      <c r="E211" s="33" t="n"/>
      <c r="F211" s="35" t="n"/>
      <c r="G211" s="36" t="n"/>
      <c r="H211" s="37" t="n"/>
      <c r="I211" s="38" t="n"/>
      <c r="J211" s="39">
        <f>IF(G211="","",HYPERLINK("https://wa.me/"&amp;G211,"Открыть чат"))</f>
        <v/>
      </c>
    </row>
    <row r="212">
      <c r="A212" s="32" t="n"/>
      <c r="B212" s="33" t="n"/>
      <c r="C212" s="33" t="n"/>
      <c r="D212" s="34" t="n"/>
      <c r="E212" s="33" t="n"/>
      <c r="F212" s="35" t="n"/>
      <c r="G212" s="36" t="n"/>
      <c r="H212" s="37" t="n"/>
      <c r="I212" s="38" t="n"/>
      <c r="J212" s="39">
        <f>IF(G212="","",HYPERLINK("https://wa.me/"&amp;G212,"Открыть чат"))</f>
        <v/>
      </c>
    </row>
    <row r="213">
      <c r="A213" s="32" t="n"/>
      <c r="B213" s="33" t="n"/>
      <c r="C213" s="33" t="n"/>
      <c r="D213" s="34" t="n"/>
      <c r="E213" s="33" t="n"/>
      <c r="F213" s="35" t="n"/>
      <c r="G213" s="36" t="n"/>
      <c r="H213" s="37" t="n"/>
      <c r="I213" s="38" t="n"/>
      <c r="J213" s="39">
        <f>IF(G213="","",HYPERLINK("https://wa.me/"&amp;G213,"Открыть чат"))</f>
        <v/>
      </c>
    </row>
    <row r="214">
      <c r="A214" s="32" t="n"/>
      <c r="B214" s="33" t="n"/>
      <c r="C214" s="33" t="n"/>
      <c r="D214" s="34" t="n"/>
      <c r="E214" s="33" t="n"/>
      <c r="F214" s="35" t="n"/>
      <c r="G214" s="36" t="n"/>
      <c r="H214" s="37" t="n"/>
      <c r="I214" s="38" t="n"/>
      <c r="J214" s="39">
        <f>IF(G214="","",HYPERLINK("https://wa.me/"&amp;G214,"Открыть чат"))</f>
        <v/>
      </c>
    </row>
    <row r="215">
      <c r="A215" s="32" t="n"/>
      <c r="B215" s="33" t="n"/>
      <c r="C215" s="33" t="n"/>
      <c r="D215" s="34" t="n"/>
      <c r="E215" s="33" t="n"/>
      <c r="F215" s="35" t="n"/>
      <c r="G215" s="36" t="n"/>
      <c r="H215" s="37" t="n"/>
      <c r="I215" s="38" t="n"/>
      <c r="J215" s="39">
        <f>IF(G215="","",HYPERLINK("https://wa.me/"&amp;G215,"Открыть чат"))</f>
        <v/>
      </c>
    </row>
    <row r="216">
      <c r="A216" s="32" t="n"/>
      <c r="B216" s="33" t="n"/>
      <c r="C216" s="33" t="n"/>
      <c r="D216" s="34" t="n"/>
      <c r="E216" s="33" t="n"/>
      <c r="F216" s="35" t="n"/>
      <c r="G216" s="36" t="n"/>
      <c r="H216" s="37" t="n"/>
      <c r="I216" s="38" t="n"/>
      <c r="J216" s="39">
        <f>IF(G216="","",HYPERLINK("https://wa.me/"&amp;G216,"Открыть чат"))</f>
        <v/>
      </c>
    </row>
    <row r="217">
      <c r="A217" s="32" t="n"/>
      <c r="B217" s="33" t="n"/>
      <c r="C217" s="33" t="n"/>
      <c r="D217" s="34" t="n"/>
      <c r="E217" s="33" t="n"/>
      <c r="F217" s="35" t="n"/>
      <c r="G217" s="36" t="n"/>
      <c r="H217" s="37" t="n"/>
      <c r="I217" s="38" t="n"/>
      <c r="J217" s="39">
        <f>IF(G217="","",HYPERLINK("https://wa.me/"&amp;G217,"Открыть чат"))</f>
        <v/>
      </c>
    </row>
    <row r="218">
      <c r="A218" s="32" t="n"/>
      <c r="B218" s="33" t="n"/>
      <c r="C218" s="33" t="n"/>
      <c r="D218" s="34" t="n"/>
      <c r="E218" s="33" t="n"/>
      <c r="F218" s="35" t="n"/>
      <c r="G218" s="36" t="n"/>
      <c r="H218" s="37" t="n"/>
      <c r="I218" s="38" t="n"/>
      <c r="J218" s="39">
        <f>IF(G218="","",HYPERLINK("https://wa.me/"&amp;G218,"Открыть чат"))</f>
        <v/>
      </c>
    </row>
    <row r="219">
      <c r="A219" s="32" t="n"/>
      <c r="B219" s="33" t="n"/>
      <c r="C219" s="33" t="n"/>
      <c r="D219" s="34" t="n"/>
      <c r="E219" s="33" t="n"/>
      <c r="F219" s="35" t="n"/>
      <c r="G219" s="36" t="n"/>
      <c r="H219" s="37" t="n"/>
      <c r="I219" s="38" t="n"/>
      <c r="J219" s="39">
        <f>IF(G219="","",HYPERLINK("https://wa.me/"&amp;G219,"Открыть чат"))</f>
        <v/>
      </c>
    </row>
    <row r="220">
      <c r="A220" s="32" t="n"/>
      <c r="B220" s="33" t="n"/>
      <c r="C220" s="33" t="n"/>
      <c r="D220" s="34" t="n"/>
      <c r="E220" s="33" t="n"/>
      <c r="F220" s="35" t="n"/>
      <c r="G220" s="36" t="n"/>
      <c r="H220" s="37" t="n"/>
      <c r="I220" s="38" t="n"/>
      <c r="J220" s="39">
        <f>IF(G220="","",HYPERLINK("https://wa.me/"&amp;G220,"Открыть чат"))</f>
        <v/>
      </c>
    </row>
    <row r="221">
      <c r="A221" s="32" t="n"/>
      <c r="B221" s="33" t="n"/>
      <c r="C221" s="33" t="n"/>
      <c r="D221" s="34" t="n"/>
      <c r="E221" s="33" t="n"/>
      <c r="F221" s="35" t="n"/>
      <c r="G221" s="36" t="n"/>
      <c r="H221" s="37" t="n"/>
      <c r="I221" s="38" t="n"/>
      <c r="J221" s="39">
        <f>IF(G221="","",HYPERLINK("https://wa.me/"&amp;G221,"Открыть чат"))</f>
        <v/>
      </c>
    </row>
    <row r="222">
      <c r="A222" s="32" t="n"/>
      <c r="B222" s="33" t="n"/>
      <c r="C222" s="33" t="n"/>
      <c r="D222" s="34" t="n"/>
      <c r="E222" s="33" t="n"/>
      <c r="F222" s="35" t="n"/>
      <c r="G222" s="36" t="n"/>
      <c r="H222" s="37" t="n"/>
      <c r="I222" s="38" t="n"/>
      <c r="J222" s="39">
        <f>IF(G222="","",HYPERLINK("https://wa.me/"&amp;G222,"Открыть чат"))</f>
        <v/>
      </c>
    </row>
    <row r="223">
      <c r="A223" s="32" t="n"/>
      <c r="B223" s="33" t="n"/>
      <c r="C223" s="33" t="n"/>
      <c r="D223" s="34" t="n"/>
      <c r="E223" s="33" t="n"/>
      <c r="F223" s="35" t="n"/>
      <c r="G223" s="36" t="n"/>
      <c r="H223" s="37" t="n"/>
      <c r="I223" s="38" t="n"/>
      <c r="J223" s="39">
        <f>IF(G223="","",HYPERLINK("https://wa.me/"&amp;G223,"Открыть чат"))</f>
        <v/>
      </c>
    </row>
    <row r="224">
      <c r="A224" s="32" t="n"/>
      <c r="B224" s="33" t="n"/>
      <c r="C224" s="33" t="n"/>
      <c r="D224" s="34" t="n"/>
      <c r="E224" s="33" t="n"/>
      <c r="F224" s="35" t="n"/>
      <c r="G224" s="36" t="n"/>
      <c r="H224" s="37" t="n"/>
      <c r="I224" s="38" t="n"/>
      <c r="J224" s="39">
        <f>IF(G224="","",HYPERLINK("https://wa.me/"&amp;G224,"Открыть чат"))</f>
        <v/>
      </c>
    </row>
    <row r="225">
      <c r="A225" s="32" t="n"/>
      <c r="B225" s="33" t="n"/>
      <c r="C225" s="33" t="n"/>
      <c r="D225" s="34" t="n"/>
      <c r="E225" s="33" t="n"/>
      <c r="F225" s="35" t="n"/>
      <c r="G225" s="36" t="n"/>
      <c r="H225" s="37" t="n"/>
      <c r="I225" s="38" t="n"/>
      <c r="J225" s="39">
        <f>IF(G225="","",HYPERLINK("https://wa.me/"&amp;G225,"Открыть чат"))</f>
        <v/>
      </c>
    </row>
    <row r="226">
      <c r="A226" s="32" t="n"/>
      <c r="B226" s="33" t="n"/>
      <c r="C226" s="33" t="n"/>
      <c r="D226" s="34" t="n"/>
      <c r="E226" s="33" t="n"/>
      <c r="F226" s="35" t="n"/>
      <c r="G226" s="36" t="n"/>
      <c r="H226" s="37" t="n"/>
      <c r="I226" s="38" t="n"/>
      <c r="J226" s="39">
        <f>IF(G226="","",HYPERLINK("https://wa.me/"&amp;G226,"Открыть чат"))</f>
        <v/>
      </c>
    </row>
    <row r="227">
      <c r="A227" s="32" t="n"/>
      <c r="B227" s="33" t="n"/>
      <c r="C227" s="33" t="n"/>
      <c r="D227" s="34" t="n"/>
      <c r="E227" s="33" t="n"/>
      <c r="F227" s="35" t="n"/>
      <c r="G227" s="36" t="n"/>
      <c r="H227" s="37" t="n"/>
      <c r="I227" s="38" t="n"/>
      <c r="J227" s="39">
        <f>IF(G227="","",HYPERLINK("https://wa.me/"&amp;G227,"Открыть чат"))</f>
        <v/>
      </c>
    </row>
    <row r="228">
      <c r="A228" s="32" t="n"/>
      <c r="B228" s="33" t="n"/>
      <c r="C228" s="33" t="n"/>
      <c r="D228" s="34" t="n"/>
      <c r="E228" s="33" t="n"/>
      <c r="F228" s="35" t="n"/>
      <c r="G228" s="36" t="n"/>
      <c r="H228" s="37" t="n"/>
      <c r="I228" s="38" t="n"/>
      <c r="J228" s="39">
        <f>IF(G228="","",HYPERLINK("https://wa.me/"&amp;G228,"Открыть чат"))</f>
        <v/>
      </c>
    </row>
    <row r="229">
      <c r="A229" s="32" t="n"/>
      <c r="B229" s="33" t="n"/>
      <c r="C229" s="33" t="n"/>
      <c r="D229" s="34" t="n"/>
      <c r="E229" s="33" t="n"/>
      <c r="F229" s="35" t="n"/>
      <c r="G229" s="36" t="n"/>
      <c r="H229" s="37" t="n"/>
      <c r="I229" s="38" t="n"/>
      <c r="J229" s="39">
        <f>IF(G229="","",HYPERLINK("https://wa.me/"&amp;G229,"Открыть чат"))</f>
        <v/>
      </c>
    </row>
    <row r="230">
      <c r="A230" s="32" t="n"/>
      <c r="B230" s="33" t="n"/>
      <c r="C230" s="33" t="n"/>
      <c r="D230" s="34" t="n"/>
      <c r="E230" s="33" t="n"/>
      <c r="F230" s="35" t="n"/>
      <c r="G230" s="36" t="n"/>
      <c r="H230" s="37" t="n"/>
      <c r="I230" s="38" t="n"/>
      <c r="J230" s="39">
        <f>IF(G230="","",HYPERLINK("https://wa.me/"&amp;G230,"Открыть чат"))</f>
        <v/>
      </c>
    </row>
    <row r="231">
      <c r="A231" s="32" t="n"/>
      <c r="B231" s="33" t="n"/>
      <c r="C231" s="33" t="n"/>
      <c r="D231" s="34" t="n"/>
      <c r="E231" s="33" t="n"/>
      <c r="F231" s="35" t="n"/>
      <c r="G231" s="36" t="n"/>
      <c r="H231" s="37" t="n"/>
      <c r="I231" s="38" t="n"/>
      <c r="J231" s="39">
        <f>IF(G231="","",HYPERLINK("https://wa.me/"&amp;G231,"Открыть чат"))</f>
        <v/>
      </c>
    </row>
    <row r="232">
      <c r="A232" s="32" t="n"/>
      <c r="B232" s="33" t="n"/>
      <c r="C232" s="33" t="n"/>
      <c r="D232" s="34" t="n"/>
      <c r="E232" s="33" t="n"/>
      <c r="F232" s="35" t="n"/>
      <c r="G232" s="36" t="n"/>
      <c r="H232" s="37" t="n"/>
      <c r="I232" s="38" t="n"/>
      <c r="J232" s="39">
        <f>IF(G232="","",HYPERLINK("https://wa.me/"&amp;G232,"Открыть чат"))</f>
        <v/>
      </c>
    </row>
    <row r="233">
      <c r="A233" s="32" t="n"/>
      <c r="B233" s="33" t="n"/>
      <c r="C233" s="33" t="n"/>
      <c r="D233" s="34" t="n"/>
      <c r="E233" s="33" t="n"/>
      <c r="F233" s="35" t="n"/>
      <c r="G233" s="36" t="n"/>
      <c r="H233" s="37" t="n"/>
      <c r="I233" s="38" t="n"/>
      <c r="J233" s="39">
        <f>IF(G233="","",HYPERLINK("https://wa.me/"&amp;G233,"Открыть чат"))</f>
        <v/>
      </c>
    </row>
    <row r="234">
      <c r="A234" s="32" t="n"/>
      <c r="B234" s="33" t="n"/>
      <c r="C234" s="33" t="n"/>
      <c r="D234" s="34" t="n"/>
      <c r="E234" s="33" t="n"/>
      <c r="F234" s="35" t="n"/>
      <c r="G234" s="36" t="n"/>
      <c r="H234" s="37" t="n"/>
      <c r="I234" s="38" t="n"/>
      <c r="J234" s="39">
        <f>IF(G234="","",HYPERLINK("https://wa.me/"&amp;G234,"Открыть чат"))</f>
        <v/>
      </c>
    </row>
    <row r="235">
      <c r="A235" s="32" t="n"/>
      <c r="B235" s="33" t="n"/>
      <c r="C235" s="33" t="n"/>
      <c r="D235" s="34" t="n"/>
      <c r="E235" s="33" t="n"/>
      <c r="F235" s="35" t="n"/>
      <c r="G235" s="36" t="n"/>
      <c r="H235" s="37" t="n"/>
      <c r="I235" s="38" t="n"/>
      <c r="J235" s="39">
        <f>IF(G235="","",HYPERLINK("https://wa.me/"&amp;G235,"Открыть чат"))</f>
        <v/>
      </c>
    </row>
    <row r="236">
      <c r="A236" s="32" t="n"/>
      <c r="B236" s="33" t="n"/>
      <c r="C236" s="33" t="n"/>
      <c r="D236" s="34" t="n"/>
      <c r="E236" s="33" t="n"/>
      <c r="F236" s="35" t="n"/>
      <c r="G236" s="36" t="n"/>
      <c r="H236" s="37" t="n"/>
      <c r="I236" s="38" t="n"/>
      <c r="J236" s="39">
        <f>IF(G236="","",HYPERLINK("https://wa.me/"&amp;G236,"Открыть чат"))</f>
        <v/>
      </c>
    </row>
    <row r="237">
      <c r="A237" s="32" t="n"/>
      <c r="B237" s="33" t="n"/>
      <c r="C237" s="33" t="n"/>
      <c r="D237" s="34" t="n"/>
      <c r="E237" s="33" t="n"/>
      <c r="F237" s="35" t="n"/>
      <c r="G237" s="36" t="n"/>
      <c r="H237" s="37" t="n"/>
      <c r="I237" s="38" t="n"/>
      <c r="J237" s="39">
        <f>IF(G237="","",HYPERLINK("https://wa.me/"&amp;G237,"Открыть чат"))</f>
        <v/>
      </c>
    </row>
    <row r="238">
      <c r="A238" s="32" t="n"/>
      <c r="B238" s="33" t="n"/>
      <c r="C238" s="33" t="n"/>
      <c r="D238" s="34" t="n"/>
      <c r="E238" s="33" t="n"/>
      <c r="F238" s="35" t="n"/>
      <c r="G238" s="36" t="n"/>
      <c r="H238" s="37" t="n"/>
      <c r="I238" s="38" t="n"/>
      <c r="J238" s="39">
        <f>IF(G238="","",HYPERLINK("https://wa.me/"&amp;G238,"Открыть чат"))</f>
        <v/>
      </c>
    </row>
    <row r="239">
      <c r="A239" s="32" t="n"/>
      <c r="B239" s="33" t="n"/>
      <c r="C239" s="33" t="n"/>
      <c r="D239" s="34" t="n"/>
      <c r="E239" s="33" t="n"/>
      <c r="F239" s="35" t="n"/>
      <c r="G239" s="36" t="n"/>
      <c r="H239" s="37" t="n"/>
      <c r="I239" s="38" t="n"/>
      <c r="J239" s="39">
        <f>IF(G239="","",HYPERLINK("https://wa.me/"&amp;G239,"Открыть чат"))</f>
        <v/>
      </c>
    </row>
    <row r="240">
      <c r="A240" s="32" t="n"/>
      <c r="B240" s="33" t="n"/>
      <c r="C240" s="33" t="n"/>
      <c r="D240" s="34" t="n"/>
      <c r="E240" s="33" t="n"/>
      <c r="F240" s="35" t="n"/>
      <c r="G240" s="36" t="n"/>
      <c r="H240" s="37" t="n"/>
      <c r="I240" s="38" t="n"/>
      <c r="J240" s="39">
        <f>IF(G240="","",HYPERLINK("https://wa.me/"&amp;G240,"Открыть чат"))</f>
        <v/>
      </c>
    </row>
    <row r="241">
      <c r="A241" s="32" t="n"/>
      <c r="B241" s="33" t="n"/>
      <c r="C241" s="33" t="n"/>
      <c r="D241" s="34" t="n"/>
      <c r="E241" s="33" t="n"/>
      <c r="F241" s="35" t="n"/>
      <c r="G241" s="36" t="n"/>
      <c r="H241" s="37" t="n"/>
      <c r="I241" s="38" t="n"/>
      <c r="J241" s="39">
        <f>IF(G241="","",HYPERLINK("https://wa.me/"&amp;G241,"Открыть чат"))</f>
        <v/>
      </c>
    </row>
    <row r="242">
      <c r="A242" s="32" t="n"/>
      <c r="B242" s="33" t="n"/>
      <c r="C242" s="33" t="n"/>
      <c r="D242" s="34" t="n"/>
      <c r="E242" s="33" t="n"/>
      <c r="F242" s="35" t="n"/>
      <c r="G242" s="36" t="n"/>
      <c r="H242" s="37" t="n"/>
      <c r="I242" s="38" t="n"/>
      <c r="J242" s="39">
        <f>IF(G242="","",HYPERLINK("https://wa.me/"&amp;G242,"Открыть чат"))</f>
        <v/>
      </c>
    </row>
    <row r="243">
      <c r="A243" s="32" t="n"/>
      <c r="B243" s="33" t="n"/>
      <c r="C243" s="33" t="n"/>
      <c r="D243" s="34" t="n"/>
      <c r="E243" s="33" t="n"/>
      <c r="F243" s="35" t="n"/>
      <c r="G243" s="36" t="n"/>
      <c r="H243" s="37" t="n"/>
      <c r="I243" s="38" t="n"/>
      <c r="J243" s="39">
        <f>IF(G243="","",HYPERLINK("https://wa.me/"&amp;G243,"Открыть чат"))</f>
        <v/>
      </c>
    </row>
    <row r="244">
      <c r="A244" s="32" t="n"/>
      <c r="B244" s="33" t="n"/>
      <c r="C244" s="33" t="n"/>
      <c r="D244" s="34" t="n"/>
      <c r="E244" s="33" t="n"/>
      <c r="F244" s="35" t="n"/>
      <c r="G244" s="36" t="n"/>
      <c r="H244" s="37" t="n"/>
      <c r="I244" s="38" t="n"/>
      <c r="J244" s="39">
        <f>IF(G244="","",HYPERLINK("https://wa.me/"&amp;G244,"Открыть чат"))</f>
        <v/>
      </c>
    </row>
    <row r="245">
      <c r="A245" s="32" t="n"/>
      <c r="B245" s="33" t="n"/>
      <c r="C245" s="33" t="n"/>
      <c r="D245" s="34" t="n"/>
      <c r="E245" s="33" t="n"/>
      <c r="F245" s="35" t="n"/>
      <c r="G245" s="36" t="n"/>
      <c r="H245" s="37" t="n"/>
      <c r="I245" s="38" t="n"/>
      <c r="J245" s="39">
        <f>IF(G245="","",HYPERLINK("https://wa.me/"&amp;G245,"Открыть чат"))</f>
        <v/>
      </c>
    </row>
    <row r="246">
      <c r="A246" s="32" t="n"/>
      <c r="B246" s="33" t="n"/>
      <c r="C246" s="33" t="n"/>
      <c r="D246" s="34" t="n"/>
      <c r="E246" s="33" t="n"/>
      <c r="F246" s="35" t="n"/>
      <c r="G246" s="36" t="n"/>
      <c r="H246" s="37" t="n"/>
      <c r="I246" s="38" t="n"/>
      <c r="J246" s="39">
        <f>IF(G246="","",HYPERLINK("https://wa.me/"&amp;G246,"Открыть чат"))</f>
        <v/>
      </c>
    </row>
    <row r="247">
      <c r="A247" s="32" t="n"/>
      <c r="B247" s="33" t="n"/>
      <c r="C247" s="33" t="n"/>
      <c r="D247" s="34" t="n"/>
      <c r="E247" s="33" t="n"/>
      <c r="F247" s="35" t="n"/>
      <c r="G247" s="36" t="n"/>
      <c r="H247" s="37" t="n"/>
      <c r="I247" s="38" t="n"/>
      <c r="J247" s="39">
        <f>IF(G247="","",HYPERLINK("https://wa.me/"&amp;G247,"Открыть чат"))</f>
        <v/>
      </c>
    </row>
    <row r="248">
      <c r="A248" s="32" t="n"/>
      <c r="B248" s="33" t="n"/>
      <c r="C248" s="33" t="n"/>
      <c r="D248" s="34" t="n"/>
      <c r="E248" s="33" t="n"/>
      <c r="F248" s="35" t="n"/>
      <c r="G248" s="36" t="n"/>
      <c r="H248" s="37" t="n"/>
      <c r="I248" s="38" t="n"/>
      <c r="J248" s="39">
        <f>IF(G248="","",HYPERLINK("https://wa.me/"&amp;G248,"Открыть чат"))</f>
        <v/>
      </c>
    </row>
    <row r="249">
      <c r="A249" s="32" t="n"/>
      <c r="B249" s="33" t="n"/>
      <c r="C249" s="33" t="n"/>
      <c r="D249" s="34" t="n"/>
      <c r="E249" s="33" t="n"/>
      <c r="F249" s="35" t="n"/>
      <c r="G249" s="36" t="n"/>
      <c r="H249" s="37" t="n"/>
      <c r="I249" s="38" t="n"/>
      <c r="J249" s="39">
        <f>IF(G249="","",HYPERLINK("https://wa.me/"&amp;G249,"Открыть чат"))</f>
        <v/>
      </c>
    </row>
    <row r="250">
      <c r="A250" s="32" t="n"/>
      <c r="B250" s="33" t="n"/>
      <c r="C250" s="33" t="n"/>
      <c r="D250" s="34" t="n"/>
      <c r="E250" s="33" t="n"/>
      <c r="F250" s="35" t="n"/>
      <c r="G250" s="36" t="n"/>
      <c r="H250" s="37" t="n"/>
      <c r="I250" s="38" t="n"/>
      <c r="J250" s="39">
        <f>IF(G250="","",HYPERLINK("https://wa.me/"&amp;G250,"Открыть чат"))</f>
        <v/>
      </c>
    </row>
    <row r="251">
      <c r="A251" s="32" t="n"/>
      <c r="B251" s="33" t="n"/>
      <c r="C251" s="33" t="n"/>
      <c r="D251" s="34" t="n"/>
      <c r="E251" s="33" t="n"/>
      <c r="F251" s="35" t="n"/>
      <c r="G251" s="36" t="n"/>
      <c r="H251" s="37" t="n"/>
      <c r="I251" s="38" t="n"/>
      <c r="J251" s="39">
        <f>IF(G251="","",HYPERLINK("https://wa.me/"&amp;G251,"Открыть чат"))</f>
        <v/>
      </c>
    </row>
    <row r="252">
      <c r="A252" s="32" t="n"/>
      <c r="B252" s="33" t="n"/>
      <c r="C252" s="33" t="n"/>
      <c r="D252" s="34" t="n"/>
      <c r="E252" s="33" t="n"/>
      <c r="F252" s="35" t="n"/>
      <c r="G252" s="36" t="n"/>
      <c r="H252" s="37" t="n"/>
      <c r="I252" s="38" t="n"/>
      <c r="J252" s="39">
        <f>IF(G252="","",HYPERLINK("https://wa.me/"&amp;G252,"Открыть чат"))</f>
        <v/>
      </c>
    </row>
    <row r="253">
      <c r="A253" s="32" t="n"/>
      <c r="B253" s="33" t="n"/>
      <c r="C253" s="33" t="n"/>
      <c r="D253" s="34" t="n"/>
      <c r="E253" s="33" t="n"/>
      <c r="F253" s="35" t="n"/>
      <c r="G253" s="36" t="n"/>
      <c r="H253" s="37" t="n"/>
      <c r="I253" s="38" t="n"/>
      <c r="J253" s="39">
        <f>IF(G253="","",HYPERLINK("https://wa.me/"&amp;G253,"Открыть чат"))</f>
        <v/>
      </c>
    </row>
    <row r="254">
      <c r="A254" s="32" t="n"/>
      <c r="B254" s="33" t="n"/>
      <c r="C254" s="33" t="n"/>
      <c r="D254" s="34" t="n"/>
      <c r="E254" s="33" t="n"/>
      <c r="F254" s="35" t="n"/>
      <c r="G254" s="36" t="n"/>
      <c r="H254" s="37" t="n"/>
      <c r="I254" s="38" t="n"/>
      <c r="J254" s="39">
        <f>IF(G254="","",HYPERLINK("https://wa.me/"&amp;G254,"Открыть чат"))</f>
        <v/>
      </c>
    </row>
    <row r="255">
      <c r="A255" s="32" t="n"/>
      <c r="B255" s="33" t="n"/>
      <c r="C255" s="33" t="n"/>
      <c r="D255" s="34" t="n"/>
      <c r="E255" s="33" t="n"/>
      <c r="F255" s="35" t="n"/>
      <c r="G255" s="36" t="n"/>
      <c r="H255" s="37" t="n"/>
      <c r="I255" s="38" t="n"/>
      <c r="J255" s="39">
        <f>IF(G255="","",HYPERLINK("https://wa.me/"&amp;G255,"Открыть чат"))</f>
        <v/>
      </c>
    </row>
    <row r="256">
      <c r="A256" s="32" t="n"/>
      <c r="B256" s="33" t="n"/>
      <c r="C256" s="33" t="n"/>
      <c r="D256" s="34" t="n"/>
      <c r="E256" s="33" t="n"/>
      <c r="F256" s="35" t="n"/>
      <c r="G256" s="36" t="n"/>
      <c r="H256" s="37" t="n"/>
      <c r="I256" s="38" t="n"/>
      <c r="J256" s="39">
        <f>IF(G256="","",HYPERLINK("https://wa.me/"&amp;G256,"Открыть чат"))</f>
        <v/>
      </c>
    </row>
    <row r="257">
      <c r="A257" s="32" t="n"/>
      <c r="B257" s="33" t="n"/>
      <c r="C257" s="33" t="n"/>
      <c r="D257" s="34" t="n"/>
      <c r="E257" s="33" t="n"/>
      <c r="F257" s="35" t="n"/>
      <c r="G257" s="36" t="n"/>
      <c r="H257" s="37" t="n"/>
      <c r="I257" s="38" t="n"/>
      <c r="J257" s="39">
        <f>IF(G257="","",HYPERLINK("https://wa.me/"&amp;G257,"Открыть чат"))</f>
        <v/>
      </c>
    </row>
    <row r="258">
      <c r="A258" s="32" t="n"/>
      <c r="B258" s="33" t="n"/>
      <c r="C258" s="33" t="n"/>
      <c r="D258" s="34" t="n"/>
      <c r="E258" s="33" t="n"/>
      <c r="F258" s="35" t="n"/>
      <c r="G258" s="36" t="n"/>
      <c r="H258" s="37" t="n"/>
      <c r="I258" s="38" t="n"/>
      <c r="J258" s="39">
        <f>IF(G258="","",HYPERLINK("https://wa.me/"&amp;G258,"Открыть чат"))</f>
        <v/>
      </c>
    </row>
    <row r="259">
      <c r="A259" s="32" t="n"/>
      <c r="B259" s="33" t="n"/>
      <c r="C259" s="33" t="n"/>
      <c r="D259" s="34" t="n"/>
      <c r="E259" s="33" t="n"/>
      <c r="F259" s="35" t="n"/>
      <c r="G259" s="36" t="n"/>
      <c r="H259" s="37" t="n"/>
      <c r="I259" s="38" t="n"/>
      <c r="J259" s="39">
        <f>IF(G259="","",HYPERLINK("https://wa.me/"&amp;G259,"Открыть чат"))</f>
        <v/>
      </c>
    </row>
    <row r="260">
      <c r="A260" s="32" t="n"/>
      <c r="B260" s="33" t="n"/>
      <c r="C260" s="33" t="n"/>
      <c r="D260" s="34" t="n"/>
      <c r="E260" s="33" t="n"/>
      <c r="F260" s="35" t="n"/>
      <c r="G260" s="36" t="n"/>
      <c r="H260" s="37" t="n"/>
      <c r="I260" s="38" t="n"/>
      <c r="J260" s="39">
        <f>IF(G260="","",HYPERLINK("https://wa.me/"&amp;G260,"Открыть чат"))</f>
        <v/>
      </c>
    </row>
    <row r="261">
      <c r="A261" s="32" t="n"/>
      <c r="B261" s="33" t="n"/>
      <c r="C261" s="33" t="n"/>
      <c r="D261" s="34" t="n"/>
      <c r="E261" s="33" t="n"/>
      <c r="F261" s="35" t="n"/>
      <c r="G261" s="36" t="n"/>
      <c r="H261" s="37" t="n"/>
      <c r="I261" s="38" t="n"/>
      <c r="J261" s="39">
        <f>IF(G261="","",HYPERLINK("https://wa.me/"&amp;G261,"Открыть чат"))</f>
        <v/>
      </c>
    </row>
    <row r="262">
      <c r="A262" s="32" t="n"/>
      <c r="B262" s="33" t="n"/>
      <c r="C262" s="33" t="n"/>
      <c r="D262" s="34" t="n"/>
      <c r="E262" s="33" t="n"/>
      <c r="F262" s="35" t="n"/>
      <c r="G262" s="36" t="n"/>
      <c r="H262" s="37" t="n"/>
      <c r="I262" s="38" t="n"/>
      <c r="J262" s="39">
        <f>IF(G262="","",HYPERLINK("https://wa.me/"&amp;G262,"Открыть чат"))</f>
        <v/>
      </c>
    </row>
    <row r="263">
      <c r="A263" s="32" t="n"/>
      <c r="B263" s="33" t="n"/>
      <c r="C263" s="33" t="n"/>
      <c r="D263" s="34" t="n"/>
      <c r="E263" s="33" t="n"/>
      <c r="F263" s="35" t="n"/>
      <c r="G263" s="36" t="n"/>
      <c r="H263" s="37" t="n"/>
      <c r="I263" s="38" t="n"/>
      <c r="J263" s="39">
        <f>IF(G263="","",HYPERLINK("https://wa.me/"&amp;G263,"Открыть чат"))</f>
        <v/>
      </c>
    </row>
    <row r="264">
      <c r="A264" s="32" t="n"/>
      <c r="B264" s="33" t="n"/>
      <c r="C264" s="33" t="n"/>
      <c r="D264" s="34" t="n"/>
      <c r="E264" s="33" t="n"/>
      <c r="F264" s="35" t="n"/>
      <c r="G264" s="36" t="n"/>
      <c r="H264" s="37" t="n"/>
      <c r="I264" s="38" t="n"/>
      <c r="J264" s="39">
        <f>IF(G264="","",HYPERLINK("https://wa.me/"&amp;G264,"Открыть чат"))</f>
        <v/>
      </c>
    </row>
    <row r="265">
      <c r="A265" s="32" t="n"/>
      <c r="B265" s="33" t="n"/>
      <c r="C265" s="33" t="n"/>
      <c r="D265" s="34" t="n"/>
      <c r="E265" s="33" t="n"/>
      <c r="F265" s="35" t="n"/>
      <c r="G265" s="36" t="n"/>
      <c r="H265" s="37" t="n"/>
      <c r="I265" s="38" t="n"/>
      <c r="J265" s="39">
        <f>IF(G265="","",HYPERLINK("https://wa.me/"&amp;G265,"Открыть чат"))</f>
        <v/>
      </c>
    </row>
    <row r="266">
      <c r="A266" s="32" t="n"/>
      <c r="B266" s="33" t="n"/>
      <c r="C266" s="33" t="n"/>
      <c r="D266" s="34" t="n"/>
      <c r="E266" s="33" t="n"/>
      <c r="F266" s="35" t="n"/>
      <c r="G266" s="36" t="n"/>
      <c r="H266" s="37" t="n"/>
      <c r="I266" s="38" t="n"/>
      <c r="J266" s="39">
        <f>IF(G266="","",HYPERLINK("https://wa.me/"&amp;G266,"Открыть чат"))</f>
        <v/>
      </c>
    </row>
    <row r="267">
      <c r="A267" s="32" t="n"/>
      <c r="B267" s="33" t="n"/>
      <c r="C267" s="33" t="n"/>
      <c r="D267" s="34" t="n"/>
      <c r="E267" s="33" t="n"/>
      <c r="F267" s="35" t="n"/>
      <c r="G267" s="36" t="n"/>
      <c r="H267" s="37" t="n"/>
      <c r="I267" s="38" t="n"/>
      <c r="J267" s="39">
        <f>IF(G267="","",HYPERLINK("https://wa.me/"&amp;G267,"Открыть чат"))</f>
        <v/>
      </c>
    </row>
    <row r="268">
      <c r="A268" s="32" t="n"/>
      <c r="B268" s="33" t="n"/>
      <c r="C268" s="33" t="n"/>
      <c r="D268" s="34" t="n"/>
      <c r="E268" s="33" t="n"/>
      <c r="F268" s="35" t="n"/>
      <c r="G268" s="36" t="n"/>
      <c r="H268" s="37" t="n"/>
      <c r="I268" s="38" t="n"/>
      <c r="J268" s="39">
        <f>IF(G268="","",HYPERLINK("https://wa.me/"&amp;G268,"Открыть чат"))</f>
        <v/>
      </c>
    </row>
    <row r="269">
      <c r="A269" s="32" t="n"/>
      <c r="B269" s="33" t="n"/>
      <c r="C269" s="33" t="n"/>
      <c r="D269" s="34" t="n"/>
      <c r="E269" s="33" t="n"/>
      <c r="F269" s="35" t="n"/>
      <c r="G269" s="36" t="n"/>
      <c r="H269" s="37" t="n"/>
      <c r="I269" s="38" t="n"/>
      <c r="J269" s="39">
        <f>IF(G269="","",HYPERLINK("https://wa.me/"&amp;G269,"Открыть чат"))</f>
        <v/>
      </c>
    </row>
    <row r="270">
      <c r="A270" s="32" t="n"/>
      <c r="B270" s="33" t="n"/>
      <c r="C270" s="33" t="n"/>
      <c r="D270" s="34" t="n"/>
      <c r="E270" s="33" t="n"/>
      <c r="F270" s="35" t="n"/>
      <c r="G270" s="36" t="n"/>
      <c r="H270" s="37" t="n"/>
      <c r="I270" s="38" t="n"/>
      <c r="J270" s="39">
        <f>IF(G270="","",HYPERLINK("https://wa.me/"&amp;G270,"Открыть чат"))</f>
        <v/>
      </c>
    </row>
    <row r="271">
      <c r="A271" s="32" t="n"/>
      <c r="B271" s="33" t="n"/>
      <c r="C271" s="33" t="n"/>
      <c r="D271" s="34" t="n"/>
      <c r="E271" s="33" t="n"/>
      <c r="F271" s="35" t="n"/>
      <c r="G271" s="36" t="n"/>
      <c r="H271" s="37" t="n"/>
      <c r="I271" s="38" t="n"/>
      <c r="J271" s="39">
        <f>IF(G271="","",HYPERLINK("https://wa.me/"&amp;G271,"Открыть чат"))</f>
        <v/>
      </c>
    </row>
    <row r="272">
      <c r="A272" s="32" t="n"/>
      <c r="B272" s="33" t="n"/>
      <c r="C272" s="33" t="n"/>
      <c r="D272" s="34" t="n"/>
      <c r="E272" s="33" t="n"/>
      <c r="F272" s="35" t="n"/>
      <c r="G272" s="36" t="n"/>
      <c r="H272" s="37" t="n"/>
      <c r="I272" s="38" t="n"/>
      <c r="J272" s="39">
        <f>IF(G272="","",HYPERLINK("https://wa.me/"&amp;G272,"Открыть чат"))</f>
        <v/>
      </c>
    </row>
    <row r="273">
      <c r="A273" s="32" t="n"/>
      <c r="B273" s="33" t="n"/>
      <c r="C273" s="33" t="n"/>
      <c r="D273" s="34" t="n"/>
      <c r="E273" s="33" t="n"/>
      <c r="F273" s="35" t="n"/>
      <c r="G273" s="36" t="n"/>
      <c r="H273" s="37" t="n"/>
      <c r="I273" s="38" t="n"/>
      <c r="J273" s="39">
        <f>IF(G273="","",HYPERLINK("https://wa.me/"&amp;G273,"Открыть чат"))</f>
        <v/>
      </c>
    </row>
    <row r="274">
      <c r="A274" s="32" t="n"/>
      <c r="B274" s="33" t="n"/>
      <c r="C274" s="33" t="n"/>
      <c r="D274" s="34" t="n"/>
      <c r="E274" s="33" t="n"/>
      <c r="F274" s="35" t="n"/>
      <c r="G274" s="36" t="n"/>
      <c r="H274" s="37" t="n"/>
      <c r="I274" s="38" t="n"/>
      <c r="J274" s="39">
        <f>IF(G274="","",HYPERLINK("https://wa.me/"&amp;G274,"Открыть чат"))</f>
        <v/>
      </c>
    </row>
    <row r="275">
      <c r="A275" s="32" t="n"/>
      <c r="B275" s="33" t="n"/>
      <c r="C275" s="33" t="n"/>
      <c r="D275" s="34" t="n"/>
      <c r="E275" s="33" t="n"/>
      <c r="F275" s="35" t="n"/>
      <c r="G275" s="36" t="n"/>
      <c r="H275" s="37" t="n"/>
      <c r="I275" s="38" t="n"/>
      <c r="J275" s="39">
        <f>IF(G275="","",HYPERLINK("https://wa.me/"&amp;G275,"Открыть чат"))</f>
        <v/>
      </c>
    </row>
    <row r="276">
      <c r="A276" s="32" t="n"/>
      <c r="B276" s="33" t="n"/>
      <c r="C276" s="33" t="n"/>
      <c r="D276" s="34" t="n"/>
      <c r="E276" s="33" t="n"/>
      <c r="F276" s="35" t="n"/>
      <c r="G276" s="36" t="n"/>
      <c r="H276" s="37" t="n"/>
      <c r="I276" s="38" t="n"/>
      <c r="J276" s="39">
        <f>IF(G276="","",HYPERLINK("https://wa.me/"&amp;G276,"Открыть чат"))</f>
        <v/>
      </c>
    </row>
    <row r="277">
      <c r="A277" s="32" t="n"/>
      <c r="B277" s="33" t="n"/>
      <c r="C277" s="33" t="n"/>
      <c r="D277" s="34" t="n"/>
      <c r="E277" s="33" t="n"/>
      <c r="F277" s="35" t="n"/>
      <c r="G277" s="36" t="n"/>
      <c r="H277" s="37" t="n"/>
      <c r="I277" s="38" t="n"/>
      <c r="J277" s="39">
        <f>IF(G277="","",HYPERLINK("https://wa.me/"&amp;G277,"Открыть чат"))</f>
        <v/>
      </c>
    </row>
    <row r="278">
      <c r="A278" s="32" t="n"/>
      <c r="B278" s="33" t="n"/>
      <c r="C278" s="33" t="n"/>
      <c r="D278" s="34" t="n"/>
      <c r="E278" s="33" t="n"/>
      <c r="F278" s="35" t="n"/>
      <c r="G278" s="36" t="n"/>
      <c r="H278" s="37" t="n"/>
      <c r="I278" s="38" t="n"/>
      <c r="J278" s="39">
        <f>IF(G278="","",HYPERLINK("https://wa.me/"&amp;G278,"Открыть чат"))</f>
        <v/>
      </c>
    </row>
    <row r="279">
      <c r="A279" s="32" t="n"/>
      <c r="B279" s="33" t="n"/>
      <c r="C279" s="33" t="n"/>
      <c r="D279" s="34" t="n"/>
      <c r="E279" s="33" t="n"/>
      <c r="F279" s="35" t="n"/>
      <c r="G279" s="36" t="n"/>
      <c r="H279" s="37" t="n"/>
      <c r="I279" s="38" t="n"/>
      <c r="J279" s="39">
        <f>IF(G279="","",HYPERLINK("https://wa.me/"&amp;G279,"Открыть чат"))</f>
        <v/>
      </c>
    </row>
    <row r="280">
      <c r="A280" s="32" t="n"/>
      <c r="B280" s="33" t="n"/>
      <c r="C280" s="33" t="n"/>
      <c r="D280" s="34" t="n"/>
      <c r="E280" s="33" t="n"/>
      <c r="F280" s="35" t="n"/>
      <c r="G280" s="36" t="n"/>
      <c r="H280" s="37" t="n"/>
      <c r="I280" s="38" t="n"/>
      <c r="J280" s="39">
        <f>IF(G280="","",HYPERLINK("https://wa.me/"&amp;G280,"Открыть чат"))</f>
        <v/>
      </c>
    </row>
    <row r="281">
      <c r="A281" s="32" t="n"/>
      <c r="B281" s="33" t="n"/>
      <c r="C281" s="33" t="n"/>
      <c r="D281" s="34" t="n"/>
      <c r="E281" s="33" t="n"/>
      <c r="F281" s="35" t="n"/>
      <c r="G281" s="36" t="n"/>
      <c r="H281" s="37" t="n"/>
      <c r="I281" s="38" t="n"/>
      <c r="J281" s="39">
        <f>IF(G281="","",HYPERLINK("https://wa.me/"&amp;G281,"Открыть чат"))</f>
        <v/>
      </c>
    </row>
    <row r="282">
      <c r="A282" s="32" t="n"/>
      <c r="B282" s="33" t="n"/>
      <c r="C282" s="33" t="n"/>
      <c r="D282" s="34" t="n"/>
      <c r="E282" s="33" t="n"/>
      <c r="F282" s="35" t="n"/>
      <c r="G282" s="36" t="n"/>
      <c r="H282" s="37" t="n"/>
      <c r="I282" s="38" t="n"/>
      <c r="J282" s="39">
        <f>IF(G282="","",HYPERLINK("https://wa.me/"&amp;G282,"Открыть чат"))</f>
        <v/>
      </c>
    </row>
    <row r="283">
      <c r="A283" s="32" t="n"/>
      <c r="B283" s="33" t="n"/>
      <c r="C283" s="33" t="n"/>
      <c r="D283" s="34" t="n"/>
      <c r="E283" s="33" t="n"/>
      <c r="F283" s="35" t="n"/>
      <c r="G283" s="36" t="n"/>
      <c r="H283" s="37" t="n"/>
      <c r="I283" s="38" t="n"/>
      <c r="J283" s="39">
        <f>IF(G283="","",HYPERLINK("https://wa.me/"&amp;G283,"Открыть чат"))</f>
        <v/>
      </c>
    </row>
    <row r="284">
      <c r="A284" s="32" t="n"/>
      <c r="B284" s="33" t="n"/>
      <c r="C284" s="33" t="n"/>
      <c r="D284" s="34" t="n"/>
      <c r="E284" s="33" t="n"/>
      <c r="F284" s="35" t="n"/>
      <c r="G284" s="36" t="n"/>
      <c r="H284" s="37" t="n"/>
      <c r="I284" s="38" t="n"/>
      <c r="J284" s="39">
        <f>IF(G284="","",HYPERLINK("https://wa.me/"&amp;G284,"Открыть чат"))</f>
        <v/>
      </c>
    </row>
    <row r="285">
      <c r="A285" s="32" t="n"/>
      <c r="B285" s="33" t="n"/>
      <c r="C285" s="33" t="n"/>
      <c r="D285" s="34" t="n"/>
      <c r="E285" s="33" t="n"/>
      <c r="F285" s="35" t="n"/>
      <c r="G285" s="36" t="n"/>
      <c r="H285" s="37" t="n"/>
      <c r="I285" s="38" t="n"/>
      <c r="J285" s="39">
        <f>IF(G285="","",HYPERLINK("https://wa.me/"&amp;G285,"Открыть чат"))</f>
        <v/>
      </c>
    </row>
    <row r="286">
      <c r="A286" s="32" t="n"/>
      <c r="B286" s="33" t="n"/>
      <c r="C286" s="33" t="n"/>
      <c r="D286" s="34" t="n"/>
      <c r="E286" s="33" t="n"/>
      <c r="F286" s="35" t="n"/>
      <c r="G286" s="36" t="n"/>
      <c r="H286" s="37" t="n"/>
      <c r="I286" s="38" t="n"/>
      <c r="J286" s="39">
        <f>IF(G286="","",HYPERLINK("https://wa.me/"&amp;G286,"Открыть чат"))</f>
        <v/>
      </c>
    </row>
    <row r="287">
      <c r="A287" s="32" t="n"/>
      <c r="B287" s="33" t="n"/>
      <c r="C287" s="33" t="n"/>
      <c r="D287" s="34" t="n"/>
      <c r="E287" s="33" t="n"/>
      <c r="F287" s="35" t="n"/>
      <c r="G287" s="36" t="n"/>
      <c r="H287" s="37" t="n"/>
      <c r="I287" s="38" t="n"/>
      <c r="J287" s="39">
        <f>IF(G287="","",HYPERLINK("https://wa.me/"&amp;G287,"Открыть чат"))</f>
        <v/>
      </c>
    </row>
    <row r="288">
      <c r="A288" s="32" t="n"/>
      <c r="B288" s="33" t="n"/>
      <c r="C288" s="33" t="n"/>
      <c r="D288" s="34" t="n"/>
      <c r="E288" s="33" t="n"/>
      <c r="F288" s="35" t="n"/>
      <c r="G288" s="36" t="n"/>
      <c r="H288" s="37" t="n"/>
      <c r="I288" s="38" t="n"/>
      <c r="J288" s="39">
        <f>IF(G288="","",HYPERLINK("https://wa.me/"&amp;G288,"Открыть чат"))</f>
        <v/>
      </c>
    </row>
    <row r="289">
      <c r="A289" s="32" t="n"/>
      <c r="B289" s="33" t="n"/>
      <c r="C289" s="33" t="n"/>
      <c r="D289" s="34" t="n"/>
      <c r="E289" s="33" t="n"/>
      <c r="F289" s="35" t="n"/>
      <c r="G289" s="36" t="n"/>
      <c r="H289" s="37" t="n"/>
      <c r="I289" s="38" t="n"/>
      <c r="J289" s="39">
        <f>IF(G289="","",HYPERLINK("https://wa.me/"&amp;G289,"Открыть чат"))</f>
        <v/>
      </c>
    </row>
    <row r="290">
      <c r="A290" s="32" t="n"/>
      <c r="B290" s="33" t="n"/>
      <c r="C290" s="33" t="n"/>
      <c r="D290" s="34" t="n"/>
      <c r="E290" s="33" t="n"/>
      <c r="F290" s="35" t="n"/>
      <c r="G290" s="36" t="n"/>
      <c r="H290" s="37" t="n"/>
      <c r="I290" s="38" t="n"/>
      <c r="J290" s="39">
        <f>IF(G290="","",HYPERLINK("https://wa.me/"&amp;G290,"Открыть чат"))</f>
        <v/>
      </c>
    </row>
    <row r="291">
      <c r="A291" s="32" t="n"/>
      <c r="B291" s="33" t="n"/>
      <c r="C291" s="33" t="n"/>
      <c r="D291" s="34" t="n"/>
      <c r="E291" s="33" t="n"/>
      <c r="F291" s="35" t="n"/>
      <c r="G291" s="36" t="n"/>
      <c r="H291" s="37" t="n"/>
      <c r="I291" s="38" t="n"/>
      <c r="J291" s="39">
        <f>IF(G291="","",HYPERLINK("https://wa.me/"&amp;G291,"Открыть чат"))</f>
        <v/>
      </c>
    </row>
    <row r="292">
      <c r="A292" s="32" t="n"/>
      <c r="B292" s="33" t="n"/>
      <c r="C292" s="33" t="n"/>
      <c r="D292" s="34" t="n"/>
      <c r="E292" s="33" t="n"/>
      <c r="F292" s="35" t="n"/>
      <c r="G292" s="36" t="n"/>
      <c r="H292" s="37" t="n"/>
      <c r="I292" s="38" t="n"/>
      <c r="J292" s="39">
        <f>IF(G292="","",HYPERLINK("https://wa.me/"&amp;G292,"Открыть чат"))</f>
        <v/>
      </c>
    </row>
    <row r="293">
      <c r="A293" s="32" t="n"/>
      <c r="B293" s="33" t="n"/>
      <c r="C293" s="33" t="n"/>
      <c r="D293" s="34" t="n"/>
      <c r="E293" s="33" t="n"/>
      <c r="F293" s="35" t="n"/>
      <c r="G293" s="36" t="n"/>
      <c r="H293" s="37" t="n"/>
      <c r="I293" s="38" t="n"/>
      <c r="J293" s="39">
        <f>IF(G293="","",HYPERLINK("https://wa.me/"&amp;G293,"Открыть чат"))</f>
        <v/>
      </c>
    </row>
    <row r="294">
      <c r="A294" s="32" t="n"/>
      <c r="B294" s="33" t="n"/>
      <c r="C294" s="33" t="n"/>
      <c r="D294" s="34" t="n"/>
      <c r="E294" s="33" t="n"/>
      <c r="F294" s="35" t="n"/>
      <c r="G294" s="36" t="n"/>
      <c r="H294" s="37" t="n"/>
      <c r="I294" s="38" t="n"/>
      <c r="J294" s="39">
        <f>IF(G294="","",HYPERLINK("https://wa.me/"&amp;G294,"Открыть чат"))</f>
        <v/>
      </c>
    </row>
    <row r="295">
      <c r="A295" s="32" t="n"/>
      <c r="B295" s="33" t="n"/>
      <c r="C295" s="33" t="n"/>
      <c r="D295" s="34" t="n"/>
      <c r="E295" s="33" t="n"/>
      <c r="F295" s="35" t="n"/>
      <c r="G295" s="36" t="n"/>
      <c r="H295" s="37" t="n"/>
      <c r="I295" s="38" t="n"/>
      <c r="J295" s="39">
        <f>IF(G295="","",HYPERLINK("https://wa.me/"&amp;G295,"Открыть чат"))</f>
        <v/>
      </c>
    </row>
    <row r="296">
      <c r="A296" s="32" t="n"/>
      <c r="B296" s="33" t="n"/>
      <c r="C296" s="33" t="n"/>
      <c r="D296" s="34" t="n"/>
      <c r="E296" s="33" t="n"/>
      <c r="F296" s="35" t="n"/>
      <c r="G296" s="36" t="n"/>
      <c r="H296" s="37" t="n"/>
      <c r="I296" s="38" t="n"/>
      <c r="J296" s="39">
        <f>IF(G296="","",HYPERLINK("https://wa.me/"&amp;G296,"Открыть чат"))</f>
        <v/>
      </c>
    </row>
    <row r="297">
      <c r="A297" s="32" t="n"/>
      <c r="B297" s="33" t="n"/>
      <c r="C297" s="33" t="n"/>
      <c r="D297" s="34" t="n"/>
      <c r="E297" s="33" t="n"/>
      <c r="F297" s="35" t="n"/>
      <c r="G297" s="36" t="n"/>
      <c r="H297" s="37" t="n"/>
      <c r="I297" s="38" t="n"/>
      <c r="J297" s="39">
        <f>IF(G297="","",HYPERLINK("https://wa.me/"&amp;G297,"Открыть чат"))</f>
        <v/>
      </c>
    </row>
    <row r="298">
      <c r="A298" s="32" t="n"/>
      <c r="B298" s="33" t="n"/>
      <c r="C298" s="33" t="n"/>
      <c r="D298" s="34" t="n"/>
      <c r="E298" s="33" t="n"/>
      <c r="F298" s="35" t="n"/>
      <c r="G298" s="36" t="n"/>
      <c r="H298" s="37" t="n"/>
      <c r="I298" s="38" t="n"/>
      <c r="J298" s="39">
        <f>IF(G298="","",HYPERLINK("https://wa.me/"&amp;G298,"Открыть чат"))</f>
        <v/>
      </c>
    </row>
    <row r="299">
      <c r="A299" s="32" t="n"/>
      <c r="B299" s="33" t="n"/>
      <c r="C299" s="33" t="n"/>
      <c r="D299" s="34" t="n"/>
      <c r="E299" s="33" t="n"/>
      <c r="F299" s="35" t="n"/>
      <c r="G299" s="36" t="n"/>
      <c r="H299" s="37" t="n"/>
      <c r="I299" s="38" t="n"/>
      <c r="J299" s="39">
        <f>IF(G299="","",HYPERLINK("https://wa.me/"&amp;G299,"Открыть чат"))</f>
        <v/>
      </c>
    </row>
    <row r="300">
      <c r="A300" s="32" t="n"/>
      <c r="B300" s="33" t="n"/>
      <c r="C300" s="33" t="n"/>
      <c r="D300" s="34" t="n"/>
      <c r="E300" s="33" t="n"/>
      <c r="F300" s="35" t="n"/>
      <c r="G300" s="36" t="n"/>
      <c r="H300" s="37" t="n"/>
      <c r="I300" s="38" t="n"/>
      <c r="J300" s="39">
        <f>IF(G300="","",HYPERLINK("https://wa.me/"&amp;G300,"Открыть чат"))</f>
        <v/>
      </c>
    </row>
    <row r="301">
      <c r="A301" s="32" t="n"/>
      <c r="B301" s="33" t="n"/>
      <c r="C301" s="33" t="n"/>
      <c r="D301" s="34" t="n"/>
      <c r="E301" s="33" t="n"/>
      <c r="F301" s="35" t="n"/>
      <c r="G301" s="36" t="n"/>
      <c r="H301" s="37" t="n"/>
      <c r="I301" s="38" t="n"/>
      <c r="J301" s="39">
        <f>IF(G301="","",HYPERLINK("https://wa.me/"&amp;G301,"Открыть чат"))</f>
        <v/>
      </c>
    </row>
    <row r="302">
      <c r="A302" s="32" t="n"/>
      <c r="B302" s="33" t="n"/>
      <c r="C302" s="33" t="n"/>
      <c r="D302" s="34" t="n"/>
      <c r="E302" s="33" t="n"/>
      <c r="F302" s="35" t="n"/>
      <c r="G302" s="36" t="n"/>
      <c r="H302" s="37" t="n"/>
      <c r="I302" s="38" t="n"/>
      <c r="J302" s="39">
        <f>IF(G302="","",HYPERLINK("https://wa.me/"&amp;G302,"Открыть чат"))</f>
        <v/>
      </c>
    </row>
    <row r="303">
      <c r="A303" s="32" t="n"/>
      <c r="B303" s="33" t="n"/>
      <c r="C303" s="33" t="n"/>
      <c r="D303" s="34" t="n"/>
      <c r="E303" s="33" t="n"/>
      <c r="F303" s="35" t="n"/>
      <c r="G303" s="36" t="n"/>
      <c r="H303" s="37" t="n"/>
      <c r="I303" s="38" t="n"/>
      <c r="J303" s="39">
        <f>IF(G303="","",HYPERLINK("https://wa.me/"&amp;G303,"Открыть чат"))</f>
        <v/>
      </c>
    </row>
    <row r="304">
      <c r="A304" s="32" t="n"/>
      <c r="B304" s="33" t="n"/>
      <c r="C304" s="33" t="n"/>
      <c r="D304" s="34" t="n"/>
      <c r="E304" s="33" t="n"/>
      <c r="F304" s="35" t="n"/>
      <c r="G304" s="36" t="n"/>
      <c r="H304" s="37" t="n"/>
      <c r="I304" s="38" t="n"/>
      <c r="J304" s="39">
        <f>IF(G304="","",HYPERLINK("https://wa.me/"&amp;G304,"Открыть чат"))</f>
        <v/>
      </c>
    </row>
    <row r="305">
      <c r="A305" s="32" t="n"/>
      <c r="B305" s="33" t="n"/>
      <c r="C305" s="33" t="n"/>
      <c r="D305" s="34" t="n"/>
      <c r="E305" s="33" t="n"/>
      <c r="F305" s="35" t="n"/>
      <c r="G305" s="36" t="n"/>
      <c r="H305" s="37" t="n"/>
      <c r="I305" s="38" t="n"/>
      <c r="J305" s="39">
        <f>IF(G305="","",HYPERLINK("https://wa.me/"&amp;G305,"Открыть чат"))</f>
        <v/>
      </c>
    </row>
    <row r="306">
      <c r="A306" s="32" t="n"/>
      <c r="B306" s="33" t="n"/>
      <c r="C306" s="33" t="n"/>
      <c r="D306" s="34" t="n"/>
      <c r="E306" s="33" t="n"/>
      <c r="F306" s="35" t="n"/>
      <c r="G306" s="36" t="n"/>
      <c r="H306" s="37" t="n"/>
      <c r="I306" s="38" t="n"/>
      <c r="J306" s="39">
        <f>IF(G306="","",HYPERLINK("https://wa.me/"&amp;G306,"Открыть чат"))</f>
        <v/>
      </c>
    </row>
    <row r="307">
      <c r="A307" s="32" t="n"/>
      <c r="B307" s="33" t="n"/>
      <c r="C307" s="33" t="n"/>
      <c r="D307" s="34" t="n"/>
      <c r="E307" s="33" t="n"/>
      <c r="F307" s="35" t="n"/>
      <c r="G307" s="36" t="n"/>
      <c r="H307" s="37" t="n"/>
      <c r="I307" s="38" t="n"/>
      <c r="J307" s="39">
        <f>IF(G307="","",HYPERLINK("https://wa.me/"&amp;G307,"Открыть чат"))</f>
        <v/>
      </c>
    </row>
    <row r="308">
      <c r="A308" s="32" t="n"/>
      <c r="B308" s="33" t="n"/>
      <c r="C308" s="33" t="n"/>
      <c r="D308" s="34" t="n"/>
      <c r="E308" s="33" t="n"/>
      <c r="F308" s="35" t="n"/>
      <c r="G308" s="36" t="n"/>
      <c r="H308" s="37" t="n"/>
      <c r="I308" s="38" t="n"/>
      <c r="J308" s="39">
        <f>IF(G308="","",HYPERLINK("https://wa.me/"&amp;G308,"Открыть чат"))</f>
        <v/>
      </c>
    </row>
    <row r="309">
      <c r="A309" s="32" t="n"/>
      <c r="B309" s="33" t="n"/>
      <c r="C309" s="33" t="n"/>
      <c r="D309" s="34" t="n"/>
      <c r="E309" s="33" t="n"/>
      <c r="F309" s="35" t="n"/>
      <c r="G309" s="36" t="n"/>
      <c r="H309" s="37" t="n"/>
      <c r="I309" s="38" t="n"/>
      <c r="J309" s="39">
        <f>IF(G309="","",HYPERLINK("https://wa.me/"&amp;G309,"Открыть чат"))</f>
        <v/>
      </c>
    </row>
    <row r="310">
      <c r="A310" s="32" t="n"/>
      <c r="B310" s="33" t="n"/>
      <c r="C310" s="33" t="n"/>
      <c r="D310" s="34" t="n"/>
      <c r="E310" s="33" t="n"/>
      <c r="F310" s="35" t="n"/>
      <c r="G310" s="36" t="n"/>
      <c r="H310" s="37" t="n"/>
      <c r="I310" s="38" t="n"/>
      <c r="J310" s="39">
        <f>IF(G310="","",HYPERLINK("https://wa.me/"&amp;G310,"Открыть чат"))</f>
        <v/>
      </c>
    </row>
    <row r="311">
      <c r="A311" s="32" t="n"/>
      <c r="B311" s="33" t="n"/>
      <c r="C311" s="33" t="n"/>
      <c r="D311" s="34" t="n"/>
      <c r="E311" s="33" t="n"/>
      <c r="F311" s="35" t="n"/>
      <c r="G311" s="36" t="n"/>
      <c r="H311" s="37" t="n"/>
      <c r="I311" s="38" t="n"/>
      <c r="J311" s="39">
        <f>IF(G311="","",HYPERLINK("https://wa.me/"&amp;G311,"Открыть чат"))</f>
        <v/>
      </c>
    </row>
    <row r="312">
      <c r="A312" s="32" t="n"/>
      <c r="B312" s="33" t="n"/>
      <c r="C312" s="33" t="n"/>
      <c r="D312" s="34" t="n"/>
      <c r="E312" s="33" t="n"/>
      <c r="F312" s="35" t="n"/>
      <c r="G312" s="36" t="n"/>
      <c r="H312" s="37" t="n"/>
      <c r="I312" s="38" t="n"/>
      <c r="J312" s="39">
        <f>IF(G312="","",HYPERLINK("https://wa.me/"&amp;G312,"Открыть чат"))</f>
        <v/>
      </c>
    </row>
    <row r="313">
      <c r="A313" s="32" t="n"/>
      <c r="B313" s="33" t="n"/>
      <c r="C313" s="33" t="n"/>
      <c r="D313" s="34" t="n"/>
      <c r="E313" s="33" t="n"/>
      <c r="F313" s="35" t="n"/>
      <c r="G313" s="36" t="n"/>
      <c r="H313" s="37" t="n"/>
      <c r="I313" s="38" t="n"/>
      <c r="J313" s="39">
        <f>IF(G313="","",HYPERLINK("https://wa.me/"&amp;G313,"Открыть чат"))</f>
        <v/>
      </c>
    </row>
    <row r="314">
      <c r="A314" s="32" t="n"/>
      <c r="B314" s="33" t="n"/>
      <c r="C314" s="33" t="n"/>
      <c r="D314" s="34" t="n"/>
      <c r="E314" s="33" t="n"/>
      <c r="F314" s="35" t="n"/>
      <c r="G314" s="36" t="n"/>
      <c r="H314" s="37" t="n"/>
      <c r="I314" s="38" t="n"/>
      <c r="J314" s="39">
        <f>IF(G314="","",HYPERLINK("https://wa.me/"&amp;G314,"Открыть чат"))</f>
        <v/>
      </c>
    </row>
    <row r="315">
      <c r="A315" s="32" t="n"/>
      <c r="B315" s="33" t="n"/>
      <c r="C315" s="33" t="n"/>
      <c r="D315" s="34" t="n"/>
      <c r="E315" s="33" t="n"/>
      <c r="F315" s="35" t="n"/>
      <c r="G315" s="36" t="n"/>
      <c r="H315" s="37" t="n"/>
      <c r="I315" s="38" t="n"/>
      <c r="J315" s="39">
        <f>IF(G315="","",HYPERLINK("https://wa.me/"&amp;G315,"Открыть чат"))</f>
        <v/>
      </c>
    </row>
    <row r="316">
      <c r="A316" s="32" t="n"/>
      <c r="B316" s="33" t="n"/>
      <c r="C316" s="33" t="n"/>
      <c r="D316" s="34" t="n"/>
      <c r="E316" s="33" t="n"/>
      <c r="F316" s="35" t="n"/>
      <c r="G316" s="36" t="n"/>
      <c r="H316" s="37" t="n"/>
      <c r="I316" s="38" t="n"/>
      <c r="J316" s="39">
        <f>IF(G316="","",HYPERLINK("https://wa.me/"&amp;G316,"Открыть чат"))</f>
        <v/>
      </c>
    </row>
    <row r="317">
      <c r="A317" s="32" t="n"/>
      <c r="B317" s="33" t="n"/>
      <c r="C317" s="33" t="n"/>
      <c r="D317" s="34" t="n"/>
      <c r="E317" s="33" t="n"/>
      <c r="F317" s="35" t="n"/>
      <c r="G317" s="36" t="n"/>
      <c r="H317" s="37" t="n"/>
      <c r="I317" s="38" t="n"/>
      <c r="J317" s="39">
        <f>IF(G317="","",HYPERLINK("https://wa.me/"&amp;G317,"Открыть чат"))</f>
        <v/>
      </c>
    </row>
    <row r="318">
      <c r="A318" s="32" t="n"/>
      <c r="B318" s="33" t="n"/>
      <c r="C318" s="33" t="n"/>
      <c r="D318" s="34" t="n"/>
      <c r="E318" s="33" t="n"/>
      <c r="F318" s="35" t="n"/>
      <c r="G318" s="36" t="n"/>
      <c r="H318" s="37" t="n"/>
      <c r="I318" s="38" t="n"/>
      <c r="J318" s="39">
        <f>IF(G318="","",HYPERLINK("https://wa.me/"&amp;G318,"Открыть чат"))</f>
        <v/>
      </c>
    </row>
    <row r="319">
      <c r="A319" s="32" t="n"/>
      <c r="B319" s="33" t="n"/>
      <c r="C319" s="33" t="n"/>
      <c r="D319" s="34" t="n"/>
      <c r="E319" s="33" t="n"/>
      <c r="F319" s="35" t="n"/>
      <c r="G319" s="36" t="n"/>
      <c r="H319" s="37" t="n"/>
      <c r="I319" s="38" t="n"/>
      <c r="J319" s="39">
        <f>IF(G319="","",HYPERLINK("https://wa.me/"&amp;G319,"Открыть чат"))</f>
        <v/>
      </c>
    </row>
    <row r="320">
      <c r="A320" s="32" t="n"/>
      <c r="B320" s="33" t="n"/>
      <c r="C320" s="33" t="n"/>
      <c r="D320" s="34" t="n"/>
      <c r="E320" s="33" t="n"/>
      <c r="F320" s="35" t="n"/>
      <c r="G320" s="36" t="n"/>
      <c r="H320" s="37" t="n"/>
      <c r="I320" s="38" t="n"/>
      <c r="J320" s="39">
        <f>IF(G320="","",HYPERLINK("https://wa.me/"&amp;G320,"Открыть чат"))</f>
        <v/>
      </c>
    </row>
    <row r="321">
      <c r="A321" s="32" t="n"/>
      <c r="B321" s="33" t="n"/>
      <c r="C321" s="33" t="n"/>
      <c r="D321" s="34" t="n"/>
      <c r="E321" s="33" t="n"/>
      <c r="F321" s="35" t="n"/>
      <c r="G321" s="36" t="n"/>
      <c r="H321" s="37" t="n"/>
      <c r="I321" s="38" t="n"/>
      <c r="J321" s="39">
        <f>IF(G321="","",HYPERLINK("https://wa.me/"&amp;G321,"Открыть чат"))</f>
        <v/>
      </c>
    </row>
    <row r="322">
      <c r="A322" s="32" t="n"/>
      <c r="B322" s="33" t="n"/>
      <c r="C322" s="33" t="n"/>
      <c r="D322" s="34" t="n"/>
      <c r="E322" s="33" t="n"/>
      <c r="F322" s="35" t="n"/>
      <c r="G322" s="36" t="n"/>
      <c r="H322" s="37" t="n"/>
      <c r="I322" s="38" t="n"/>
      <c r="J322" s="39">
        <f>IF(G322="","",HYPERLINK("https://wa.me/"&amp;G322,"Открыть чат"))</f>
        <v/>
      </c>
    </row>
    <row r="323">
      <c r="A323" s="32" t="n"/>
      <c r="B323" s="33" t="n"/>
      <c r="C323" s="33" t="n"/>
      <c r="D323" s="34" t="n"/>
      <c r="E323" s="33" t="n"/>
      <c r="F323" s="35" t="n"/>
      <c r="G323" s="36" t="n"/>
      <c r="H323" s="37" t="n"/>
      <c r="I323" s="38" t="n"/>
      <c r="J323" s="39">
        <f>IF(G323="","",HYPERLINK("https://wa.me/"&amp;G323,"Открыть чат"))</f>
        <v/>
      </c>
    </row>
    <row r="324">
      <c r="A324" s="32" t="n"/>
      <c r="B324" s="33" t="n"/>
      <c r="C324" s="33" t="n"/>
      <c r="D324" s="34" t="n"/>
      <c r="E324" s="33" t="n"/>
      <c r="F324" s="35" t="n"/>
      <c r="G324" s="36" t="n"/>
      <c r="H324" s="37" t="n"/>
      <c r="I324" s="38" t="n"/>
      <c r="J324" s="39">
        <f>IF(G324="","",HYPERLINK("https://wa.me/"&amp;G324,"Открыть чат"))</f>
        <v/>
      </c>
    </row>
    <row r="325">
      <c r="A325" s="32" t="n"/>
      <c r="B325" s="33" t="n"/>
      <c r="C325" s="33" t="n"/>
      <c r="D325" s="34" t="n"/>
      <c r="E325" s="33" t="n"/>
      <c r="F325" s="35" t="n"/>
      <c r="G325" s="36" t="n"/>
      <c r="H325" s="37" t="n"/>
      <c r="I325" s="38" t="n"/>
      <c r="J325" s="39">
        <f>IF(G325="","",HYPERLINK("https://wa.me/"&amp;G325,"Открыть чат"))</f>
        <v/>
      </c>
    </row>
    <row r="326">
      <c r="A326" s="32" t="n"/>
      <c r="B326" s="33" t="n"/>
      <c r="C326" s="33" t="n"/>
      <c r="D326" s="34" t="n"/>
      <c r="E326" s="33" t="n"/>
      <c r="F326" s="35" t="n"/>
      <c r="G326" s="36" t="n"/>
      <c r="H326" s="37" t="n"/>
      <c r="I326" s="38" t="n"/>
      <c r="J326" s="39">
        <f>IF(G326="","",HYPERLINK("https://wa.me/"&amp;G326,"Открыть чат"))</f>
        <v/>
      </c>
    </row>
    <row r="327">
      <c r="A327" s="32" t="n"/>
      <c r="B327" s="33" t="n"/>
      <c r="C327" s="33" t="n"/>
      <c r="D327" s="34" t="n"/>
      <c r="E327" s="33" t="n"/>
      <c r="F327" s="35" t="n"/>
      <c r="G327" s="36" t="n"/>
      <c r="H327" s="37" t="n"/>
      <c r="I327" s="38" t="n"/>
      <c r="J327" s="39">
        <f>IF(G327="","",HYPERLINK("https://wa.me/"&amp;G327,"Открыть чат"))</f>
        <v/>
      </c>
    </row>
    <row r="328">
      <c r="A328" s="32" t="n"/>
      <c r="B328" s="33" t="n"/>
      <c r="C328" s="33" t="n"/>
      <c r="D328" s="34" t="n"/>
      <c r="E328" s="33" t="n"/>
      <c r="F328" s="35" t="n"/>
      <c r="G328" s="36" t="n"/>
      <c r="H328" s="37" t="n"/>
      <c r="I328" s="38" t="n"/>
      <c r="J328" s="39">
        <f>IF(G328="","",HYPERLINK("https://wa.me/"&amp;G328,"Открыть чат"))</f>
        <v/>
      </c>
    </row>
    <row r="329">
      <c r="A329" s="32" t="n"/>
      <c r="B329" s="33" t="n"/>
      <c r="C329" s="33" t="n"/>
      <c r="D329" s="34" t="n"/>
      <c r="E329" s="33" t="n"/>
      <c r="F329" s="35" t="n"/>
      <c r="G329" s="36" t="n"/>
      <c r="H329" s="37" t="n"/>
      <c r="I329" s="38" t="n"/>
      <c r="J329" s="39">
        <f>IF(G329="","",HYPERLINK("https://wa.me/"&amp;G329,"Открыть чат"))</f>
        <v/>
      </c>
    </row>
    <row r="330">
      <c r="A330" s="32" t="n"/>
      <c r="B330" s="33" t="n"/>
      <c r="C330" s="33" t="n"/>
      <c r="D330" s="34" t="n"/>
      <c r="E330" s="33" t="n"/>
      <c r="F330" s="35" t="n"/>
      <c r="G330" s="36" t="n"/>
      <c r="H330" s="37" t="n"/>
      <c r="I330" s="38" t="n"/>
      <c r="J330" s="39">
        <f>IF(G330="","",HYPERLINK("https://wa.me/"&amp;G330,"Открыть чат"))</f>
        <v/>
      </c>
    </row>
    <row r="331">
      <c r="A331" s="32" t="n"/>
      <c r="B331" s="33" t="n"/>
      <c r="C331" s="33" t="n"/>
      <c r="D331" s="34" t="n"/>
      <c r="E331" s="33" t="n"/>
      <c r="F331" s="35" t="n"/>
      <c r="G331" s="36" t="n"/>
      <c r="H331" s="37" t="n"/>
      <c r="I331" s="38" t="n"/>
      <c r="J331" s="39">
        <f>IF(G331="","",HYPERLINK("https://wa.me/"&amp;G331,"Открыть чат"))</f>
        <v/>
      </c>
    </row>
    <row r="332">
      <c r="A332" s="32" t="n"/>
      <c r="B332" s="33" t="n"/>
      <c r="C332" s="33" t="n"/>
      <c r="D332" s="34" t="n"/>
      <c r="E332" s="33" t="n"/>
      <c r="F332" s="35" t="n"/>
      <c r="G332" s="36" t="n"/>
      <c r="H332" s="37" t="n"/>
      <c r="I332" s="38" t="n"/>
      <c r="J332" s="39">
        <f>IF(G332="","",HYPERLINK("https://wa.me/"&amp;G332,"Открыть чат"))</f>
        <v/>
      </c>
    </row>
    <row r="333">
      <c r="A333" s="32" t="n"/>
      <c r="B333" s="33" t="n"/>
      <c r="C333" s="33" t="n"/>
      <c r="D333" s="34" t="n"/>
      <c r="E333" s="33" t="n"/>
      <c r="F333" s="35" t="n"/>
      <c r="G333" s="36" t="n"/>
      <c r="H333" s="37" t="n"/>
      <c r="I333" s="38" t="n"/>
      <c r="J333" s="39">
        <f>IF(G333="","",HYPERLINK("https://wa.me/"&amp;G333,"Открыть чат"))</f>
        <v/>
      </c>
    </row>
    <row r="334">
      <c r="A334" s="32" t="n"/>
      <c r="B334" s="33" t="n"/>
      <c r="C334" s="33" t="n"/>
      <c r="D334" s="34" t="n"/>
      <c r="E334" s="33" t="n"/>
      <c r="F334" s="35" t="n"/>
      <c r="G334" s="36" t="n"/>
      <c r="H334" s="37" t="n"/>
      <c r="I334" s="38" t="n"/>
      <c r="J334" s="39">
        <f>IF(G334="","",HYPERLINK("https://wa.me/"&amp;G334,"Открыть чат"))</f>
        <v/>
      </c>
    </row>
    <row r="335">
      <c r="A335" s="32" t="n"/>
      <c r="B335" s="33" t="n"/>
      <c r="C335" s="33" t="n"/>
      <c r="D335" s="34" t="n"/>
      <c r="E335" s="33" t="n"/>
      <c r="F335" s="35" t="n"/>
      <c r="G335" s="36" t="n"/>
      <c r="H335" s="37" t="n"/>
      <c r="I335" s="38" t="n"/>
      <c r="J335" s="39">
        <f>IF(G335="","",HYPERLINK("https://wa.me/"&amp;G335,"Открыть чат"))</f>
        <v/>
      </c>
    </row>
    <row r="336">
      <c r="A336" s="32" t="n"/>
      <c r="B336" s="33" t="n"/>
      <c r="C336" s="33" t="n"/>
      <c r="D336" s="34" t="n"/>
      <c r="E336" s="33" t="n"/>
      <c r="F336" s="35" t="n"/>
      <c r="G336" s="36" t="n"/>
      <c r="H336" s="37" t="n"/>
      <c r="I336" s="38" t="n"/>
      <c r="J336" s="39">
        <f>IF(G336="","",HYPERLINK("https://wa.me/"&amp;G336,"Открыть чат"))</f>
        <v/>
      </c>
    </row>
  </sheetData>
  <conditionalFormatting sqref="B9:B33">
    <cfRule type="expression" priority="1" dxfId="0">
      <formula>B9="Очередь"</formula>
    </cfRule>
    <cfRule type="expression" priority="2" dxfId="1">
      <formula>B9="Отправлено"</formula>
    </cfRule>
    <cfRule type="expression" priority="3" dxfId="2">
      <formula>B9="Не ответил"</formula>
    </cfRule>
    <cfRule type="expression" priority="4" dxfId="3">
      <formula>B9="Ответил"</formula>
    </cfRule>
    <cfRule type="expression" priority="5" dxfId="4">
      <formula>B9="Доработать"</formula>
    </cfRule>
    <cfRule type="expression" priority="6" dxfId="5">
      <formula>B9="Перезвонить"</formula>
    </cfRule>
    <cfRule type="expression" priority="7" dxfId="6">
      <formula>B9="Созвон"</formula>
    </cfRule>
    <cfRule type="expression" priority="8" dxfId="7">
      <formula>B9="Клиент"</formula>
    </cfRule>
    <cfRule type="expression" priority="9" dxfId="8">
      <formula>B9="Отказ"</formula>
    </cfRule>
    <cfRule type="expression" priority="10" dxfId="9">
      <formula>B9="Не писать"</formula>
    </cfRule>
  </conditionalFormatting>
  <conditionalFormatting sqref="E9:E33">
    <cfRule type="expression" priority="11" dxfId="8">
      <formula>E9="просрочено"</formula>
    </cfRule>
    <cfRule type="expression" priority="12" dxfId="4">
      <formula>OR(E9="сегодня",E9="укажи дату",LEFT(E9,6)="молчит")</formula>
    </cfRule>
  </conditionalFormatting>
  <conditionalFormatting sqref="B37:B336">
    <cfRule type="expression" priority="13" dxfId="0">
      <formula>B37="Очередь"</formula>
    </cfRule>
    <cfRule type="expression" priority="14" dxfId="1">
      <formula>B37="Отправлено"</formula>
    </cfRule>
    <cfRule type="expression" priority="15" dxfId="2">
      <formula>B37="Не ответил"</formula>
    </cfRule>
    <cfRule type="expression" priority="16" dxfId="3">
      <formula>B37="Ответил"</formula>
    </cfRule>
    <cfRule type="expression" priority="17" dxfId="4">
      <formula>B37="Доработать"</formula>
    </cfRule>
    <cfRule type="expression" priority="18" dxfId="5">
      <formula>B37="Перезвонить"</formula>
    </cfRule>
    <cfRule type="expression" priority="19" dxfId="6">
      <formula>B37="Созвон"</formula>
    </cfRule>
    <cfRule type="expression" priority="20" dxfId="7">
      <formula>B37="Клиент"</formula>
    </cfRule>
    <cfRule type="expression" priority="21" dxfId="8">
      <formula>B37="Отказ"</formula>
    </cfRule>
    <cfRule type="expression" priority="22" dxfId="9">
      <formula>B37="Не писать"</formula>
    </cfRule>
  </conditionalFormatting>
  <conditionalFormatting sqref="E37:E336">
    <cfRule type="expression" priority="23" dxfId="8">
      <formula>E37="просрочено"</formula>
    </cfRule>
    <cfRule type="expression" priority="24" dxfId="4">
      <formula>OR(E37="сегодня",E37="укажи дату",LEFT(E37,6)="молчит")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AA0A6"/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58" t="inlineStr">
        <is>
          <t>Как пользоваться</t>
        </is>
      </c>
    </row>
    <row r="3" ht="44" customHeight="1">
      <c r="A3" s="59" t="inlineStr">
        <is>
          <t>1. Вся работа — на листе «Лиды»</t>
        </is>
      </c>
      <c r="B3" s="48" t="inlineStr">
        <is>
          <t>Одна строка — одна компания. Меняются только жёлтые колонки: Этап, Менеджер, Следующий контакт, Заметка, Написали. Остальное считается само.</t>
        </is>
      </c>
    </row>
    <row r="4" ht="44" customHeight="1">
      <c r="A4" s="59" t="inlineStr">
        <is>
          <t>2. Написать новому</t>
        </is>
      </c>
      <c r="B4" s="48" t="inlineStr">
        <is>
          <t>В строке лида нажми «Написать»: откроется WhatsApp с готовым текстом. Отправил — поставь Этап «Отправлено», себя в «Менеджер» и дату в «Написали» (Ctrl + ; ставит сегодняшнюю).</t>
        </is>
      </c>
    </row>
    <row r="5" ht="44" customHeight="1">
      <c r="A5" s="59" t="inlineStr">
        <is>
          <t>3. Вести лида</t>
        </is>
      </c>
      <c r="B5" s="48" t="inlineStr">
        <is>
          <t>Меняй «Этап» по ходу дела. Для «Перезвонить» и «Созвон» ставь дату и время в «Следующий контакт». В «Заметку» пиши, о чём договорились.</t>
        </is>
      </c>
    </row>
    <row r="6" ht="44" customHeight="1">
      <c r="A6" s="59" t="inlineStr">
        <is>
          <t>4. Что делать сегодня</t>
        </is>
      </c>
      <c r="B6" s="48" t="inlineStr">
        <is>
          <t>Открой лист со своим именем: сверху дела на сегодня, просроченные и те, кто молчит три дня. Ниже — все твои лиды по этапам.</t>
        </is>
      </c>
    </row>
    <row r="7" ht="44" customHeight="1">
      <c r="A7" s="59" t="inlineStr">
        <is>
          <t>5. Общая картина</t>
        </is>
      </c>
      <c r="B7" s="48" t="inlineStr">
        <is>
          <t>«Сводка» — цифры по этапам и менеджерам, «Сегодня» — дела всей команды, «Канбан» — кто на каком этапе. Эти листы и листы менеджеров не редактируются: они собираются из «Лидов».</t>
        </is>
      </c>
    </row>
    <row r="8" ht="44" customHeight="1">
      <c r="A8" s="59" t="inlineStr">
        <is>
          <t>Фильтр только для себя</t>
        </is>
      </c>
      <c r="B8" s="48" t="inlineStr">
        <is>
          <t>Чтобы твой фильтр на «Лидах» не мешал остальным: Данные → Создать режим фильтрации.</t>
        </is>
      </c>
    </row>
    <row r="9" ht="44" customHeight="1">
      <c r="A9" s="59" t="inlineStr">
        <is>
          <t>Новый лид</t>
        </is>
      </c>
      <c r="B9" s="48" t="inlineStr">
        <is>
          <t>Допиши строку в конец «Лидов» и протяни вниз формулы из колонок «Срок», «Написать» и «Чат» (и скрытых J, U, V).</t>
        </is>
      </c>
    </row>
    <row r="11">
      <c r="A11" s="9" t="inlineStr">
        <is>
          <t>Этапы</t>
        </is>
      </c>
    </row>
    <row r="12" ht="22" customHeight="1">
      <c r="A12" s="60" t="inlineStr">
        <is>
          <t>Очередь</t>
        </is>
      </c>
      <c r="B12" s="61" t="inlineStr">
        <is>
          <t>Ещё не писали</t>
        </is>
      </c>
    </row>
    <row r="13" ht="22" customHeight="1">
      <c r="A13" s="11" t="inlineStr">
        <is>
          <t>Отправлено</t>
        </is>
      </c>
      <c r="B13" s="61" t="inlineStr">
        <is>
          <t>Написали первое сообщение, ждём ответа</t>
        </is>
      </c>
    </row>
    <row r="14" ht="22" customHeight="1">
      <c r="A14" s="15" t="inlineStr">
        <is>
          <t>Не ответил</t>
        </is>
      </c>
      <c r="B14" s="61" t="inlineStr">
        <is>
          <t>Молчит. Лид остаётся в таблице: можно напомнить позже</t>
        </is>
      </c>
    </row>
    <row r="15" ht="22" customHeight="1">
      <c r="A15" s="17" t="inlineStr">
        <is>
          <t>Ответил</t>
        </is>
      </c>
      <c r="B15" s="61" t="inlineStr">
        <is>
          <t>Ответил, идёт переписка</t>
        </is>
      </c>
    </row>
    <row r="16" ht="22" customHeight="1">
      <c r="A16" s="19" t="inlineStr">
        <is>
          <t>Доработать</t>
        </is>
      </c>
      <c r="B16" s="61" t="inlineStr">
        <is>
          <t>Интерес есть, надо дожать: показать сайт, снять возражение</t>
        </is>
      </c>
    </row>
    <row r="17" ht="22" customHeight="1">
      <c r="A17" s="21" t="inlineStr">
        <is>
          <t>Перезвонить</t>
        </is>
      </c>
      <c r="B17" s="61" t="inlineStr">
        <is>
          <t>Просил связаться позже. Обязательно поставь дату</t>
        </is>
      </c>
    </row>
    <row r="18" ht="22" customHeight="1">
      <c r="A18" s="23" t="inlineStr">
        <is>
          <t>Созвон</t>
        </is>
      </c>
      <c r="B18" s="61" t="inlineStr">
        <is>
          <t>Созвон назначен. Обязательно поставь дату и время</t>
        </is>
      </c>
    </row>
    <row r="19" ht="22" customHeight="1">
      <c r="A19" s="25" t="inlineStr">
        <is>
          <t>Клиент</t>
        </is>
      </c>
      <c r="B19" s="61" t="inlineStr">
        <is>
          <t>Договорились, работаем</t>
        </is>
      </c>
    </row>
    <row r="20" ht="22" customHeight="1">
      <c r="A20" s="26" t="inlineStr">
        <is>
          <t>Отказ</t>
        </is>
      </c>
      <c r="B20" s="61" t="inlineStr">
        <is>
          <t>Отказался</t>
        </is>
      </c>
    </row>
    <row r="21" ht="22" customHeight="1">
      <c r="A21" s="62" t="inlineStr">
        <is>
          <t>Не писать</t>
        </is>
      </c>
      <c r="B21" s="61" t="inlineStr">
        <is>
          <t>Попросил не писать или номер не тот</t>
        </is>
      </c>
    </row>
    <row r="23">
      <c r="A23" s="9" t="inlineStr">
        <is>
          <t>Менеджеры</t>
        </is>
      </c>
    </row>
    <row r="24">
      <c r="A24" s="63" t="inlineStr">
        <is>
          <t>Ильяс</t>
        </is>
      </c>
    </row>
    <row r="25">
      <c r="A25" s="63" t="inlineStr">
        <is>
          <t>Зураб</t>
        </is>
      </c>
    </row>
    <row r="26">
      <c r="A26" s="63" t="inlineStr">
        <is>
          <t>Тимурлан</t>
        </is>
      </c>
    </row>
    <row r="28">
      <c r="A28" s="64" t="inlineStr">
        <is>
          <t>Не переименовывай этапы в списке выше: на них завязаны подсчёты и цвета.</t>
        </is>
      </c>
    </row>
  </sheetData>
  <mergeCells count="1">
    <mergeCell ref="A28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2026-10-07T07:36:59Z</dcterms:created>
  <dcterms:modified xmlns:dcterms="http://purl.org/dc/terms/" xmlns:xsi="http://www.w3.org/2001/XMLSchema-instance" xsi:type="dcterms:W3CDTF">2026-10-07T07:37:00Z</dcterms:modified>
</cp:coreProperties>
</file>